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<sst xmlns="http://schemas.openxmlformats.org/spreadsheetml/2006/main" count="1464" uniqueCount="316">
  <si>
    <t xml:space="preserve">КОЛИЧЕСТВЕНО СТОЙНОСТНА СМЕТКА</t>
  </si>
  <si>
    <t xml:space="preserve">Обект:</t>
  </si>
  <si>
    <t xml:space="preserve">„Реконструкция и изместване на довеждащ водопровод от изравнител 4000 м3 на ВЕЦ „Видима“ гр.Априлци до облекчителна шахта в т.293“ </t>
  </si>
  <si>
    <t xml:space="preserve">№</t>
  </si>
  <si>
    <t xml:space="preserve">Шифър</t>
  </si>
  <si>
    <t xml:space="preserve">Наименование</t>
  </si>
  <si>
    <t xml:space="preserve">М-ка</t>
  </si>
  <si>
    <t xml:space="preserve">Количество</t>
  </si>
  <si>
    <t xml:space="preserve">Ед. Цена</t>
  </si>
  <si>
    <t xml:space="preserve">Стойност</t>
  </si>
  <si>
    <t xml:space="preserve">Анализ № </t>
  </si>
  <si>
    <t xml:space="preserve">I. ИЗКОПНИ РАБОТИ</t>
  </si>
  <si>
    <t xml:space="preserve">Участък № 1:</t>
  </si>
  <si>
    <t xml:space="preserve">Водопровод от т. 1 до т. 114</t>
  </si>
  <si>
    <t xml:space="preserve">ИЗСИЧАНЕ ХРАСТИ И МЛАДА ГОРА ПРИ ДЕБ. НА ДЪРВЕТАТА ДО 10СМ</t>
  </si>
  <si>
    <r>
      <rPr>
        <sz val="8"/>
        <rFont val="Calibri"/>
        <family val="2"/>
        <charset val="204"/>
      </rPr>
      <t xml:space="preserve">100 м</t>
    </r>
    <r>
      <rPr>
        <vertAlign val="superscript"/>
        <sz val="8"/>
        <rFont val="Calibri"/>
        <family val="2"/>
        <charset val="204"/>
      </rPr>
      <t xml:space="preserve">2</t>
    </r>
  </si>
  <si>
    <t xml:space="preserve">НАТОВАРВАНЕ И РАЗТОВАРВАНЕ НА ДЪРВЕТА И ХРАСТИ НА ТРАНСПОРТ</t>
  </si>
  <si>
    <r>
      <rPr>
        <sz val="8"/>
        <rFont val="Calibri"/>
        <family val="2"/>
        <charset val="204"/>
      </rPr>
      <t xml:space="preserve">м</t>
    </r>
    <r>
      <rPr>
        <vertAlign val="superscript"/>
        <sz val="8"/>
        <rFont val="Calibri"/>
        <family val="2"/>
        <charset val="204"/>
      </rPr>
      <t xml:space="preserve">3</t>
    </r>
  </si>
  <si>
    <t xml:space="preserve">ИЗВОЗВАНЕ НА ХРАСТИ И ДЪРВЕТА СРЕДНО НА 15 КМ</t>
  </si>
  <si>
    <t xml:space="preserve">ДОСТАВКА И ПОСТАВЯНЕ НА ЛЕНТА ЗА ОГРАЖДАНЕ НА ИЗКОП</t>
  </si>
  <si>
    <t xml:space="preserve">м</t>
  </si>
  <si>
    <t xml:space="preserve">ИЗКОП С БАГЕР НА ЗЕМНИ ПОЧВИ - НА ОТВАЛ, ПРИ НОРМАЛНИ УСЛОВИЯ - ХУМУС</t>
  </si>
  <si>
    <t xml:space="preserve">ТЪНКИ ИЗКОПИ С ДЪЛБОЧИНА ДО 0.50 М, ВКЛЮЧВАЩИ ИЗКОПАВАНЕ, НАТОВАРВАНЕ, ПРЕВОЗ И РАЗТОВАРВАНЕ С РЪЧНИ КОЛИЧКИ ДО 50 М - ХУМУС</t>
  </si>
  <si>
    <t xml:space="preserve">ИЗКОП С БАГЕР НА ЗЕМНИ ПОЧВИ - НА ОТВАЛ, ПРИ 1 УТЕЖНЕНО УСЛОВИЕ</t>
  </si>
  <si>
    <t xml:space="preserve">ИЗКОП С БАГЕР СРЕДНО СКАЛНИ ПОЧВИ - НА ТРАНСПОРТ, ПРИ ПОВЕЧЕ ОТ 2 УТЕЖНЕНИ УСЛОВИЯ</t>
  </si>
  <si>
    <t xml:space="preserve">РЪЧЕН ИЗКОП С ШИРИНА НАД 1,2 М И ДЪЛБОЧИНА ДО 2 м В ТЕЖКОЗЕМНИ ПОЧВИ НА ОТВАЛ - НЕУКРЕПЕН</t>
  </si>
  <si>
    <t xml:space="preserve">РЪЧЕН ИЗКОП С ДЪЛБОЧИНА 2-4 М В СРЕДНО СКАЛНИ ПОЧВИ НА ОТВАЛ - НЕУКРЕПЕН</t>
  </si>
  <si>
    <t xml:space="preserve">РЪЧЕН ИЗКОП С ДЪЛБОЧИНА 2-4 М В ТЕЖКО ЗЕМНИ ПОЧВИ НА ОТВАЛ - НЕУКРЕПЕН</t>
  </si>
  <si>
    <t xml:space="preserve">РЪЧЕН ИЗКОП С ДЪЛБОЧИНА 2-4 М В СРЕДНО СКАЛНИ ПОЧВИ  НЕУКРЕПЕН НА ОТВАЛ - НЕУКРЕПЕН</t>
  </si>
  <si>
    <t xml:space="preserve">ПРЕХВЪРЛЯНЕ НА ЗЕМНИ И СКАЛНИ МАСИ ДО 3 м ХОРИЗОНТАЛНО ИЛИ 2 м ВЕРТИКАЛНО РАЗСТОЯНИЕ - ЗЕМНА ПОЧВА</t>
  </si>
  <si>
    <t xml:space="preserve">Участък № 2:</t>
  </si>
  <si>
    <t xml:space="preserve">Водопровод от т. 114 до т. 236</t>
  </si>
  <si>
    <t xml:space="preserve">РЪЧЕН ИЗКОП С ШИРИНА НАД 1,2 М И ДЪЛБОЧИНА ДО 4 м В ТЕЖКОЗЕМНИ ПОЧВИ НА ОТВАЛ - УКРЕПЕН</t>
  </si>
  <si>
    <t xml:space="preserve">РЪЧЕН ИЗКОП С ДЪЛБОЧИНА 2-4 М В СРЕДНО СКАЛНИ ПОЧВИ  НА ОТВАЛ - УКРЕПЕН</t>
  </si>
  <si>
    <t xml:space="preserve">УКРЕПВАНЕ И РАЗКРЕПВАНЕ НА ИЗКОПИ - НЕПЛЪТНО</t>
  </si>
  <si>
    <r>
      <rPr>
        <sz val="8"/>
        <rFont val="Calibri"/>
        <family val="2"/>
        <charset val="204"/>
      </rPr>
      <t xml:space="preserve">м</t>
    </r>
    <r>
      <rPr>
        <vertAlign val="superscript"/>
        <sz val="8"/>
        <rFont val="Calibri"/>
        <family val="2"/>
        <charset val="204"/>
      </rPr>
      <t xml:space="preserve">2</t>
    </r>
  </si>
  <si>
    <t xml:space="preserve">Участък № 3:</t>
  </si>
  <si>
    <t xml:space="preserve">Водопровод от т. 236 до т. 293 </t>
  </si>
  <si>
    <t xml:space="preserve">ИЗКОПНИ РАБОТИ</t>
  </si>
  <si>
    <t xml:space="preserve">Общо :</t>
  </si>
  <si>
    <t xml:space="preserve">II. ОБРАТНО ЗАСИПВАНЕ ИЗВЪН НАСЕЛЕНО МЯСТО</t>
  </si>
  <si>
    <t xml:space="preserve">РАЗРИВАНЕ С БУЛДОЗЕР И ЗАСИПВАНЕ НА ИЗКОПИ - НОРМАЛНИ УСЛОВИЯ, СКАЛНИ ПОЧВИ, НА РАЗСТОЯНИЕ ДО 40 М</t>
  </si>
  <si>
    <t xml:space="preserve">ЗАСИПВАНЕ РЪЧНО НА ИЗКОПИ С ОГРАНИЧЕНИ ШИРИНИ </t>
  </si>
  <si>
    <t xml:space="preserve">УПЛЪТНЯВАНЕ НА ПОЧВИ - РЪЧНО, С ПНЕВМАТИЧНА ТРАМБОВКА, ЗЕМНИ ПОЧВИ, ДЕБЕЛИНА НА ПЛАСТА 20 СМ</t>
  </si>
  <si>
    <t xml:space="preserve">ПОЛАГАНЕ НА ПРЕСЯТА ЗЕМНА МАСА  С ФРАКЦИЯ ПО-МАЛКА ОТ 5 СМ ЗА ЗАСИПКА НА ТРЪБИТЕ С 20СМ НАД ТЕМЕ ТРЪБА - ВКЛ. ПРЕСЯВАНЕ</t>
  </si>
  <si>
    <t xml:space="preserve">ПОЛАГАНЕ НА ПРЕСЯТА ЗЕМНА МАСА С ФРАКЦИЯ ПО-МАЛКА ОТ 5 СМ ЗА ТОДЛОЖКА 10см ПОД ТРЪБАТА - ВКЛ. ПРЕСЯВАНЕ</t>
  </si>
  <si>
    <t xml:space="preserve">ОБРАТНО ЗАСИПВАНЕ ИЗВЪН НАСЕЛЕНО МЯСТО</t>
  </si>
  <si>
    <t xml:space="preserve">III. ИЗКОПИ И НАСИПИ В НАСЕЛЕНО МЯСТО</t>
  </si>
  <si>
    <t xml:space="preserve">РЯЗАНЕ НА АСФАЛТОВА НАСТИЛКА С ДЕБЕЛИНА ДО 20 СМ</t>
  </si>
  <si>
    <t xml:space="preserve">РАЗКЪРТВАНЕ НА АСФАЛТОВА НАСТИЛКА С ДЕБЕЛИНА ДО 20 СМ</t>
  </si>
  <si>
    <t xml:space="preserve">НАТОВАРВАНЕ И ИЗВОЗВАНЕ НА АСФАЛТОВИ ОТПАДЪЦИ СРЕДНО НА 15 КМ</t>
  </si>
  <si>
    <t xml:space="preserve">ИЗКОП С БАГЕР НА ТЕЖКО ЗЕМНИ ПОЧВИ - НА ТРАНСПОРТ ПОНЕ ПРИ 1 УТ.УСЛОВИЕ -ПРЕСИЧАНЕ НА ИНЖЕНЕРНА ИНФРАСТРУКТУРА</t>
  </si>
  <si>
    <t xml:space="preserve">ИЗКОП С БАГЕР СРЕДНО СКАЛНИ ПОЧВИ - НА ТРАНСПОРТ, ПОНЕ ПРИ 1 УТ.УСЛОВИЕ -ПРЕСИЧАНЕ НА ИНЖЕНЕРНА ИНФРАСТРУКТУРА</t>
  </si>
  <si>
    <t xml:space="preserve">РЪЧЕН ИЗКОП В ТЕЖКОЗЕМНИ ПОЧВИ С ДЪЛБОЧИНА ДО 2 М - УКРЕПЕН</t>
  </si>
  <si>
    <t xml:space="preserve">РЪЧЕН ИЗКОП В СРЕДНОСКАЛНИ ПОЧВИ С ДЪЛБОЧИНА ДО 2 М - УКРЕПЕН</t>
  </si>
  <si>
    <t xml:space="preserve">РЪЧЕН ИЗКОП В ТЕЖКОЗЕМНИ ПОЧВИ С ДЪЛБОЧИНА ОТ 2 М ДО 4 М - УКРЕПЕН</t>
  </si>
  <si>
    <t xml:space="preserve">РЪЧЕН ИЗКОП В СРЕДНОСКАЛНИ ПОЧВИ С ДЪЛБОЧИНА ОТ 2 М ДО 4 М - УКРЕПЕН</t>
  </si>
  <si>
    <t xml:space="preserve">ПРЕВОЗ НА ИЗЛИШНИ ЗЕМНИ МАСИ НА ДЕПО СЪС САМОСВАЛ НА РАЗСТОЯНИЕ 15 КМ</t>
  </si>
  <si>
    <t xml:space="preserve">УКРЕПВАНЕ И РАЗКРЕПВАНЕ НА ИЗКОПИ - ПЛЪТНО</t>
  </si>
  <si>
    <t xml:space="preserve">ИЗКОПИ И НАСПИ В НАСЕЛЕНО МЯСТО</t>
  </si>
  <si>
    <t xml:space="preserve">IV. ОБРАТНО ЗАСИПВАНЕ В НАСЕЛЕНО МЯСТО</t>
  </si>
  <si>
    <t xml:space="preserve">ДОСТАВКА НА ОБРАТНА НАСИПКА НЕСТАНДАРТНА БАЛАСТРА</t>
  </si>
  <si>
    <t xml:space="preserve">УПЛЪТНЯВАНЕ НА ПОЧВИ - НЕСТАНДАРТНА БАЛАСТРА, ДЕБЕЛИНА НА ПЛАСТА 30 СМ</t>
  </si>
  <si>
    <t xml:space="preserve">ОБРАТНО ЗАСИПВАНЕ В НАСЕЛЕНО МЯСТО</t>
  </si>
  <si>
    <t xml:space="preserve">V. МОНТАЖНА ЧАСТ</t>
  </si>
  <si>
    <t xml:space="preserve">ДОСТАВКА, ПОЛАГАНЕ И СВЪРЗВАНЕ НА ТРЪБА ПЕВП Ф400 РЕ100RC, PN16</t>
  </si>
  <si>
    <t xml:space="preserve">ДОСТАВКА, ПОЛАГАНЕ И СВЪРЗВАНЕ НА ТРЪБА ПЕВП Ф400 РЕ100RC, PN10</t>
  </si>
  <si>
    <t xml:space="preserve">ДОСТАВКА И МОНТАЖ НА КОЛЯНО Ф400/90°, PN10 </t>
  </si>
  <si>
    <t xml:space="preserve">бр.</t>
  </si>
  <si>
    <t xml:space="preserve">ДОСТАВКА И МОНТАЖ НА КОЛЯНО Ф400/45°, PN10 </t>
  </si>
  <si>
    <t xml:space="preserve">ДОСТАВКА И МОНТАЖ НА КОЛЯНО Ф400/22°, PN10</t>
  </si>
  <si>
    <t xml:space="preserve">ДОСТАВКА И МОНТАЖ НА НАМАЛИТЕЛ-ФЛАНШОВ Ф150/125, PN10</t>
  </si>
  <si>
    <t xml:space="preserve">ДОСТАВКА И МОНТАЖ НА ФЛАНШОВ НАКРАЙНИК Ф400, PN10</t>
  </si>
  <si>
    <t xml:space="preserve">ДОСТАВКА И МОНТАЖ НА ФЛАНШОВ НАКРАЙНИК Ф140, PN10</t>
  </si>
  <si>
    <t xml:space="preserve">ДОСТАВКА И МОНТАЖ НА ФЛАНШОВ НАКРАЙНИК Ф110, PN10</t>
  </si>
  <si>
    <t xml:space="preserve">ДОСТАВКА И МОНТАЖ НА ФЛАНШОВ НАКРАЙНИК Ф90, PN16</t>
  </si>
  <si>
    <t xml:space="preserve">ДОСТАВКА И МОНТАЖ НА ФЛАНШОВ НАКРАЙНИК Ф90, PN10</t>
  </si>
  <si>
    <t xml:space="preserve">ДОСТАВКА И МОНТАЖ НА СВОБОДЕН ФЛАНЕЦ Ф400, PN10</t>
  </si>
  <si>
    <t xml:space="preserve">ДОСТАВКА И МОНТАЖ НА СВОБОДЕН ФЛАНЕЦ Ф125, PN10</t>
  </si>
  <si>
    <t xml:space="preserve">ДОСТАВКА И МОНТАЖ НА СВОБОДЕН ФЛАНЕЦ Ф100, PN10</t>
  </si>
  <si>
    <t xml:space="preserve">ДОСТАВКА И МОНТАЖ НА СВОБОДЕН ФЛАНЕЦ Ф80, PN16</t>
  </si>
  <si>
    <t xml:space="preserve">ДОСТАВКА И МОНТАЖ НА СВОБОДЕН ФЛАНЕЦ Ф80, PN10</t>
  </si>
  <si>
    <t xml:space="preserve">ДОСТАВКА И МОНТАЖ НА ГЛУХ ФЛАНЕЦ Ф125, PN10</t>
  </si>
  <si>
    <t xml:space="preserve">ДОСТАВКА И МОНТАЖ НА ГЛУХ ФЛАНЕЦ Ф100, PN10</t>
  </si>
  <si>
    <t xml:space="preserve">ДОСТАВКА И МОНТАЖ НА ГЛУХ ФЛАНЕЦ Ф80, PN10</t>
  </si>
  <si>
    <t xml:space="preserve">ДОСТАВКА И МОНТАЖ НА СПИРАТЕЛЕН КРАН Ф125, PN10</t>
  </si>
  <si>
    <t xml:space="preserve">ДОСТАВКА И МОНТАЖ НА СПИРАТЕЛЕН КРАН Ф100, PN10</t>
  </si>
  <si>
    <t xml:space="preserve">ДОСТАВКА И МОНТАЖ НА СПИРАТЕЛЕН КРАН Ф80, PN16</t>
  </si>
  <si>
    <t xml:space="preserve">ДОСТАВКА И МОНТАЖ НА СПИРАТЕЛЕН КРАН Ф80, PN10</t>
  </si>
  <si>
    <t xml:space="preserve">ДОСТАВКА И МОНТАЖ НА ВОДОВЗЕМНА СКОБА-ФЛАНШОВА Ф400/Ф150, PN10</t>
  </si>
  <si>
    <t xml:space="preserve">ДОСТАВКА И МОНТАЖ НА ВОДОВЗЕМНА СКОБА-ФЛАНШОВА Ф400/Ф100, PN10</t>
  </si>
  <si>
    <t xml:space="preserve">ДОСТАВКА И МОНТАЖ НА ВОДОВЗЕМНА СКОБА-ФЛАНШОВА Ф400/Ф80, PN16</t>
  </si>
  <si>
    <t xml:space="preserve">ДОСТАВКА И МОНТАЖ НА ВОДОВЗЕМНА СКОБА-ФЛАНШОВА Ф400/Ф80, PN10</t>
  </si>
  <si>
    <t xml:space="preserve">ДОСТАВКА И МОНТАЖ НА ЕЛЕКТРОМУФА Ф400, PN10</t>
  </si>
  <si>
    <t xml:space="preserve">ДОСТАВКА И МОНТАЖ НА НА ПОЖАРНИ ХИДРАНТИ 70/80 - ТИП "ПОДЗЕМЕН"</t>
  </si>
  <si>
    <t xml:space="preserve">ИЗПИТВАНЕ НА МОНТИРАНИ ТРЪБОПРОВОДИ ДО Ф426</t>
  </si>
  <si>
    <t xml:space="preserve">ДЕЗИНФЕКЦИЯ НА ВОДОПРОВОДИ </t>
  </si>
  <si>
    <t xml:space="preserve">100 м</t>
  </si>
  <si>
    <t xml:space="preserve">ДОСТАВКА И ПОСТАВЯНЕ НА СИГНАЛНА ЛЕНТА НАД ТРЪБИ </t>
  </si>
  <si>
    <t xml:space="preserve">ДОСТАВКА И ПОСТАВЯНЕ НА ДЕТЕКТОРНА СИГНАЛНА ЛЕНТА НАД ТРЪБИ С МЕТАЛНА НИШКА</t>
  </si>
  <si>
    <t xml:space="preserve">ДОСТАВКА И МОНТАЖ НА ТРОЙНИК Ф90/Ф90, PN10</t>
  </si>
  <si>
    <t xml:space="preserve">ДОСТАВКА И МОНТАЖ НА КОЛЯНО Ф400/22°, PN16</t>
  </si>
  <si>
    <t xml:space="preserve">ДОСТАВКА И МОНТАЖ НА НАМАЛИТЕЛ-ФЛАНШОВ Ф80/65, PN10</t>
  </si>
  <si>
    <t xml:space="preserve">ДОСТАВКА И МОНТАЖ НА НАМАЛИТЕЛ Ф110/75, PN10</t>
  </si>
  <si>
    <t xml:space="preserve">ДОСТАВКА И МОНТАЖ НА НАМАЛИТЕЛ Ф90/63, PN10</t>
  </si>
  <si>
    <t xml:space="preserve">ДОСТАВКА И МОНТАЖ НА ФЛАНШОВ НАКРАЙНИК Ф75, PN10</t>
  </si>
  <si>
    <t xml:space="preserve">ДОСТАВКА И МОНТАЖ НА ФЛАНШОВ НАКРАЙНИК Ф63, PN10</t>
  </si>
  <si>
    <t xml:space="preserve">ДОСТАВКА И МОНТАЖ НА СВОБОДЕН ФЛАНЕЦ Ф65, PN10</t>
  </si>
  <si>
    <t xml:space="preserve">ДОСТАВКА И МОНТАЖ НА СВОБОДЕН ФЛАНЕЦ Ф50, PN10</t>
  </si>
  <si>
    <t xml:space="preserve">ДОСТАВКА И МОНТАЖ НА ГЛУХ ФЛАНЕЦ Ф65, PN10</t>
  </si>
  <si>
    <t xml:space="preserve">ДОСТАВКА И МОНТАЖ НА ГЛУХ ФЛАНЕЦ Ф50, PN10</t>
  </si>
  <si>
    <t xml:space="preserve">ДОСТАВКА И МОНТАЖ НА СПИРАТЕЛЕН КРАН Ф65, PN10</t>
  </si>
  <si>
    <t xml:space="preserve">ДОСТАВКА И МОНТАЖ НА СПИРАТЕЛЕН КРАН Ф50, PN10</t>
  </si>
  <si>
    <t xml:space="preserve">ДОСТАВКА И МОНТАЖ НА ФЛАНШОВО СЪЕДИНЕНИЕ Ф100, PN10</t>
  </si>
  <si>
    <t xml:space="preserve">ДОСТАВКА И МОНТАЖ НА ВОДОВЗЕМНА СКОБА-ФЛАНШОВА Ф400/Ф50, PN10</t>
  </si>
  <si>
    <t xml:space="preserve">1</t>
  </si>
  <si>
    <t xml:space="preserve">2</t>
  </si>
  <si>
    <t xml:space="preserve">бр,</t>
  </si>
  <si>
    <t xml:space="preserve">3</t>
  </si>
  <si>
    <t xml:space="preserve">4</t>
  </si>
  <si>
    <t xml:space="preserve">ДОСТАВКА И МОНТАЖ НА НАМАЛИТЕЛ ФЛАНШОВ Ф80/65, PN10</t>
  </si>
  <si>
    <t xml:space="preserve">5</t>
  </si>
  <si>
    <t xml:space="preserve">ДОСТАВКА И МОНТАЖ НА НАМАЛИТЕЛ-ФАЛНШОВ Ф65/50, PN10</t>
  </si>
  <si>
    <t xml:space="preserve">6</t>
  </si>
  <si>
    <t xml:space="preserve">ДОСТАВКА И МОНТАЖ НА НАМАЛИТЕЛ Ф110/90, PN10</t>
  </si>
  <si>
    <t xml:space="preserve">7</t>
  </si>
  <si>
    <t xml:space="preserve">8</t>
  </si>
  <si>
    <t xml:space="preserve">ДОСТАВКА И МОНТАЖ НА НАМАЛИТЕЛ 63/32, PN10</t>
  </si>
  <si>
    <t xml:space="preserve">9</t>
  </si>
  <si>
    <t xml:space="preserve">ДОСТАВКА И МОНТАЖ НА ФЛАНШОВ НАКРАЙНИК Ф400,PN10</t>
  </si>
  <si>
    <t xml:space="preserve">10</t>
  </si>
  <si>
    <t xml:space="preserve">ДОСТАВКА И МОНТАЖ НА ФЛАНШОВ НАКРАЙНИК Ф110,PN10</t>
  </si>
  <si>
    <t xml:space="preserve">11</t>
  </si>
  <si>
    <t xml:space="preserve">ДОСТАВКА И МОНТАЖ НА ФЛАНШОВ НАКРАЙНИК Ф90,PN10</t>
  </si>
  <si>
    <t xml:space="preserve">12</t>
  </si>
  <si>
    <t xml:space="preserve">ДОСТАВКА И МОНТАЖ НА ФЛАНШОВ НАКРАЙНИК Ф75,PN10</t>
  </si>
  <si>
    <t xml:space="preserve">13</t>
  </si>
  <si>
    <t xml:space="preserve">ДОСТАВКА И МОНТАЖ НА ФЛАНШОВ НАКРАЙНИК Ф63,PN10</t>
  </si>
  <si>
    <t xml:space="preserve">14</t>
  </si>
  <si>
    <t xml:space="preserve">15</t>
  </si>
  <si>
    <t xml:space="preserve">16</t>
  </si>
  <si>
    <t xml:space="preserve">17</t>
  </si>
  <si>
    <t xml:space="preserve">ДОСТАВКА И МОНТАЖ НА СВОБОДЕН ФЛАНЕЦ Ф65,PN10</t>
  </si>
  <si>
    <t xml:space="preserve">18</t>
  </si>
  <si>
    <t xml:space="preserve">ДОСТАВКА И МОНТАЖ НА СВОБОДЕН ФЛАНЕЦ Ф50,PN10</t>
  </si>
  <si>
    <t xml:space="preserve">19</t>
  </si>
  <si>
    <t xml:space="preserve">ДОСТАВКА И МОНТАЖ НА ГЛУХ ФЛАНЕЦ Ф50,PN10</t>
  </si>
  <si>
    <t xml:space="preserve">20</t>
  </si>
  <si>
    <t xml:space="preserve">ДОСТАВКА И МОНТАЖ НА СПИРАТЕЛЕН КРАН Ф80,PN10</t>
  </si>
  <si>
    <t xml:space="preserve">21</t>
  </si>
  <si>
    <t xml:space="preserve">ДОСТАВКА И МОНТАЖ НА СПИРАТЕЛЕН КРАН Ф65,PN10</t>
  </si>
  <si>
    <t xml:space="preserve">22</t>
  </si>
  <si>
    <t xml:space="preserve">ДОСТАВКА И МОНТАЖ НА СПИРАТЕЛЕН КРАН Ф50,PN10</t>
  </si>
  <si>
    <t xml:space="preserve">23</t>
  </si>
  <si>
    <t xml:space="preserve">ДОСТАВКА И МОНТАЖ НА ПРЕХОД Ф32/1'',PN10</t>
  </si>
  <si>
    <t xml:space="preserve">24</t>
  </si>
  <si>
    <t xml:space="preserve">ДОСТАВКА И МОНТАЖ НА ФЛАНШОВО СЪЕДИНЕНИЕ Ф100,PN10</t>
  </si>
  <si>
    <t xml:space="preserve">25</t>
  </si>
  <si>
    <t xml:space="preserve">ДОСТАВКА И МОНТАЖ НА ФЛАНШОВО СЪЕДИНЕНИЕ Ф80,PN10</t>
  </si>
  <si>
    <t xml:space="preserve">26</t>
  </si>
  <si>
    <t xml:space="preserve">ДОСТАВКА И МОНТАЖ НА ВОДОВЗЕМНА СКОБА-ФЛАНШОВА Ф400/Ф80,PN10</t>
  </si>
  <si>
    <t xml:space="preserve">27</t>
  </si>
  <si>
    <t xml:space="preserve">ДОСТАВКА И МОНТАЖ НА ВОДОВЗЕМНА СКОБА-ФЛАНШОВА Ф400/Ф50,PN10</t>
  </si>
  <si>
    <t xml:space="preserve">28</t>
  </si>
  <si>
    <t xml:space="preserve">29</t>
  </si>
  <si>
    <t xml:space="preserve">30</t>
  </si>
  <si>
    <t xml:space="preserve">31</t>
  </si>
  <si>
    <t xml:space="preserve">32</t>
  </si>
  <si>
    <t xml:space="preserve">МОНТАЖНА ЧАСТ</t>
  </si>
  <si>
    <t xml:space="preserve">VI. ПЪТНИ РАБОТИ</t>
  </si>
  <si>
    <t xml:space="preserve">ПОЛАГАНЕ НА ИЗНОСВАЩ ПЛАСТ АСФАЛТОБЕТОН С ДЕБЕЛИНА 4 СМ</t>
  </si>
  <si>
    <t xml:space="preserve">ДОСТАВКА И ПОЛАГАНЕ НА БИТУМЕН РАЗЛИВ ВЪРХУ АСФАЛТОВА НАСТИЛКА</t>
  </si>
  <si>
    <t xml:space="preserve">ДОСТАВКА И ПОЛАГАНЕ НА БИНДЕР С ДЕБЕЛИНА 4 СМ</t>
  </si>
  <si>
    <t xml:space="preserve">тон</t>
  </si>
  <si>
    <t xml:space="preserve">ДОСТАВКА И ПОЛАГАНЕ НА БИТУМИЗИРАН ТРОШЕН КАМЪК С ДЕБЕЛИНА 8 СМ</t>
  </si>
  <si>
    <t xml:space="preserve">ДОСТАВКА И ПОЛАГАНЕ НА БИТУМЕН РАЗЛИВ ВЪРХУ ТРОШЕНОКАМЕННА НАСТИЛКА</t>
  </si>
  <si>
    <t xml:space="preserve">ДОСТАВКА И ПОЛАГАНЕ НА ОСНОВЕН ПЛАСТ ОТ НЕСОРТИРАН ТРОШЕН КАМЪК С ДЕБЕЛИНА 44 СМ</t>
  </si>
  <si>
    <t xml:space="preserve">ПЪТНИ РАБОТИ</t>
  </si>
  <si>
    <t xml:space="preserve">VII. СЪОРЪЖЕНИЯ ПО ВОДОПРОВОДА</t>
  </si>
  <si>
    <t xml:space="preserve">кранова шахта СК Ø400 мм PN16</t>
  </si>
  <si>
    <t xml:space="preserve">ИЗКОП С БАГЕР НА ТЕЖКОЗЕМНИ ПОЧВИ - НА ОТВАЛ ПРИ 1 УТ.УСЛОВИЕ - ПРЕСИЧАНЕ НА ИНЖЕНЕРНА ИНФРАСТРУКТУРА</t>
  </si>
  <si>
    <t xml:space="preserve">РЪЧЕН ИЗКОП, НЕУКРЕПЕН В ТЕЖКОЗЕМНИ ПОЧВИ С ДЪЛБОЧИНА ДО 2 М НА ОТВАЛ</t>
  </si>
  <si>
    <t xml:space="preserve">НАТОВАРВАНЕ И ИЗВОЗВАНЕ НА ИЗЛИШНА ЗЕМНА МАСА СРЕДНО НА 5 КМ</t>
  </si>
  <si>
    <t xml:space="preserve">КОФРАЖ ЗА ПОДЛОЖЕН БЕТОН</t>
  </si>
  <si>
    <t xml:space="preserve">КОФРАЖ ЗА ФУНДАМЕНТИ</t>
  </si>
  <si>
    <t xml:space="preserve">КОФРАЖ ЗА ПРАВИ СТЕНИ</t>
  </si>
  <si>
    <t xml:space="preserve">КОФРАЖ ЗА ОПОРНИ БЛОКОВЕ</t>
  </si>
  <si>
    <t xml:space="preserve">ИЗРАБОТКА И МОНТАЖ НА АРМИРОВКА - ОБИКНОВЕНА И СРЕДНА СЛОЖНОСТ ПРИ ДЕБЕЛИНА 6,5 ММ А I И А II ОТ СТОМАНА В235</t>
  </si>
  <si>
    <t xml:space="preserve">кг</t>
  </si>
  <si>
    <t xml:space="preserve">ИЗРАБОТКА И МОНТАЖ НА АРМИРОВКА - ОБИКНОВЕНА И СРЕДНА СЛОЖНОСТ ПРИ ДЕБЕЛИНА 8 ММ  И 10 ММ А I И А II ОТ СТОМАНА В500</t>
  </si>
  <si>
    <t xml:space="preserve">ПОЛАГАНЕ БЕТОН ПОДЛОЖЕН В15</t>
  </si>
  <si>
    <t xml:space="preserve">ПРИГОТВЯНЕ И ПОЛАГАНЕ БЕТОН В 25 ДЪНО НА ФУНДАМЕНТИ</t>
  </si>
  <si>
    <t xml:space="preserve">ПРИГОТВЯНЕ И ПОЛАГАНЕ БЕТОН В 25 ЗА СТЕНИ</t>
  </si>
  <si>
    <t xml:space="preserve">ПРИГОТВЯНЕ И ПОЛАГАНЕ БЕТОН В 25 ЗА ОПОРНИ БЛОКОВЕ</t>
  </si>
  <si>
    <t xml:space="preserve">ПРЕВОЗ НА БЕТОН НА 30КМ</t>
  </si>
  <si>
    <t xml:space="preserve">ПОЛИВАНЕ БЕТОНА С ВОДА И ПОКРИВАНЕ СЪС  ЗЕБЛО</t>
  </si>
  <si>
    <t xml:space="preserve">100 м2</t>
  </si>
  <si>
    <t xml:space="preserve">ИЗМАЗВАНЕ НА ВЪНШНИ БЕТОНОВИ ПОВЪРХНОСТИ С МАТЕРИАЛИ НА БИТУМНА ОСНОВА ВЪРХУ ГРУНД</t>
  </si>
  <si>
    <t xml:space="preserve">НАПРАВА ГЛАДКА ЦИМЕНТОВА ЗАМАЗКА В ДВА ПЛАСТА ДЕБЕЛИНА 2 СМ</t>
  </si>
  <si>
    <t xml:space="preserve">ДОСТАВКА И МОНТАЖ НА КАПАЦИ ОТ РИФЕЛОВА ЛАМАРИНА </t>
  </si>
  <si>
    <t xml:space="preserve">ДОСТАВКА ИМОНТАЖ НА ДЪРВЕНИ МЕЖДИННИ КАПАЦИ</t>
  </si>
  <si>
    <t xml:space="preserve">СТИРОПОР </t>
  </si>
  <si>
    <t xml:space="preserve">ДОСТАВКА И МОНТАЖ НА ЧУГУНЕНИ СТЪПАЛА</t>
  </si>
  <si>
    <t xml:space="preserve">бр</t>
  </si>
  <si>
    <t xml:space="preserve">ДОСТАВКА НА ЧАКЪЛ ЗА ДРЕНАЖ</t>
  </si>
  <si>
    <t xml:space="preserve">ДОСТАВКА И МОНТАЖ НА ТРЪБА PVC Ф50ММ ЗА КАНАЛИЗАЦИЯ</t>
  </si>
  <si>
    <t xml:space="preserve">ДОСТАВКА И МОНТАЖ НА ЕЛЕКТРОМУФА Ф400, PN16</t>
  </si>
  <si>
    <t xml:space="preserve">ДОСТАВКА И МОНТАЖ НА ФЛАНШОВ НАКРАЙНИК Ф400, PN16</t>
  </si>
  <si>
    <t xml:space="preserve">ДОСТАВКА И МОНТАЖ НА СВОБОДЕН ФЛАНЕЦ Ф400, PN16</t>
  </si>
  <si>
    <t xml:space="preserve">ДОСТАВКА И МОНТАЖ НА СПИРАТЕЛЕН КРАН БЪТЕРФЛАЙ Ф400, PN16</t>
  </si>
  <si>
    <t xml:space="preserve">НАПРАВА НА ОПОРЕН БЛОК</t>
  </si>
  <si>
    <t xml:space="preserve"> ремонт на съществуваща облекчителна шахта</t>
  </si>
  <si>
    <t xml:space="preserve">ДОСТАВКА И МОНТАЖ НА СПИРАТЕЛЕН КРАН Ф400, PN10</t>
  </si>
  <si>
    <t xml:space="preserve">автоматичен въздушник с тройно действие монтиран на тръба Ø400 мм PN10 в нова шахта</t>
  </si>
  <si>
    <t xml:space="preserve">м2</t>
  </si>
  <si>
    <t xml:space="preserve">ПРЕВОЗ НА БЕТОН  НА 30КМ</t>
  </si>
  <si>
    <t xml:space="preserve">ДОСТАВКА И ПОЛАГАНЕ НА ГОТОВИ СТОМАНОБЕТОННИ ЕЛЕМЕНТИ ЗА ШАХТИ Ф 1000</t>
  </si>
  <si>
    <t xml:space="preserve">ДОСТАВКА И МОНТАЖ  НА ЗАКЛАДНИ ЧАСТИ</t>
  </si>
  <si>
    <t xml:space="preserve">ГРУНДИРАНЕ НА ЗАКЛАДНИ ЧАСТИ</t>
  </si>
  <si>
    <t xml:space="preserve">ДОСТАВКА И МОНТАЖ НА  ФЛАНШОВО КОЛЯНО Ф80/90°, PN10</t>
  </si>
  <si>
    <t xml:space="preserve">ДОСТАВКА И МОНТАЖ НА АВТОМАТИЧЕН ВЪЗДУШНИК С ТРОЙНО ДЕЙСТВИЕ Ф 80 ММ. PN10</t>
  </si>
  <si>
    <t xml:space="preserve">ДОСТАВКА, ПОЛАГАНЕ И СВЪРЗВАНЕ НА ТРЪБА ПЕВП Ф90 РЕ100RC, PN10</t>
  </si>
  <si>
    <t xml:space="preserve">автоматичен въздушник с тройно действие монтиран на тръба Ø400 мм PN10 в съществуваща шахта</t>
  </si>
  <si>
    <t xml:space="preserve">ПОЛИВАНЕ БЕТОНА С ВОДА И ПОКРИВАНЕ СЪС ЗЕБЛО</t>
  </si>
  <si>
    <t xml:space="preserve">ДОСТАВКА И МОНТАЖ НА ДЪРВЕНИ МЕЖДИННИ КАПАЦИ</t>
  </si>
  <si>
    <t xml:space="preserve">ЗАМОНОЛИТВАНЕ НА ОТВОРИ В СТОМАНОБЕТНОВА СТЕНА РАЗМЕРИ 15/15</t>
  </si>
  <si>
    <t xml:space="preserve">ПРОБИВАНЕ НА ОТВОРИ РЪЧНО В БЕТОНОВИ СТЕНИ ДО 50/50 СМ</t>
  </si>
  <si>
    <t xml:space="preserve"> изпускател монтиран на тръба ф400 PN10 </t>
  </si>
  <si>
    <t xml:space="preserve">ДОСТАВКА И МОНТАЖ НА ПЛАСТМАСОВА ШАХТА 30х30СМ ЗА СК</t>
  </si>
  <si>
    <t xml:space="preserve">ДОСТАВКА И МОНТАЖ НА УДЪЛЖИТЕЛ ЗА ПЛАСТМАСОВА ШАХТА 30х30СМ ЗА СК</t>
  </si>
  <si>
    <t xml:space="preserve">ДОСТАВКА, ПОЛАГАНЕ И СВЪРЗВАНЕ НА ТРЪБА ПЕВП Ф250</t>
  </si>
  <si>
    <t xml:space="preserve">ДОСТАВКА И МОНТАЖ НА ФЛАНШОВ НАКРАЙНИК Ф160, PN10</t>
  </si>
  <si>
    <t xml:space="preserve">ДОСТАВКА И МОНТАЖ НА СВОБОДЕН ФЛАНЕЦ Ф150, PN10</t>
  </si>
  <si>
    <t xml:space="preserve">ДОСТАВКА И МОНТАЖ НА СПИРАТЕЛЕН КРАН Ф150, PN10</t>
  </si>
  <si>
    <t xml:space="preserve">ДОСТАВКА И МОНТАЖ НА ЖАБА КЛАПА Ф 150, PN10</t>
  </si>
  <si>
    <t xml:space="preserve">ДОСТАВКА, ПОЛАГАНЕ И СВЪРЗВАНЕ НА ТРЪБА ПЕВП Ф160 РЕ100RC, PN10</t>
  </si>
  <si>
    <t xml:space="preserve">нов стоманобетонов праг на р. Видима</t>
  </si>
  <si>
    <t xml:space="preserve">МОНТАЖ НА ЗАВАРЕНА АРМАТУРНА МРЕЖА</t>
  </si>
  <si>
    <t xml:space="preserve">т</t>
  </si>
  <si>
    <t xml:space="preserve">ИЗРАБОТКА И МОНТАЖ НА АРМИРОВКА - СТРЕМЕНА ОТ СТОМАНА А III 8х160</t>
  </si>
  <si>
    <t xml:space="preserve">ИЗРАБОТКА И МОНТАЖ НА АРМИРОВКА - СТРЕМЕНА ОТ СТОМАНА А III 8х70</t>
  </si>
  <si>
    <t xml:space="preserve">ИЗКОП НА ЯМИ ЗА СТРОИТЕЛНИ КОНСТРУКЦИИ, СТЪЛБОВЕ И ДРУГИ В ЗЕМНИ ПОЧВИ - дълбочина на ямата до 2 м, сечение от 0,31 до 2,00 м2</t>
  </si>
  <si>
    <t xml:space="preserve">ЗАСИПВАНЕ ИЗКОПИ ВКЛ.РАЗКОП.И ПРЕХВЪРЛЯНЕ ДО 3М ХОР.И ТРАМБОВАНЕ РЪЧНО</t>
  </si>
  <si>
    <t xml:space="preserve">КОФРАЖ ЗА ПРАВИ СТЕНИ - ТЯЛО ПРАГ</t>
  </si>
  <si>
    <t xml:space="preserve">ПРИГОТВЯНЕ И ПОЛАГАНЕ БЕТОН В 20</t>
  </si>
  <si>
    <t xml:space="preserve">ИЗРАБОТКА И МОНТАЖ НА АРМИРОВКА - ОБИКНОВЕНА И СРЕДНА СЛОЖНОСТ ПРИ ДЕБЕЛИНА 8 ММ  И 10 ОТ СТОМАНА А I и А II </t>
  </si>
  <si>
    <t xml:space="preserve">ПОЛАГАНЕ НА ПЯСЪЧЕН КОЖУХ</t>
  </si>
  <si>
    <t xml:space="preserve">ЗАСКАЛЯВАНЕ С ЕДРОЛОМЕН КАМЪК</t>
  </si>
  <si>
    <t xml:space="preserve">ОБМАЗВАНЕ ДВУКРАТНО С БИТУМ</t>
  </si>
  <si>
    <t xml:space="preserve">ИЗКОП С БАГЕР НА ЗЕМНИ ПОЧВИ (ОТБИВНА ДИГА)</t>
  </si>
  <si>
    <t xml:space="preserve">ПРЕВОЗ НА ЗЕМНИ МАСИЗА НАСИП ОТ ДЕПО от 200м (ОТБИВНА ДИГА)</t>
  </si>
  <si>
    <t xml:space="preserve">стоманобетонови прагове тип B L-15</t>
  </si>
  <si>
    <t xml:space="preserve">ПОЧИСТВАНЕ НА ХРАСТИ С ИЗКОРЕНИТЕЛ ИЛИ ТРАКТОР 90-110 к.с.</t>
  </si>
  <si>
    <t xml:space="preserve">Дка</t>
  </si>
  <si>
    <t xml:space="preserve">ПОЧИСТВАНЕ НАНОС </t>
  </si>
  <si>
    <t xml:space="preserve">НАТОВАРВАНЕ НА САМОСВАЛ</t>
  </si>
  <si>
    <t xml:space="preserve">ИЗВОЗВАНЕ СЪС САМОСВАЛ СРЕДНО НА 3 КМ</t>
  </si>
  <si>
    <t xml:space="preserve">ИЗКОП С БАГЕР НА ЗЕМНИ ПОЧВИ </t>
  </si>
  <si>
    <t xml:space="preserve">опорни блокове</t>
  </si>
  <si>
    <t xml:space="preserve">КОФРАЖ - ОПОРЕН БЛОК</t>
  </si>
  <si>
    <t xml:space="preserve">ИЗРАБОТКА И МОНТАЖ НА АРМИРОВКА - НА МОНТАЖНИ КУКИ  8 ММ ОТ СТОМАНА А I </t>
  </si>
  <si>
    <t xml:space="preserve">сондажно преминаване под път с ПЕВП тръба ф400мм PN10 в обсадна стом. тр. ф600мм</t>
  </si>
  <si>
    <t xml:space="preserve">РЪЧЕН ИЗКОП С ШИРИНА НАД 1,2 М И ДЪЛБОЧИНА ДО 2 М В ТЕЖКОЗЕМНИ ПОЧВИ НА ОТВАЛ</t>
  </si>
  <si>
    <t xml:space="preserve">ПОЛАГАНЕ НА ПРЕСЯТА ЗЕМНА МАСА С ФРАКЦИЯ ПО-МАЛКА ОТ 5 СМ ЗА ЗАСИПКА НА ТРЪБИТЕ С 20СМ НАД ТЕМЕ ТРЪБА - ВКЛ. ПРЕСЯВАНЕ</t>
  </si>
  <si>
    <t xml:space="preserve">ПОЛАГАНЕ НА ПРЕСЯТА ЗЕМНА МАСА С ФРАКЦИЯ ПО-МАЛКА ОТ 5 СМ ЗА ПОДЛОЖКА 10СМ ПОД ТРЪБАТА - ВКЛ. ПРЕСЯВАНЕ</t>
  </si>
  <si>
    <t xml:space="preserve">НАПРАВА НА ХОРИЗОНТАЛЕН СОНДАЖ ПОД ПЪТ ф600, ВКЛ. ДОСТАВКА НА ОБСАДНИ ТРЪБИ И РАЗДЕЛИТЕЛИ ПРОТИВ ТРИЕНЕ</t>
  </si>
  <si>
    <t xml:space="preserve">ремонт на съществуваща облекчителна шахта</t>
  </si>
  <si>
    <t xml:space="preserve">автоматичен въздушник с тройно действие монтиран на тръба ф400 PN10 в нова шахта</t>
  </si>
  <si>
    <t xml:space="preserve">автоматичен въздушник с тройно действие монтиран на тръба ф400 PN10 в съществуваща шахта</t>
  </si>
  <si>
    <t xml:space="preserve">изпускател монтиран на тръба ф400 PN16 </t>
  </si>
  <si>
    <t xml:space="preserve">ДОСТАВКА И МОНТАЖ НА ВОДОВЗЕМНА СКОБА-ФЛАНШОВА Ф400/Ф150, PN16</t>
  </si>
  <si>
    <t xml:space="preserve">ДОСТАВКА И МОНТАЖ НА ФЛАНШОВ НАКРАЙНИК Ф160, PN16</t>
  </si>
  <si>
    <t xml:space="preserve">ДОСТАВКА И МОНТАЖ НА СВОБОДЕН ФЛАНЕЦ Ф150, PN16</t>
  </si>
  <si>
    <t xml:space="preserve">ДОСТАВКА И МОНТАЖ НА СПИРАТЕЛЕН КРАН Ф150, PN16</t>
  </si>
  <si>
    <t xml:space="preserve">ДОСТАВКА И МОНТАЖ НА ЖАБА КЛАПА Ф 150, PN16</t>
  </si>
  <si>
    <t xml:space="preserve">ДОСТАВКА, ПОЛАГАНЕ И СВЪРЗВАНЕ НА ТРЪБА ПЕВП Ф160 РЕ100RC, PN16</t>
  </si>
  <si>
    <t xml:space="preserve">изпускател монтиран на тръба ф400 PN10 </t>
  </si>
  <si>
    <t xml:space="preserve">нов стоманобетонов праг на р. Марешница</t>
  </si>
  <si>
    <t xml:space="preserve">ИЗРАБОТКА И МОНТАЖ НА АРМИРОВКА  СТРЕМЕНА  ОТ СТОМАНА А III 8х160</t>
  </si>
  <si>
    <t xml:space="preserve">съществуващи стоманобетонови прагове реки-ремонт</t>
  </si>
  <si>
    <t xml:space="preserve">ИЗВОЗВАНЕ НА ХРАСТИ, ДЪРВЕТА И НАНОСИ СРЕДНО НА 3 КМ</t>
  </si>
  <si>
    <t xml:space="preserve">ИЗКОП С БАГЕР НА ЗЕМНИ ПОЧВИ</t>
  </si>
  <si>
    <t xml:space="preserve">ПОЧИСТВАНЕ БЕТОНОВА ПОВЪРХНОСТ</t>
  </si>
  <si>
    <t xml:space="preserve">ГРУНДИРАНЕ - бетон контакт</t>
  </si>
  <si>
    <t xml:space="preserve">КОФРАЖ ЧЕЛЕН</t>
  </si>
  <si>
    <t xml:space="preserve">ПОЛАГАНЕ БЕТОН В15</t>
  </si>
  <si>
    <t xml:space="preserve">стоманобетонови прагове тип А L-10</t>
  </si>
  <si>
    <t xml:space="preserve">дка</t>
  </si>
  <si>
    <t xml:space="preserve">КОФРАЖ ЗА ПРАВИ СТЕНИ  ТЯЛО ПРАГ</t>
  </si>
  <si>
    <t xml:space="preserve">типови стоманобетонови прагове-ремонт</t>
  </si>
  <si>
    <t xml:space="preserve"> опорни блокове</t>
  </si>
  <si>
    <t xml:space="preserve">сондажно преминаване под път с ПЕВП тръба Ø400 мм PN10 в обсадна стом. тр. Ø600 мм</t>
  </si>
  <si>
    <t xml:space="preserve">автоматичен въздушник с тройно действие монтиран на тръба ф400 PN10 в съществуваща шахта </t>
  </si>
  <si>
    <t xml:space="preserve">стоманобетонови прагове тип B L-15 </t>
  </si>
  <si>
    <t xml:space="preserve">стоманобетонови прагове тип B L-20 </t>
  </si>
  <si>
    <t xml:space="preserve">опорни блокове </t>
  </si>
  <si>
    <t xml:space="preserve">СЪОРЪЖЕНИЯ ПО ВОДОПРОВОДА</t>
  </si>
  <si>
    <t xml:space="preserve">VIII. ПРЕСВЪРЗВАНИЯ СЪС СЪЩЕСТВУВАЩ ДОВЕЖДАЩ ВОДОПРОВОД</t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</si>
  <si>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 6036). </t>
  </si>
  <si>
    <t xml:space="preserve">ДОСТАВКА И МОНТАЖ НА УНИВЕРСАЛНА МУФА С DN400, PN10 - за свързане на HDPE с АЦ - тръби (съгласно ЕN 14525) - за тръби с DN/OD (от 398 мм до 442 мм), с дължина на тялото L=523 мм със следните технически параметри: •Корпус с притискателен пръстен от сферочугун EN- GJS-400 , с епоксидно прахообразно покритие;
•Гъвкаво уплътнение от еластомер съгласно EN 681-1(годно за контакт с питейна вода);
•Гъвкав задържащ пръстен, постоянносвързан към поддържащ елемент от POM;
•Защита от напрежение на опън, от неръждаемастомана (NIRO). Към всяко опорно звено на елемент ефиксиран елемент за защита от напрежение на опън;
•Болтове и гайки от неръждаема стомана (NIRO),снабдени с покритие срещсу износване;
•Защита срещу развиване на главите на болтовете, отнеръждаема стомана (NIRO), със защитна капачка от еластомер;
•Болтове, обръщащи се на 180°;
•Дистанционни втулки от пластмаса;
•Компенсиране на ъгъла макс. 8° (+/- 4° на муфа);
•За създаването на издържаща на опън връзка с тръбиот РЕ се изисква използване на опорна втулка от неръждаема стомана(NIRO) (напр. No. 6035 или6036). </t>
  </si>
  <si>
    <t xml:space="preserve"> ПРЕСВЪРЗВАНИЯ СЪС СЪЩЕСТВУВАЩ ДОВЕЖДАЩ ВОДОПРОВОД</t>
  </si>
  <si>
    <t xml:space="preserve">РЕКАПИТУЛАЦИЯ:</t>
  </si>
  <si>
    <t xml:space="preserve">лв.</t>
  </si>
  <si>
    <t xml:space="preserve">Общо:</t>
  </si>
  <si>
    <t xml:space="preserve">Временно строителство и непредвидени разходи (……... %):</t>
  </si>
  <si>
    <t xml:space="preserve">Нетна строителна стойност на строежа:</t>
  </si>
  <si>
    <t xml:space="preserve">Начислен ДДС (20 %)</t>
  </si>
  <si>
    <t xml:space="preserve">Пълна строителна стойност на строежа:</t>
  </si>
  <si>
    <t xml:space="preserve">лв. с ДДС</t>
  </si>
  <si>
    <t xml:space="preserve">Забележка:</t>
  </si>
  <si>
    <t xml:space="preserve">Попълват се само полетата с жълт цвят!</t>
  </si>
  <si>
    <t xml:space="preserve">Дата:</t>
  </si>
  <si>
    <t xml:space="preserve">год.</t>
  </si>
  <si>
    <t xml:space="preserve">Подпис и печат:</t>
  </si>
  <si>
    <t xml:space="preserve">(име и фамилия)</t>
  </si>
  <si>
    <t xml:space="preserve">(длъжност на представляващия)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</si>
</sst>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@"/>
    <numFmt numFmtId="166" formatCode="0.00"/>
    <numFmt numFmtId="167" formatCode="###\ ###\ ###\ ##0.00&quot; лв.&quot;"/>
    <numFmt numFmtId="168" formatCode="0"/>
    <numFmt numFmtId="169" formatCode="###\ ###\ ##0.000"/>
    <numFmt numFmtId="170" formatCode="#,##0.00\ _л_в_."/>
    <numFmt numFmtId="171" formatCode="#,##0.00"/>
    <numFmt numFmtId="172" formatCode="[$-402]General"/>
    <numFmt numFmtId="173" formatCode="[$-402]@"/>
    <numFmt numFmtId="174" formatCode="[$-402]0.0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Calibri"/>
      <family val="2"/>
      <charset val="204"/>
    </font>
    <font>
      <sz val="4"/>
      <name val="Calibri"/>
      <family val="2"/>
      <charset val="204"/>
    </font>
    <font>
      <u val="single"/>
      <sz val="10"/>
      <name val="Calibri"/>
      <family val="2"/>
      <charset val="204"/>
    </font>
    <font>
      <b val="true"/>
      <sz val="11"/>
      <name val="Calibri"/>
      <family val="2"/>
      <charset val="204"/>
    </font>
    <font>
      <b val="true"/>
      <sz val="8"/>
      <name val="Calibri"/>
      <family val="2"/>
      <charset val="204"/>
    </font>
    <font>
      <b val="true"/>
      <sz val="10"/>
      <name val="Calibri"/>
      <family val="2"/>
      <charset val="204"/>
    </font>
    <font>
      <b val="true"/>
      <sz val="12"/>
      <color rgb="FFFF0000"/>
      <name val="Calibri"/>
      <family val="2"/>
      <charset val="204"/>
    </font>
    <font>
      <sz val="8"/>
      <name val="Calibri"/>
      <family val="2"/>
      <charset val="204"/>
    </font>
    <font>
      <vertAlign val="superscript"/>
      <sz val="8"/>
      <name val="Calibri"/>
      <family val="2"/>
      <charset val="204"/>
    </font>
    <font>
      <sz val="11"/>
      <name val="Calibri"/>
      <family val="2"/>
      <charset val="204"/>
    </font>
    <font>
      <b val="true"/>
      <u val="single"/>
      <sz val="8"/>
      <name val="Calibri"/>
      <family val="2"/>
      <charset val="204"/>
    </font>
    <font>
      <b val="true"/>
      <u val="single"/>
      <sz val="12"/>
      <name val="Calibri"/>
      <family val="2"/>
      <charset val="204"/>
    </font>
    <font>
      <sz val="9"/>
      <name val="Calibri"/>
      <family val="2"/>
      <charset val="204"/>
    </font>
    <font>
      <sz val="2"/>
      <name val="Calibri"/>
      <family val="2"/>
      <charset val="204"/>
    </font>
    <font>
      <b val="true"/>
      <sz val="9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Calibri"/>
      <family val="2"/>
      <charset val="204"/>
    </font>
    <font>
      <b val="true"/>
      <i val="true"/>
      <u val="single"/>
      <sz val="12"/>
      <name val="Calibri"/>
      <family val="2"/>
      <charset val="204"/>
    </font>
    <font>
      <i val="true"/>
      <sz val="12"/>
      <color rgb="FFFF0000"/>
      <name val="Calibri"/>
      <family val="2"/>
      <charset val="204"/>
    </font>
    <font>
      <sz val="8"/>
      <name val="Calibri"/>
      <family val="2"/>
      <charset val="1"/>
    </font>
    <font>
      <sz val="10"/>
      <name val="Calibri"/>
      <family val="2"/>
      <charset val="204"/>
    </font>
    <font>
      <i val="true"/>
      <sz val="8"/>
      <name val="Calibri"/>
      <family val="2"/>
      <charset val="204"/>
    </font>
    <font>
      <i val="true"/>
      <sz val="10"/>
      <name val="Calibri"/>
      <family val="2"/>
      <charset val="204"/>
    </font>
    <font>
      <i val="true"/>
      <sz val="6"/>
      <name val="Calibri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0.15"/>
        <bgColor rgb="FFDAE3F3"/>
      </patternFill>
    </fill>
    <fill>
      <patternFill patternType="solid">
        <fgColor theme="6" tint="0.7999"/>
        <bgColor rgb="FFDAE3F3"/>
      </patternFill>
    </fill>
    <fill>
      <patternFill patternType="solid">
        <fgColor rgb="FFFFFF00"/>
        <bgColor rgb="FFFFFF00"/>
      </patternFill>
    </fill>
    <fill>
      <patternFill patternType="solid">
        <fgColor theme="8" tint="0.7999"/>
        <bgColor rgb="FFD9D9D9"/>
      </patternFill>
    </fill>
    <fill>
      <patternFill patternType="solid">
        <fgColor theme="7" tint="0.7999"/>
        <bgColor rgb="FFEDEDED"/>
      </patternFill>
    </fill>
    <fill>
      <patternFill patternType="solid">
        <fgColor theme="9" tint="0.3999"/>
        <bgColor rgb="FFBDD7EE"/>
      </patternFill>
    </fill>
    <fill>
      <patternFill patternType="solid">
        <fgColor theme="4" tint="0.5999"/>
        <bgColor rgb="FFD9D9D9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72" fontId="19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4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3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true">
      <alignment horizontal="center" vertical="center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1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1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0" fillId="5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1" fillId="4" borderId="6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11" fillId="0" borderId="6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6" fontId="11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6" fontId="11" fillId="4" borderId="6" xfId="0" applyFont="true" applyBorder="true" applyAlignment="true" applyProtection="true">
      <alignment horizontal="right" vertical="center" textRotation="0" wrapText="true" indent="0" shrinkToFit="false"/>
      <protection locked="false" hidden="false"/>
    </xf>
    <xf numFmtId="167" fontId="11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0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1" fillId="7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7" fontId="8" fillId="7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6" fontId="11" fillId="4" borderId="6" xfId="0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4" fontId="11" fillId="7" borderId="4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1" fillId="7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8" fillId="7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3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11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8" fontId="11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1" fillId="4" borderId="6" xfId="0" applyFont="true" applyBorder="true" applyAlignment="true" applyProtection="true">
      <alignment horizontal="general" vertical="top" textRotation="0" wrapText="true" indent="0" shrinkToFit="false"/>
      <protection locked="false" hidden="false"/>
    </xf>
    <xf numFmtId="167" fontId="8" fillId="0" borderId="6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11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" fillId="0" borderId="6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8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1" fillId="0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4" fillId="8" borderId="4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6" fontId="1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6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8" fillId="7" borderId="4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7" borderId="6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3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3" fillId="2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7" fontId="11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0" borderId="6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11" fillId="0" borderId="6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8" fillId="7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1" fillId="7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1" fillId="7" borderId="8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3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5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6" fontId="15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9" fontId="11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5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7" fontId="16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6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0" fontId="1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1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17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7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18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8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true">
      <alignment horizontal="left" vertical="center" textRotation="0" wrapText="true" indent="0" shrinkToFit="false"/>
      <protection locked="false" hidden="false"/>
    </xf>
    <xf numFmtId="170" fontId="11" fillId="0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0" fontId="11" fillId="4" borderId="0" xfId="0" applyFont="true" applyBorder="true" applyAlignment="true" applyProtection="true">
      <alignment horizontal="general" vertical="center" textRotation="0" wrapText="true" indent="0" shrinkToFit="false"/>
      <protection locked="false" hidden="false"/>
    </xf>
    <xf numFmtId="171" fontId="11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11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6" fontId="13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70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1" fontId="9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6" fontId="9" fillId="0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0" fontId="9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7" fontId="9" fillId="0" borderId="0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3" fontId="2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1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2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0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20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7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3" fontId="13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13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3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24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24" fillId="4" borderId="10" xfId="2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72" fontId="24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72" fontId="7" fillId="0" borderId="0" xfId="2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3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3" fontId="2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24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4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24" fillId="4" borderId="10" xfId="2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9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72" fontId="25" fillId="0" borderId="0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2" fontId="26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27" fillId="0" borderId="0" xfId="2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2CC"/>
      <rgbColor rgb="FFDAE3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D9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на Office">
  <a:themeElements>
    <a:clrScheme name="О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V747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C1" activeCellId="0" sqref="C1"/>
    </sheetView>
  </sheetViews>
  <sheetFormatPr defaultColWidth="8.59765625" defaultRowHeight="14.25" zeroHeight="false" outlineLevelRow="0" outlineLevelCol="0"/>
  <cols>
    <col collapsed="false" customWidth="true" hidden="false" outlineLevel="0" max="1" min="1" style="1" width="5.11"/>
    <col collapsed="false" customWidth="true" hidden="false" outlineLevel="0" max="2" min="2" style="1" width="13.89"/>
    <col collapsed="false" customWidth="true" hidden="false" outlineLevel="0" max="3" min="3" style="1" width="57.89"/>
    <col collapsed="false" customWidth="true" hidden="false" outlineLevel="0" max="5" min="5" style="1" width="14.11"/>
    <col collapsed="false" customWidth="true" hidden="false" outlineLevel="0" max="7" min="7" style="1" width="19.55"/>
  </cols>
  <sheetData>
    <row r="1" customFormat="false" ht="17.9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4.25" hidden="false" customHeight="false" outlineLevel="0" collapsed="false">
      <c r="A2" s="3"/>
      <c r="B2" s="4"/>
      <c r="C2" s="3"/>
      <c r="D2" s="3"/>
      <c r="E2" s="3"/>
      <c r="F2" s="3"/>
      <c r="G2" s="3"/>
    </row>
    <row r="3" customFormat="false" ht="15" hidden="false" customHeight="true" outlineLevel="0" collapsed="false">
      <c r="A3" s="5" t="s">
        <v>1</v>
      </c>
      <c r="B3" s="5"/>
      <c r="C3" s="6" t="s">
        <v>2</v>
      </c>
      <c r="D3" s="6"/>
      <c r="E3" s="6"/>
      <c r="F3" s="6"/>
      <c r="G3" s="6"/>
    </row>
    <row r="7" customFormat="false" ht="14.25" hidden="false" customHeight="false" outlineLevel="0" collapsed="false">
      <c r="A7" s="7" t="s">
        <v>3</v>
      </c>
      <c r="B7" s="8" t="s">
        <v>4</v>
      </c>
      <c r="C7" s="8" t="s">
        <v>5</v>
      </c>
      <c r="D7" s="8" t="s">
        <v>6</v>
      </c>
      <c r="E7" s="8" t="s">
        <v>7</v>
      </c>
      <c r="F7" s="8" t="s">
        <v>8</v>
      </c>
      <c r="G7" s="8" t="s">
        <v>9</v>
      </c>
      <c r="H7" s="9" t="s">
        <v>10</v>
      </c>
    </row>
    <row r="8" customFormat="false" ht="14.25" hidden="false" customHeight="true" outlineLevel="0" collapsed="false">
      <c r="A8" s="10" t="s">
        <v>11</v>
      </c>
      <c r="B8" s="10"/>
      <c r="C8" s="10"/>
      <c r="D8" s="10"/>
      <c r="E8" s="10"/>
      <c r="F8" s="10"/>
      <c r="G8" s="10"/>
      <c r="H8" s="11"/>
    </row>
    <row r="9" customFormat="false" ht="15" hidden="false" customHeight="true" outlineLevel="0" collapsed="false">
      <c r="A9" s="12" t="s">
        <v>12</v>
      </c>
      <c r="B9" s="12"/>
      <c r="C9" s="13" t="s">
        <v>13</v>
      </c>
      <c r="D9" s="13"/>
      <c r="E9" s="13"/>
      <c r="F9" s="13"/>
      <c r="G9" s="13"/>
      <c r="H9" s="14"/>
    </row>
    <row r="10" customFormat="false" ht="14.25" hidden="false" customHeight="false" outlineLevel="0" collapsed="false">
      <c r="A10" s="15" t="n">
        <v>1</v>
      </c>
      <c r="B10" s="16"/>
      <c r="C10" s="17" t="s">
        <v>14</v>
      </c>
      <c r="D10" s="18" t="s">
        <v>15</v>
      </c>
      <c r="E10" s="19" t="n">
        <v>107.04</v>
      </c>
      <c r="F10" s="20"/>
      <c r="G10" s="21" t="n">
        <f aca="false">E10*F10</f>
        <v>0</v>
      </c>
      <c r="H10" s="14"/>
    </row>
    <row r="11" customFormat="false" ht="14.25" hidden="false" customHeight="false" outlineLevel="0" collapsed="false">
      <c r="A11" s="15" t="n">
        <v>2</v>
      </c>
      <c r="B11" s="16"/>
      <c r="C11" s="17" t="s">
        <v>16</v>
      </c>
      <c r="D11" s="18" t="s">
        <v>17</v>
      </c>
      <c r="E11" s="19" t="n">
        <v>150</v>
      </c>
      <c r="F11" s="20"/>
      <c r="G11" s="21" t="n">
        <f aca="false">E11*F11</f>
        <v>0</v>
      </c>
      <c r="H11" s="14"/>
    </row>
    <row r="12" customFormat="false" ht="14.25" hidden="false" customHeight="false" outlineLevel="0" collapsed="false">
      <c r="A12" s="15" t="n">
        <v>3</v>
      </c>
      <c r="B12" s="16"/>
      <c r="C12" s="17" t="s">
        <v>18</v>
      </c>
      <c r="D12" s="18" t="s">
        <v>17</v>
      </c>
      <c r="E12" s="19" t="n">
        <v>150</v>
      </c>
      <c r="F12" s="20"/>
      <c r="G12" s="21" t="n">
        <f aca="false">E12*F12</f>
        <v>0</v>
      </c>
      <c r="H12" s="14"/>
    </row>
    <row r="13" customFormat="false" ht="14.25" hidden="false" customHeight="false" outlineLevel="0" collapsed="false">
      <c r="A13" s="15" t="n">
        <v>4</v>
      </c>
      <c r="B13" s="16"/>
      <c r="C13" s="17" t="s">
        <v>19</v>
      </c>
      <c r="D13" s="18" t="s">
        <v>20</v>
      </c>
      <c r="E13" s="19" t="n">
        <v>8847</v>
      </c>
      <c r="F13" s="20"/>
      <c r="G13" s="21" t="n">
        <f aca="false">E13*F13</f>
        <v>0</v>
      </c>
      <c r="H13" s="14"/>
    </row>
    <row r="14" customFormat="false" ht="14.25" hidden="false" customHeight="false" outlineLevel="0" collapsed="false">
      <c r="A14" s="15" t="n">
        <v>5</v>
      </c>
      <c r="B14" s="16"/>
      <c r="C14" s="17" t="s">
        <v>21</v>
      </c>
      <c r="D14" s="18" t="s">
        <v>17</v>
      </c>
      <c r="E14" s="19" t="n">
        <v>398</v>
      </c>
      <c r="F14" s="20"/>
      <c r="G14" s="21" t="n">
        <f aca="false">E14*F14</f>
        <v>0</v>
      </c>
      <c r="H14" s="14"/>
    </row>
    <row r="15" customFormat="false" ht="23.85" hidden="false" customHeight="false" outlineLevel="0" collapsed="false">
      <c r="A15" s="15" t="n">
        <v>6</v>
      </c>
      <c r="B15" s="16"/>
      <c r="C15" s="17" t="s">
        <v>22</v>
      </c>
      <c r="D15" s="18" t="s">
        <v>17</v>
      </c>
      <c r="E15" s="19" t="n">
        <v>40</v>
      </c>
      <c r="F15" s="20"/>
      <c r="G15" s="21" t="n">
        <f aca="false">E15*F15</f>
        <v>0</v>
      </c>
      <c r="H15" s="14"/>
    </row>
    <row r="16" customFormat="false" ht="14.25" hidden="false" customHeight="false" outlineLevel="0" collapsed="false">
      <c r="A16" s="15" t="n">
        <v>7</v>
      </c>
      <c r="B16" s="16"/>
      <c r="C16" s="17" t="s">
        <v>23</v>
      </c>
      <c r="D16" s="18" t="s">
        <v>17</v>
      </c>
      <c r="E16" s="19" t="n">
        <v>1187</v>
      </c>
      <c r="F16" s="20"/>
      <c r="G16" s="21" t="n">
        <f aca="false">E16*F16</f>
        <v>0</v>
      </c>
      <c r="H16" s="14"/>
    </row>
    <row r="17" customFormat="false" ht="23.85" hidden="false" customHeight="false" outlineLevel="0" collapsed="false">
      <c r="A17" s="15" t="n">
        <v>8</v>
      </c>
      <c r="B17" s="16"/>
      <c r="C17" s="17" t="s">
        <v>24</v>
      </c>
      <c r="D17" s="18" t="s">
        <v>17</v>
      </c>
      <c r="E17" s="19" t="n">
        <v>2818</v>
      </c>
      <c r="F17" s="20"/>
      <c r="G17" s="21" t="n">
        <f aca="false">E17*F17</f>
        <v>0</v>
      </c>
      <c r="H17" s="14"/>
    </row>
    <row r="18" customFormat="false" ht="23.85" hidden="false" customHeight="false" outlineLevel="0" collapsed="false">
      <c r="A18" s="15" t="n">
        <v>9</v>
      </c>
      <c r="B18" s="16"/>
      <c r="C18" s="17" t="s">
        <v>25</v>
      </c>
      <c r="D18" s="18" t="s">
        <v>17</v>
      </c>
      <c r="E18" s="19" t="n">
        <v>289</v>
      </c>
      <c r="F18" s="20"/>
      <c r="G18" s="21" t="n">
        <f aca="false">E18*F18</f>
        <v>0</v>
      </c>
      <c r="H18" s="14"/>
    </row>
    <row r="19" customFormat="false" ht="23.85" hidden="false" customHeight="false" outlineLevel="0" collapsed="false">
      <c r="A19" s="15" t="n">
        <v>10</v>
      </c>
      <c r="B19" s="16"/>
      <c r="C19" s="17" t="s">
        <v>26</v>
      </c>
      <c r="D19" s="18" t="s">
        <v>17</v>
      </c>
      <c r="E19" s="19" t="n">
        <v>675</v>
      </c>
      <c r="F19" s="20"/>
      <c r="G19" s="21" t="n">
        <f aca="false">E19*F19</f>
        <v>0</v>
      </c>
      <c r="H19" s="14"/>
    </row>
    <row r="20" customFormat="false" ht="14.25" hidden="false" customHeight="false" outlineLevel="0" collapsed="false">
      <c r="A20" s="15" t="n">
        <v>11</v>
      </c>
      <c r="B20" s="16"/>
      <c r="C20" s="17" t="s">
        <v>27</v>
      </c>
      <c r="D20" s="18" t="s">
        <v>17</v>
      </c>
      <c r="E20" s="19" t="n">
        <v>7</v>
      </c>
      <c r="F20" s="20"/>
      <c r="G20" s="21" t="n">
        <f aca="false">E20*F20</f>
        <v>0</v>
      </c>
      <c r="H20" s="14"/>
    </row>
    <row r="21" customFormat="false" ht="23.85" hidden="false" customHeight="false" outlineLevel="0" collapsed="false">
      <c r="A21" s="15" t="n">
        <v>12</v>
      </c>
      <c r="B21" s="16"/>
      <c r="C21" s="17" t="s">
        <v>28</v>
      </c>
      <c r="D21" s="18" t="s">
        <v>17</v>
      </c>
      <c r="E21" s="19" t="n">
        <v>29</v>
      </c>
      <c r="F21" s="20"/>
      <c r="G21" s="21" t="n">
        <f aca="false">E21*F21</f>
        <v>0</v>
      </c>
      <c r="H21" s="14"/>
    </row>
    <row r="22" customFormat="false" ht="23.85" hidden="false" customHeight="false" outlineLevel="0" collapsed="false">
      <c r="A22" s="15" t="n">
        <v>13</v>
      </c>
      <c r="B22" s="16"/>
      <c r="C22" s="17" t="s">
        <v>29</v>
      </c>
      <c r="D22" s="18" t="s">
        <v>17</v>
      </c>
      <c r="E22" s="19" t="n">
        <v>37</v>
      </c>
      <c r="F22" s="20"/>
      <c r="G22" s="21" t="n">
        <f aca="false">E22*F22</f>
        <v>0</v>
      </c>
      <c r="H22" s="14"/>
    </row>
    <row r="23" customFormat="false" ht="17.9" hidden="false" customHeight="true" outlineLevel="0" collapsed="false">
      <c r="A23" s="12" t="s">
        <v>30</v>
      </c>
      <c r="B23" s="12"/>
      <c r="C23" s="22" t="s">
        <v>31</v>
      </c>
      <c r="D23" s="22"/>
      <c r="E23" s="22"/>
      <c r="F23" s="22"/>
      <c r="G23" s="22"/>
      <c r="H23" s="14"/>
    </row>
    <row r="24" customFormat="false" ht="14.25" hidden="false" customHeight="false" outlineLevel="0" collapsed="false">
      <c r="A24" s="23" t="n">
        <v>1</v>
      </c>
      <c r="B24" s="24"/>
      <c r="C24" s="25" t="s">
        <v>14</v>
      </c>
      <c r="D24" s="26" t="s">
        <v>15</v>
      </c>
      <c r="E24" s="27" t="n">
        <v>144</v>
      </c>
      <c r="F24" s="28"/>
      <c r="G24" s="29" t="n">
        <f aca="false">E24*F24</f>
        <v>0</v>
      </c>
      <c r="H24" s="14"/>
    </row>
    <row r="25" customFormat="false" ht="14.25" hidden="false" customHeight="false" outlineLevel="0" collapsed="false">
      <c r="A25" s="23" t="n">
        <v>2</v>
      </c>
      <c r="B25" s="24"/>
      <c r="C25" s="25" t="s">
        <v>16</v>
      </c>
      <c r="D25" s="26" t="s">
        <v>17</v>
      </c>
      <c r="E25" s="27" t="n">
        <v>202</v>
      </c>
      <c r="F25" s="28"/>
      <c r="G25" s="29" t="n">
        <f aca="false">E25*F25</f>
        <v>0</v>
      </c>
      <c r="H25" s="14"/>
    </row>
    <row r="26" customFormat="false" ht="14.25" hidden="false" customHeight="false" outlineLevel="0" collapsed="false">
      <c r="A26" s="23" t="n">
        <v>3</v>
      </c>
      <c r="B26" s="24"/>
      <c r="C26" s="25" t="s">
        <v>18</v>
      </c>
      <c r="D26" s="26" t="s">
        <v>17</v>
      </c>
      <c r="E26" s="27" t="n">
        <v>202</v>
      </c>
      <c r="F26" s="28"/>
      <c r="G26" s="29" t="n">
        <f aca="false">E26*F26</f>
        <v>0</v>
      </c>
      <c r="H26" s="14"/>
    </row>
    <row r="27" customFormat="false" ht="14.25" hidden="false" customHeight="false" outlineLevel="0" collapsed="false">
      <c r="A27" s="23" t="n">
        <v>4</v>
      </c>
      <c r="B27" s="24"/>
      <c r="C27" s="25" t="s">
        <v>19</v>
      </c>
      <c r="D27" s="26" t="s">
        <v>20</v>
      </c>
      <c r="E27" s="27" t="n">
        <v>9098</v>
      </c>
      <c r="F27" s="28"/>
      <c r="G27" s="29" t="n">
        <f aca="false">E27*F27</f>
        <v>0</v>
      </c>
      <c r="H27" s="14"/>
    </row>
    <row r="28" customFormat="false" ht="14.25" hidden="false" customHeight="false" outlineLevel="0" collapsed="false">
      <c r="A28" s="23" t="n">
        <v>5</v>
      </c>
      <c r="B28" s="24"/>
      <c r="C28" s="25" t="s">
        <v>21</v>
      </c>
      <c r="D28" s="26" t="s">
        <v>17</v>
      </c>
      <c r="E28" s="27" t="n">
        <v>599</v>
      </c>
      <c r="F28" s="28"/>
      <c r="G28" s="29" t="n">
        <f aca="false">E28*F28</f>
        <v>0</v>
      </c>
      <c r="H28" s="14"/>
    </row>
    <row r="29" customFormat="false" ht="23.85" hidden="false" customHeight="false" outlineLevel="0" collapsed="false">
      <c r="A29" s="23" t="n">
        <v>6</v>
      </c>
      <c r="B29" s="24"/>
      <c r="C29" s="25" t="s">
        <v>22</v>
      </c>
      <c r="D29" s="26" t="s">
        <v>17</v>
      </c>
      <c r="E29" s="27" t="n">
        <v>60</v>
      </c>
      <c r="F29" s="28"/>
      <c r="G29" s="29" t="n">
        <f aca="false">E29*F29</f>
        <v>0</v>
      </c>
      <c r="H29" s="14"/>
    </row>
    <row r="30" customFormat="false" ht="14.25" hidden="false" customHeight="false" outlineLevel="0" collapsed="false">
      <c r="A30" s="23" t="n">
        <v>7</v>
      </c>
      <c r="B30" s="24"/>
      <c r="C30" s="25" t="s">
        <v>23</v>
      </c>
      <c r="D30" s="26" t="s">
        <v>17</v>
      </c>
      <c r="E30" s="27" t="n">
        <v>1714</v>
      </c>
      <c r="F30" s="28"/>
      <c r="G30" s="29" t="n">
        <f aca="false">E30*F30</f>
        <v>0</v>
      </c>
      <c r="H30" s="14"/>
    </row>
    <row r="31" customFormat="false" ht="23.85" hidden="false" customHeight="false" outlineLevel="0" collapsed="false">
      <c r="A31" s="23" t="n">
        <v>8</v>
      </c>
      <c r="B31" s="24"/>
      <c r="C31" s="25" t="s">
        <v>24</v>
      </c>
      <c r="D31" s="26" t="s">
        <v>17</v>
      </c>
      <c r="E31" s="27" t="n">
        <v>4040</v>
      </c>
      <c r="F31" s="28"/>
      <c r="G31" s="29" t="n">
        <f aca="false">E31*F31</f>
        <v>0</v>
      </c>
      <c r="H31" s="14"/>
    </row>
    <row r="32" customFormat="false" ht="23.85" hidden="false" customHeight="false" outlineLevel="0" collapsed="false">
      <c r="A32" s="23" t="n">
        <v>9</v>
      </c>
      <c r="B32" s="24"/>
      <c r="C32" s="25" t="s">
        <v>25</v>
      </c>
      <c r="D32" s="26" t="s">
        <v>17</v>
      </c>
      <c r="E32" s="27" t="n">
        <v>416</v>
      </c>
      <c r="F32" s="28"/>
      <c r="G32" s="29" t="n">
        <f aca="false">E32*F32</f>
        <v>0</v>
      </c>
      <c r="H32" s="14"/>
    </row>
    <row r="33" customFormat="false" ht="23.85" hidden="false" customHeight="false" outlineLevel="0" collapsed="false">
      <c r="A33" s="23" t="n">
        <v>10</v>
      </c>
      <c r="B33" s="24"/>
      <c r="C33" s="25" t="s">
        <v>26</v>
      </c>
      <c r="D33" s="26" t="s">
        <v>17</v>
      </c>
      <c r="E33" s="27" t="n">
        <v>971</v>
      </c>
      <c r="F33" s="28"/>
      <c r="G33" s="29" t="n">
        <f aca="false">E33*F33</f>
        <v>0</v>
      </c>
      <c r="H33" s="14"/>
    </row>
    <row r="34" customFormat="false" ht="14.25" hidden="false" customHeight="false" outlineLevel="0" collapsed="false">
      <c r="A34" s="23" t="n">
        <v>11</v>
      </c>
      <c r="B34" s="24"/>
      <c r="C34" s="25" t="s">
        <v>27</v>
      </c>
      <c r="D34" s="26" t="s">
        <v>17</v>
      </c>
      <c r="E34" s="27" t="n">
        <v>5</v>
      </c>
      <c r="F34" s="28"/>
      <c r="G34" s="29" t="n">
        <f aca="false">E34*F34</f>
        <v>0</v>
      </c>
      <c r="H34" s="14"/>
    </row>
    <row r="35" customFormat="false" ht="23.85" hidden="false" customHeight="false" outlineLevel="0" collapsed="false">
      <c r="A35" s="23" t="n">
        <v>12</v>
      </c>
      <c r="B35" s="24"/>
      <c r="C35" s="25" t="s">
        <v>28</v>
      </c>
      <c r="D35" s="26" t="s">
        <v>17</v>
      </c>
      <c r="E35" s="27" t="n">
        <v>21</v>
      </c>
      <c r="F35" s="28"/>
      <c r="G35" s="29" t="n">
        <f aca="false">E35*F35</f>
        <v>0</v>
      </c>
      <c r="H35" s="14"/>
    </row>
    <row r="36" customFormat="false" ht="23.85" hidden="false" customHeight="false" outlineLevel="0" collapsed="false">
      <c r="A36" s="23" t="n">
        <v>13</v>
      </c>
      <c r="B36" s="24"/>
      <c r="C36" s="25" t="s">
        <v>32</v>
      </c>
      <c r="D36" s="26" t="s">
        <v>17</v>
      </c>
      <c r="E36" s="27" t="n">
        <v>7</v>
      </c>
      <c r="F36" s="28"/>
      <c r="G36" s="29" t="n">
        <f aca="false">E36*F36</f>
        <v>0</v>
      </c>
      <c r="H36" s="14"/>
    </row>
    <row r="37" customFormat="false" ht="14.25" hidden="false" customHeight="false" outlineLevel="0" collapsed="false">
      <c r="A37" s="23" t="n">
        <v>14</v>
      </c>
      <c r="B37" s="24"/>
      <c r="C37" s="25" t="s">
        <v>33</v>
      </c>
      <c r="D37" s="26" t="s">
        <v>17</v>
      </c>
      <c r="E37" s="27" t="n">
        <v>18</v>
      </c>
      <c r="F37" s="28"/>
      <c r="G37" s="29" t="n">
        <f aca="false">E37*F37</f>
        <v>0</v>
      </c>
      <c r="H37" s="14"/>
    </row>
    <row r="38" customFormat="false" ht="23.85" hidden="false" customHeight="false" outlineLevel="0" collapsed="false">
      <c r="A38" s="23" t="n">
        <v>15</v>
      </c>
      <c r="B38" s="24"/>
      <c r="C38" s="25" t="s">
        <v>29</v>
      </c>
      <c r="D38" s="26" t="s">
        <v>17</v>
      </c>
      <c r="E38" s="27" t="n">
        <v>31</v>
      </c>
      <c r="F38" s="28"/>
      <c r="G38" s="29" t="n">
        <f aca="false">E38*F38</f>
        <v>0</v>
      </c>
      <c r="H38" s="14"/>
    </row>
    <row r="39" customFormat="false" ht="14.25" hidden="false" customHeight="false" outlineLevel="0" collapsed="false">
      <c r="A39" s="23" t="n">
        <v>16</v>
      </c>
      <c r="B39" s="24"/>
      <c r="C39" s="25" t="s">
        <v>34</v>
      </c>
      <c r="D39" s="26" t="s">
        <v>35</v>
      </c>
      <c r="E39" s="27" t="n">
        <v>174</v>
      </c>
      <c r="F39" s="28"/>
      <c r="G39" s="29" t="n">
        <f aca="false">E39*F39</f>
        <v>0</v>
      </c>
      <c r="H39" s="14"/>
    </row>
    <row r="40" customFormat="false" ht="17.9" hidden="false" customHeight="true" outlineLevel="0" collapsed="false">
      <c r="A40" s="12" t="s">
        <v>36</v>
      </c>
      <c r="B40" s="12"/>
      <c r="C40" s="30" t="s">
        <v>37</v>
      </c>
      <c r="D40" s="30"/>
      <c r="E40" s="30"/>
      <c r="F40" s="30"/>
      <c r="G40" s="30"/>
      <c r="H40" s="14"/>
    </row>
    <row r="41" customFormat="false" ht="14.25" hidden="false" customHeight="false" outlineLevel="0" collapsed="false">
      <c r="A41" s="23" t="n">
        <v>1</v>
      </c>
      <c r="B41" s="24"/>
      <c r="C41" s="25" t="s">
        <v>14</v>
      </c>
      <c r="D41" s="26" t="s">
        <v>15</v>
      </c>
      <c r="E41" s="19" t="n">
        <v>114.654</v>
      </c>
      <c r="F41" s="20"/>
      <c r="G41" s="29" t="n">
        <f aca="false">E41*F41</f>
        <v>0</v>
      </c>
      <c r="H41" s="14"/>
    </row>
    <row r="42" customFormat="false" ht="14.25" hidden="false" customHeight="false" outlineLevel="0" collapsed="false">
      <c r="A42" s="23" t="n">
        <v>2</v>
      </c>
      <c r="B42" s="24"/>
      <c r="C42" s="25" t="s">
        <v>16</v>
      </c>
      <c r="D42" s="26" t="s">
        <v>17</v>
      </c>
      <c r="E42" s="19" t="n">
        <v>160.827</v>
      </c>
      <c r="F42" s="20"/>
      <c r="G42" s="29" t="n">
        <f aca="false">E42*F42</f>
        <v>0</v>
      </c>
      <c r="H42" s="14"/>
    </row>
    <row r="43" customFormat="false" ht="14.25" hidden="false" customHeight="false" outlineLevel="0" collapsed="false">
      <c r="A43" s="23" t="n">
        <v>3</v>
      </c>
      <c r="B43" s="24"/>
      <c r="C43" s="25" t="s">
        <v>18</v>
      </c>
      <c r="D43" s="26" t="s">
        <v>17</v>
      </c>
      <c r="E43" s="19" t="n">
        <v>160.827</v>
      </c>
      <c r="F43" s="20"/>
      <c r="G43" s="29" t="n">
        <f aca="false">E43*F43</f>
        <v>0</v>
      </c>
      <c r="H43" s="14"/>
    </row>
    <row r="44" customFormat="false" ht="14.25" hidden="false" customHeight="false" outlineLevel="0" collapsed="false">
      <c r="A44" s="23" t="n">
        <v>4</v>
      </c>
      <c r="B44" s="24"/>
      <c r="C44" s="25" t="s">
        <v>19</v>
      </c>
      <c r="D44" s="26" t="s">
        <v>20</v>
      </c>
      <c r="E44" s="19" t="n">
        <v>3886.659</v>
      </c>
      <c r="F44" s="20"/>
      <c r="G44" s="29" t="n">
        <f aca="false">E44*F44</f>
        <v>0</v>
      </c>
      <c r="H44" s="14"/>
    </row>
    <row r="45" customFormat="false" ht="14.25" hidden="false" customHeight="false" outlineLevel="0" collapsed="false">
      <c r="A45" s="23" t="n">
        <v>5</v>
      </c>
      <c r="B45" s="24"/>
      <c r="C45" s="25" t="s">
        <v>21</v>
      </c>
      <c r="D45" s="26" t="s">
        <v>17</v>
      </c>
      <c r="E45" s="19" t="n">
        <v>347.387</v>
      </c>
      <c r="F45" s="20"/>
      <c r="G45" s="29" t="n">
        <f aca="false">E45*F45</f>
        <v>0</v>
      </c>
      <c r="H45" s="14"/>
    </row>
    <row r="46" customFormat="false" ht="23.85" hidden="false" customHeight="false" outlineLevel="0" collapsed="false">
      <c r="A46" s="23" t="n">
        <v>6</v>
      </c>
      <c r="B46" s="24"/>
      <c r="C46" s="25" t="s">
        <v>22</v>
      </c>
      <c r="D46" s="26" t="s">
        <v>17</v>
      </c>
      <c r="E46" s="19" t="n">
        <v>34.846</v>
      </c>
      <c r="F46" s="20"/>
      <c r="G46" s="29" t="n">
        <f aca="false">E46*F46</f>
        <v>0</v>
      </c>
      <c r="H46" s="14"/>
    </row>
    <row r="47" customFormat="false" ht="14.25" hidden="false" customHeight="false" outlineLevel="0" collapsed="false">
      <c r="A47" s="23" t="n">
        <v>7</v>
      </c>
      <c r="B47" s="24"/>
      <c r="C47" s="25" t="s">
        <v>23</v>
      </c>
      <c r="D47" s="26" t="s">
        <v>17</v>
      </c>
      <c r="E47" s="19" t="n">
        <v>955.314</v>
      </c>
      <c r="F47" s="20"/>
      <c r="G47" s="29" t="n">
        <f aca="false">E47*F47</f>
        <v>0</v>
      </c>
      <c r="H47" s="14"/>
    </row>
    <row r="48" customFormat="false" ht="23.85" hidden="false" customHeight="false" outlineLevel="0" collapsed="false">
      <c r="A48" s="23" t="n">
        <v>8</v>
      </c>
      <c r="B48" s="24"/>
      <c r="C48" s="25" t="s">
        <v>24</v>
      </c>
      <c r="D48" s="26" t="s">
        <v>17</v>
      </c>
      <c r="E48" s="19" t="n">
        <v>2255.066</v>
      </c>
      <c r="F48" s="20"/>
      <c r="G48" s="29" t="n">
        <f aca="false">E48*F48</f>
        <v>0</v>
      </c>
      <c r="H48" s="14"/>
    </row>
    <row r="49" customFormat="false" ht="23.85" hidden="false" customHeight="false" outlineLevel="0" collapsed="false">
      <c r="A49" s="23" t="n">
        <v>9</v>
      </c>
      <c r="B49" s="24"/>
      <c r="C49" s="25" t="s">
        <v>25</v>
      </c>
      <c r="D49" s="26" t="s">
        <v>17</v>
      </c>
      <c r="E49" s="19" t="n">
        <v>254.643</v>
      </c>
      <c r="F49" s="20"/>
      <c r="G49" s="29" t="n">
        <f aca="false">E49*F49</f>
        <v>0</v>
      </c>
      <c r="H49" s="14"/>
    </row>
    <row r="50" customFormat="false" ht="23.85" hidden="false" customHeight="false" outlineLevel="0" collapsed="false">
      <c r="A50" s="23" t="n">
        <v>10</v>
      </c>
      <c r="B50" s="24"/>
      <c r="C50" s="25" t="s">
        <v>26</v>
      </c>
      <c r="D50" s="26" t="s">
        <v>17</v>
      </c>
      <c r="E50" s="19" t="n">
        <v>594.257</v>
      </c>
      <c r="F50" s="20"/>
      <c r="G50" s="29" t="n">
        <f aca="false">E50*F50</f>
        <v>0</v>
      </c>
      <c r="H50" s="14"/>
    </row>
    <row r="51" customFormat="false" ht="14.25" hidden="false" customHeight="false" outlineLevel="0" collapsed="false">
      <c r="A51" s="23" t="n">
        <v>11</v>
      </c>
      <c r="B51" s="24"/>
      <c r="C51" s="25" t="s">
        <v>27</v>
      </c>
      <c r="D51" s="26" t="s">
        <v>17</v>
      </c>
      <c r="E51" s="19" t="n">
        <v>1.34</v>
      </c>
      <c r="F51" s="20"/>
      <c r="G51" s="29" t="n">
        <f aca="false">E51*F51</f>
        <v>0</v>
      </c>
      <c r="H51" s="14"/>
    </row>
    <row r="52" customFormat="false" ht="23.85" hidden="false" customHeight="false" outlineLevel="0" collapsed="false">
      <c r="A52" s="23" t="n">
        <v>12</v>
      </c>
      <c r="B52" s="24"/>
      <c r="C52" s="25" t="s">
        <v>28</v>
      </c>
      <c r="D52" s="26" t="s">
        <v>17</v>
      </c>
      <c r="E52" s="19" t="n">
        <v>4.825</v>
      </c>
      <c r="F52" s="20"/>
      <c r="G52" s="29" t="n">
        <f aca="false">E52*F52</f>
        <v>0</v>
      </c>
      <c r="H52" s="14"/>
    </row>
    <row r="53" customFormat="false" ht="23.85" hidden="false" customHeight="false" outlineLevel="0" collapsed="false">
      <c r="A53" s="23" t="n">
        <v>13</v>
      </c>
      <c r="B53" s="24"/>
      <c r="C53" s="25" t="s">
        <v>32</v>
      </c>
      <c r="D53" s="26" t="s">
        <v>17</v>
      </c>
      <c r="E53" s="19" t="n">
        <v>10.454</v>
      </c>
      <c r="F53" s="20"/>
      <c r="G53" s="29" t="n">
        <f aca="false">E53*F53</f>
        <v>0</v>
      </c>
      <c r="H53" s="14"/>
    </row>
    <row r="54" customFormat="false" ht="14.25" hidden="false" customHeight="false" outlineLevel="0" collapsed="false">
      <c r="A54" s="23" t="n">
        <v>14</v>
      </c>
      <c r="B54" s="24"/>
      <c r="C54" s="25" t="s">
        <v>33</v>
      </c>
      <c r="D54" s="26" t="s">
        <v>17</v>
      </c>
      <c r="E54" s="19" t="n">
        <v>28.413</v>
      </c>
      <c r="F54" s="20"/>
      <c r="G54" s="29" t="n">
        <f aca="false">E54*F54</f>
        <v>0</v>
      </c>
      <c r="H54" s="14"/>
    </row>
    <row r="55" customFormat="false" ht="23.85" hidden="false" customHeight="false" outlineLevel="0" collapsed="false">
      <c r="A55" s="23" t="n">
        <v>15</v>
      </c>
      <c r="B55" s="24"/>
      <c r="C55" s="25" t="s">
        <v>29</v>
      </c>
      <c r="D55" s="26" t="s">
        <v>17</v>
      </c>
      <c r="E55" s="19" t="n">
        <v>19.299</v>
      </c>
      <c r="F55" s="20"/>
      <c r="G55" s="29" t="n">
        <f aca="false">E55*F55</f>
        <v>0</v>
      </c>
      <c r="H55" s="14"/>
    </row>
    <row r="56" customFormat="false" ht="14.25" hidden="false" customHeight="false" outlineLevel="0" collapsed="false">
      <c r="A56" s="23" t="n">
        <v>16</v>
      </c>
      <c r="B56" s="24"/>
      <c r="C56" s="25" t="s">
        <v>34</v>
      </c>
      <c r="D56" s="26" t="s">
        <v>35</v>
      </c>
      <c r="E56" s="19" t="n">
        <v>267.241</v>
      </c>
      <c r="F56" s="20"/>
      <c r="G56" s="29" t="n">
        <f aca="false">E56*F56</f>
        <v>0</v>
      </c>
      <c r="H56" s="14"/>
    </row>
    <row r="57" s="35" customFormat="true" ht="14.25" hidden="false" customHeight="true" outlineLevel="0" collapsed="false">
      <c r="A57" s="31" t="s">
        <v>38</v>
      </c>
      <c r="B57" s="31"/>
      <c r="C57" s="31"/>
      <c r="D57" s="31"/>
      <c r="E57" s="31"/>
      <c r="F57" s="32" t="s">
        <v>39</v>
      </c>
      <c r="G57" s="33" t="n">
        <f aca="false">SUM(G10:G56)</f>
        <v>0</v>
      </c>
      <c r="H57" s="34"/>
      <c r="O57" s="36"/>
    </row>
    <row r="58" customFormat="false" ht="14.25" hidden="false" customHeight="true" outlineLevel="0" collapsed="false">
      <c r="A58" s="10" t="s">
        <v>40</v>
      </c>
      <c r="B58" s="10"/>
      <c r="C58" s="10"/>
      <c r="D58" s="10"/>
      <c r="E58" s="10"/>
      <c r="F58" s="10"/>
      <c r="G58" s="10"/>
      <c r="H58" s="14"/>
    </row>
    <row r="59" customFormat="false" ht="17.9" hidden="false" customHeight="true" outlineLevel="0" collapsed="false">
      <c r="A59" s="12" t="s">
        <v>12</v>
      </c>
      <c r="B59" s="12"/>
      <c r="C59" s="13" t="s">
        <v>13</v>
      </c>
      <c r="D59" s="13"/>
      <c r="E59" s="13"/>
      <c r="F59" s="13"/>
      <c r="G59" s="13"/>
      <c r="H59" s="14"/>
    </row>
    <row r="60" customFormat="false" ht="23.85" hidden="false" customHeight="false" outlineLevel="0" collapsed="false">
      <c r="A60" s="15" t="n">
        <v>1</v>
      </c>
      <c r="B60" s="16"/>
      <c r="C60" s="17" t="s">
        <v>41</v>
      </c>
      <c r="D60" s="18" t="s">
        <v>17</v>
      </c>
      <c r="E60" s="19" t="n">
        <v>2702</v>
      </c>
      <c r="F60" s="20"/>
      <c r="G60" s="21" t="n">
        <f aca="false">E60*F60</f>
        <v>0</v>
      </c>
      <c r="H60" s="14"/>
    </row>
    <row r="61" customFormat="false" ht="14.25" hidden="false" customHeight="false" outlineLevel="0" collapsed="false">
      <c r="A61" s="15" t="n">
        <v>2</v>
      </c>
      <c r="B61" s="16"/>
      <c r="C61" s="17" t="s">
        <v>42</v>
      </c>
      <c r="D61" s="18" t="s">
        <v>17</v>
      </c>
      <c r="E61" s="19" t="n">
        <v>676</v>
      </c>
      <c r="F61" s="20"/>
      <c r="G61" s="21" t="n">
        <f aca="false">E61*F61</f>
        <v>0</v>
      </c>
      <c r="H61" s="14"/>
    </row>
    <row r="62" customFormat="false" ht="23.85" hidden="false" customHeight="false" outlineLevel="0" collapsed="false">
      <c r="A62" s="15" t="n">
        <v>3</v>
      </c>
      <c r="B62" s="16"/>
      <c r="C62" s="17" t="s">
        <v>43</v>
      </c>
      <c r="D62" s="18" t="s">
        <v>17</v>
      </c>
      <c r="E62" s="19" t="n">
        <v>999</v>
      </c>
      <c r="F62" s="20"/>
      <c r="G62" s="21" t="n">
        <f aca="false">E62*F62</f>
        <v>0</v>
      </c>
      <c r="H62" s="14"/>
    </row>
    <row r="63" customFormat="false" ht="23.85" hidden="false" customHeight="false" outlineLevel="0" collapsed="false">
      <c r="A63" s="15" t="n">
        <v>4</v>
      </c>
      <c r="B63" s="16"/>
      <c r="C63" s="17" t="s">
        <v>44</v>
      </c>
      <c r="D63" s="18" t="s">
        <v>17</v>
      </c>
      <c r="E63" s="19" t="n">
        <v>826</v>
      </c>
      <c r="F63" s="20"/>
      <c r="G63" s="21" t="n">
        <f aca="false">E63*F63</f>
        <v>0</v>
      </c>
      <c r="H63" s="14"/>
    </row>
    <row r="64" customFormat="false" ht="23.85" hidden="false" customHeight="false" outlineLevel="0" collapsed="false">
      <c r="A64" s="15" t="n">
        <v>5</v>
      </c>
      <c r="B64" s="16"/>
      <c r="C64" s="17" t="s">
        <v>45</v>
      </c>
      <c r="D64" s="18" t="s">
        <v>17</v>
      </c>
      <c r="E64" s="19" t="n">
        <v>173</v>
      </c>
      <c r="F64" s="20"/>
      <c r="G64" s="21" t="n">
        <f aca="false">E64*F64</f>
        <v>0</v>
      </c>
      <c r="H64" s="14"/>
    </row>
    <row r="65" customFormat="false" ht="23.85" hidden="false" customHeight="false" outlineLevel="0" collapsed="false">
      <c r="A65" s="15" t="n">
        <v>6</v>
      </c>
      <c r="B65" s="16"/>
      <c r="C65" s="17" t="s">
        <v>41</v>
      </c>
      <c r="D65" s="18" t="s">
        <v>17</v>
      </c>
      <c r="E65" s="19" t="n">
        <v>40</v>
      </c>
      <c r="F65" s="20"/>
      <c r="G65" s="21" t="n">
        <f aca="false">E65*F65</f>
        <v>0</v>
      </c>
      <c r="H65" s="14"/>
    </row>
    <row r="66" customFormat="false" ht="17.9" hidden="false" customHeight="true" outlineLevel="0" collapsed="false">
      <c r="A66" s="12" t="s">
        <v>30</v>
      </c>
      <c r="B66" s="12"/>
      <c r="C66" s="22" t="s">
        <v>31</v>
      </c>
      <c r="D66" s="22"/>
      <c r="E66" s="22"/>
      <c r="F66" s="22"/>
      <c r="G66" s="22"/>
      <c r="H66" s="14"/>
    </row>
    <row r="67" customFormat="false" ht="23.85" hidden="false" customHeight="false" outlineLevel="0" collapsed="false">
      <c r="A67" s="23" t="n">
        <v>1</v>
      </c>
      <c r="B67" s="24"/>
      <c r="C67" s="25" t="s">
        <v>41</v>
      </c>
      <c r="D67" s="26" t="s">
        <v>17</v>
      </c>
      <c r="E67" s="27" t="n">
        <v>4303</v>
      </c>
      <c r="F67" s="37"/>
      <c r="G67" s="29" t="n">
        <f aca="false">E67*F67</f>
        <v>0</v>
      </c>
      <c r="H67" s="14"/>
    </row>
    <row r="68" customFormat="false" ht="14.25" hidden="false" customHeight="false" outlineLevel="0" collapsed="false">
      <c r="A68" s="23" t="n">
        <v>2</v>
      </c>
      <c r="B68" s="24"/>
      <c r="C68" s="25" t="s">
        <v>42</v>
      </c>
      <c r="D68" s="26" t="s">
        <v>17</v>
      </c>
      <c r="E68" s="27" t="n">
        <v>897</v>
      </c>
      <c r="F68" s="37"/>
      <c r="G68" s="29" t="n">
        <f aca="false">E68*F68</f>
        <v>0</v>
      </c>
      <c r="H68" s="14"/>
    </row>
    <row r="69" customFormat="false" ht="23.85" hidden="false" customHeight="false" outlineLevel="0" collapsed="false">
      <c r="A69" s="23" t="n">
        <v>3</v>
      </c>
      <c r="B69" s="24"/>
      <c r="C69" s="25" t="s">
        <v>43</v>
      </c>
      <c r="D69" s="26" t="s">
        <v>17</v>
      </c>
      <c r="E69" s="27" t="n">
        <v>1732</v>
      </c>
      <c r="F69" s="37"/>
      <c r="G69" s="29" t="n">
        <f aca="false">E69*F69</f>
        <v>0</v>
      </c>
      <c r="H69" s="14"/>
    </row>
    <row r="70" customFormat="false" ht="23.85" hidden="false" customHeight="false" outlineLevel="0" collapsed="false">
      <c r="A70" s="23" t="n">
        <v>4</v>
      </c>
      <c r="B70" s="24"/>
      <c r="C70" s="25" t="s">
        <v>44</v>
      </c>
      <c r="D70" s="26" t="s">
        <v>17</v>
      </c>
      <c r="E70" s="27" t="n">
        <v>1435</v>
      </c>
      <c r="F70" s="37"/>
      <c r="G70" s="29" t="n">
        <f aca="false">E70*F70</f>
        <v>0</v>
      </c>
      <c r="H70" s="14"/>
    </row>
    <row r="71" customFormat="false" ht="23.85" hidden="false" customHeight="false" outlineLevel="0" collapsed="false">
      <c r="A71" s="23" t="n">
        <v>5</v>
      </c>
      <c r="B71" s="24"/>
      <c r="C71" s="25" t="s">
        <v>45</v>
      </c>
      <c r="D71" s="26" t="s">
        <v>17</v>
      </c>
      <c r="E71" s="27" t="n">
        <v>297</v>
      </c>
      <c r="F71" s="37"/>
      <c r="G71" s="29" t="n">
        <f aca="false">E71*F71</f>
        <v>0</v>
      </c>
      <c r="H71" s="14"/>
    </row>
    <row r="72" customFormat="false" ht="23.85" hidden="false" customHeight="false" outlineLevel="0" collapsed="false">
      <c r="A72" s="23" t="n">
        <v>6</v>
      </c>
      <c r="B72" s="24"/>
      <c r="C72" s="25" t="s">
        <v>41</v>
      </c>
      <c r="D72" s="26" t="s">
        <v>17</v>
      </c>
      <c r="E72" s="27" t="n">
        <v>60</v>
      </c>
      <c r="F72" s="37"/>
      <c r="G72" s="29" t="n">
        <f aca="false">E72*F72</f>
        <v>0</v>
      </c>
      <c r="H72" s="14"/>
    </row>
    <row r="73" customFormat="false" ht="17.9" hidden="false" customHeight="true" outlineLevel="0" collapsed="false">
      <c r="A73" s="12" t="s">
        <v>36</v>
      </c>
      <c r="B73" s="12"/>
      <c r="C73" s="30" t="s">
        <v>37</v>
      </c>
      <c r="D73" s="30"/>
      <c r="E73" s="30"/>
      <c r="F73" s="30"/>
      <c r="G73" s="30"/>
      <c r="H73" s="14"/>
    </row>
    <row r="74" customFormat="false" ht="23.85" hidden="false" customHeight="false" outlineLevel="0" collapsed="false">
      <c r="A74" s="23" t="n">
        <v>1</v>
      </c>
      <c r="B74" s="24"/>
      <c r="C74" s="25" t="s">
        <v>41</v>
      </c>
      <c r="D74" s="26" t="s">
        <v>17</v>
      </c>
      <c r="E74" s="19" t="n">
        <v>1943.866</v>
      </c>
      <c r="F74" s="20"/>
      <c r="G74" s="29" t="n">
        <f aca="false">E74*F74</f>
        <v>0</v>
      </c>
      <c r="H74" s="14"/>
    </row>
    <row r="75" customFormat="false" ht="14.25" hidden="false" customHeight="false" outlineLevel="0" collapsed="false">
      <c r="A75" s="23" t="n">
        <v>2</v>
      </c>
      <c r="B75" s="24"/>
      <c r="C75" s="25" t="s">
        <v>42</v>
      </c>
      <c r="D75" s="26" t="s">
        <v>17</v>
      </c>
      <c r="E75" s="19" t="n">
        <v>485.966</v>
      </c>
      <c r="F75" s="20"/>
      <c r="G75" s="29" t="n">
        <f aca="false">E75*F75</f>
        <v>0</v>
      </c>
      <c r="H75" s="14"/>
    </row>
    <row r="76" customFormat="false" ht="23.85" hidden="false" customHeight="false" outlineLevel="0" collapsed="false">
      <c r="A76" s="23" t="n">
        <v>3</v>
      </c>
      <c r="B76" s="24"/>
      <c r="C76" s="25" t="s">
        <v>43</v>
      </c>
      <c r="D76" s="26" t="s">
        <v>17</v>
      </c>
      <c r="E76" s="19" t="n">
        <v>1087.192</v>
      </c>
      <c r="F76" s="20"/>
      <c r="G76" s="29" t="n">
        <f aca="false">E76*F76</f>
        <v>0</v>
      </c>
      <c r="H76" s="14"/>
    </row>
    <row r="77" customFormat="false" ht="23.85" hidden="false" customHeight="false" outlineLevel="0" collapsed="false">
      <c r="A77" s="23" t="n">
        <v>4</v>
      </c>
      <c r="B77" s="24"/>
      <c r="C77" s="25" t="s">
        <v>44</v>
      </c>
      <c r="D77" s="26" t="s">
        <v>17</v>
      </c>
      <c r="E77" s="19" t="n">
        <v>901.437</v>
      </c>
      <c r="F77" s="20"/>
      <c r="G77" s="29" t="n">
        <f aca="false">E77*F77</f>
        <v>0</v>
      </c>
      <c r="H77" s="14"/>
    </row>
    <row r="78" customFormat="false" ht="23.85" hidden="false" customHeight="false" outlineLevel="0" collapsed="false">
      <c r="A78" s="23" t="n">
        <v>5</v>
      </c>
      <c r="B78" s="24"/>
      <c r="C78" s="25" t="s">
        <v>45</v>
      </c>
      <c r="D78" s="26" t="s">
        <v>17</v>
      </c>
      <c r="E78" s="19" t="n">
        <v>185.755</v>
      </c>
      <c r="F78" s="20"/>
      <c r="G78" s="29" t="n">
        <f aca="false">E78*F78</f>
        <v>0</v>
      </c>
      <c r="H78" s="14"/>
    </row>
    <row r="79" customFormat="false" ht="23.85" hidden="false" customHeight="false" outlineLevel="0" collapsed="false">
      <c r="A79" s="23" t="n">
        <v>6</v>
      </c>
      <c r="B79" s="24"/>
      <c r="C79" s="25" t="s">
        <v>41</v>
      </c>
      <c r="D79" s="26" t="s">
        <v>17</v>
      </c>
      <c r="E79" s="19" t="n">
        <v>34.846</v>
      </c>
      <c r="F79" s="20"/>
      <c r="G79" s="29" t="n">
        <f aca="false">E79*F79</f>
        <v>0</v>
      </c>
      <c r="H79" s="14"/>
    </row>
    <row r="80" s="43" customFormat="true" ht="14.25" hidden="false" customHeight="true" outlineLevel="0" collapsed="false">
      <c r="A80" s="38" t="s">
        <v>46</v>
      </c>
      <c r="B80" s="38"/>
      <c r="C80" s="38"/>
      <c r="D80" s="38"/>
      <c r="E80" s="38"/>
      <c r="F80" s="39" t="s">
        <v>39</v>
      </c>
      <c r="G80" s="40" t="n">
        <f aca="false">SUM(G60:G79)</f>
        <v>0</v>
      </c>
      <c r="H80" s="41"/>
      <c r="I80" s="42"/>
    </row>
    <row r="81" s="46" customFormat="true" ht="14.25" hidden="false" customHeight="true" outlineLevel="0" collapsed="false">
      <c r="A81" s="10" t="s">
        <v>47</v>
      </c>
      <c r="B81" s="10"/>
      <c r="C81" s="10"/>
      <c r="D81" s="10"/>
      <c r="E81" s="10"/>
      <c r="F81" s="10"/>
      <c r="G81" s="10"/>
      <c r="H81" s="44"/>
      <c r="I81" s="45"/>
    </row>
    <row r="82" s="43" customFormat="true" ht="17.9" hidden="false" customHeight="true" outlineLevel="0" collapsed="false">
      <c r="A82" s="12" t="s">
        <v>12</v>
      </c>
      <c r="B82" s="12"/>
      <c r="C82" s="13" t="s">
        <v>13</v>
      </c>
      <c r="D82" s="13"/>
      <c r="E82" s="13"/>
      <c r="F82" s="13"/>
      <c r="G82" s="13"/>
      <c r="H82" s="41"/>
      <c r="I82" s="42"/>
    </row>
    <row r="83" customFormat="false" ht="14.25" hidden="false" customHeight="false" outlineLevel="0" collapsed="false">
      <c r="A83" s="15" t="n">
        <v>1</v>
      </c>
      <c r="B83" s="16"/>
      <c r="C83" s="17" t="s">
        <v>48</v>
      </c>
      <c r="D83" s="18" t="s">
        <v>20</v>
      </c>
      <c r="E83" s="19" t="n">
        <v>2235</v>
      </c>
      <c r="F83" s="20"/>
      <c r="G83" s="21" t="n">
        <f aca="false">E83*F83</f>
        <v>0</v>
      </c>
      <c r="H83" s="14"/>
    </row>
    <row r="84" customFormat="false" ht="14.25" hidden="false" customHeight="false" outlineLevel="0" collapsed="false">
      <c r="A84" s="15" t="n">
        <v>2</v>
      </c>
      <c r="B84" s="16"/>
      <c r="C84" s="17" t="s">
        <v>49</v>
      </c>
      <c r="D84" s="18" t="s">
        <v>35</v>
      </c>
      <c r="E84" s="19" t="n">
        <v>3244</v>
      </c>
      <c r="F84" s="20"/>
      <c r="G84" s="21" t="n">
        <f aca="false">E84*F84</f>
        <v>0</v>
      </c>
      <c r="H84" s="14"/>
    </row>
    <row r="85" customFormat="false" ht="14.25" hidden="false" customHeight="false" outlineLevel="0" collapsed="false">
      <c r="A85" s="15" t="n">
        <v>3</v>
      </c>
      <c r="B85" s="16"/>
      <c r="C85" s="17" t="s">
        <v>50</v>
      </c>
      <c r="D85" s="18" t="s">
        <v>17</v>
      </c>
      <c r="E85" s="19" t="n">
        <v>313</v>
      </c>
      <c r="F85" s="20"/>
      <c r="G85" s="21" t="n">
        <f aca="false">E85*F85</f>
        <v>0</v>
      </c>
      <c r="H85" s="14"/>
    </row>
    <row r="86" customFormat="false" ht="23.85" hidden="false" customHeight="false" outlineLevel="0" collapsed="false">
      <c r="A86" s="15" t="n">
        <v>4</v>
      </c>
      <c r="B86" s="16"/>
      <c r="C86" s="17" t="s">
        <v>51</v>
      </c>
      <c r="D86" s="18" t="s">
        <v>17</v>
      </c>
      <c r="E86" s="19" t="n">
        <v>1885</v>
      </c>
      <c r="F86" s="20"/>
      <c r="G86" s="21" t="n">
        <f aca="false">E86*F86</f>
        <v>0</v>
      </c>
      <c r="H86" s="14"/>
    </row>
    <row r="87" customFormat="false" ht="23.85" hidden="false" customHeight="false" outlineLevel="0" collapsed="false">
      <c r="A87" s="15" t="n">
        <v>5</v>
      </c>
      <c r="B87" s="16"/>
      <c r="C87" s="17" t="s">
        <v>52</v>
      </c>
      <c r="D87" s="18" t="s">
        <v>17</v>
      </c>
      <c r="E87" s="19" t="n">
        <v>4625</v>
      </c>
      <c r="F87" s="20"/>
      <c r="G87" s="21" t="n">
        <f aca="false">E87*F87</f>
        <v>0</v>
      </c>
      <c r="H87" s="14"/>
    </row>
    <row r="88" customFormat="false" ht="14.25" hidden="false" customHeight="false" outlineLevel="0" collapsed="false">
      <c r="A88" s="15" t="n">
        <v>6</v>
      </c>
      <c r="B88" s="16"/>
      <c r="C88" s="17" t="s">
        <v>53</v>
      </c>
      <c r="D88" s="18" t="s">
        <v>17</v>
      </c>
      <c r="E88" s="19" t="n">
        <v>194</v>
      </c>
      <c r="F88" s="20"/>
      <c r="G88" s="21" t="n">
        <f aca="false">E88*F88</f>
        <v>0</v>
      </c>
      <c r="H88" s="14"/>
    </row>
    <row r="89" customFormat="false" ht="14.25" hidden="false" customHeight="false" outlineLevel="0" collapsed="false">
      <c r="A89" s="15" t="n">
        <v>7</v>
      </c>
      <c r="B89" s="16"/>
      <c r="C89" s="17" t="s">
        <v>54</v>
      </c>
      <c r="D89" s="18" t="s">
        <v>17</v>
      </c>
      <c r="E89" s="19" t="n">
        <v>454</v>
      </c>
      <c r="F89" s="20"/>
      <c r="G89" s="21" t="n">
        <f aca="false">E89*F89</f>
        <v>0</v>
      </c>
      <c r="H89" s="14"/>
    </row>
    <row r="90" customFormat="false" ht="14.25" hidden="false" customHeight="false" outlineLevel="0" collapsed="false">
      <c r="A90" s="15" t="n">
        <v>8</v>
      </c>
      <c r="B90" s="16"/>
      <c r="C90" s="17" t="s">
        <v>55</v>
      </c>
      <c r="D90" s="18" t="s">
        <v>17</v>
      </c>
      <c r="E90" s="19" t="n">
        <v>15</v>
      </c>
      <c r="F90" s="20"/>
      <c r="G90" s="21" t="n">
        <f aca="false">E90*F90</f>
        <v>0</v>
      </c>
      <c r="H90" s="14"/>
    </row>
    <row r="91" customFormat="false" ht="14.25" hidden="false" customHeight="false" outlineLevel="0" collapsed="false">
      <c r="A91" s="15" t="n">
        <v>9</v>
      </c>
      <c r="B91" s="16"/>
      <c r="C91" s="17" t="s">
        <v>56</v>
      </c>
      <c r="D91" s="18" t="s">
        <v>17</v>
      </c>
      <c r="E91" s="19" t="n">
        <v>60</v>
      </c>
      <c r="F91" s="20"/>
      <c r="G91" s="21" t="n">
        <f aca="false">E91*F91</f>
        <v>0</v>
      </c>
      <c r="H91" s="14"/>
    </row>
    <row r="92" customFormat="false" ht="23.85" hidden="false" customHeight="false" outlineLevel="0" collapsed="false">
      <c r="A92" s="15" t="n">
        <v>10</v>
      </c>
      <c r="B92" s="16"/>
      <c r="C92" s="17" t="s">
        <v>29</v>
      </c>
      <c r="D92" s="18" t="s">
        <v>17</v>
      </c>
      <c r="E92" s="19" t="n">
        <v>15</v>
      </c>
      <c r="F92" s="20"/>
      <c r="G92" s="21" t="n">
        <f aca="false">E92*F92</f>
        <v>0</v>
      </c>
      <c r="H92" s="14"/>
    </row>
    <row r="93" customFormat="false" ht="14.25" hidden="false" customHeight="false" outlineLevel="0" collapsed="false">
      <c r="A93" s="15" t="n">
        <v>11</v>
      </c>
      <c r="B93" s="16"/>
      <c r="C93" s="17" t="s">
        <v>57</v>
      </c>
      <c r="D93" s="18" t="s">
        <v>17</v>
      </c>
      <c r="E93" s="19" t="n">
        <v>4481</v>
      </c>
      <c r="F93" s="20"/>
      <c r="G93" s="21" t="n">
        <f aca="false">E93*F93</f>
        <v>0</v>
      </c>
      <c r="H93" s="14"/>
    </row>
    <row r="94" customFormat="false" ht="23.85" hidden="false" customHeight="false" outlineLevel="0" collapsed="false">
      <c r="A94" s="15" t="n">
        <v>12</v>
      </c>
      <c r="B94" s="16"/>
      <c r="C94" s="17" t="s">
        <v>41</v>
      </c>
      <c r="D94" s="18" t="s">
        <v>17</v>
      </c>
      <c r="E94" s="19" t="n">
        <v>4481</v>
      </c>
      <c r="F94" s="20"/>
      <c r="G94" s="21" t="n">
        <f aca="false">E94*F94</f>
        <v>0</v>
      </c>
      <c r="H94" s="14"/>
    </row>
    <row r="95" customFormat="false" ht="14.25" hidden="false" customHeight="false" outlineLevel="0" collapsed="false">
      <c r="A95" s="15" t="n">
        <v>13</v>
      </c>
      <c r="B95" s="16"/>
      <c r="C95" s="17" t="s">
        <v>58</v>
      </c>
      <c r="D95" s="18" t="s">
        <v>35</v>
      </c>
      <c r="E95" s="19" t="n">
        <v>19958</v>
      </c>
      <c r="F95" s="20"/>
      <c r="G95" s="21" t="n">
        <f aca="false">E95*F95</f>
        <v>0</v>
      </c>
      <c r="H95" s="14"/>
    </row>
    <row r="96" s="43" customFormat="true" ht="17.9" hidden="false" customHeight="true" outlineLevel="0" collapsed="false">
      <c r="A96" s="12" t="s">
        <v>30</v>
      </c>
      <c r="B96" s="12"/>
      <c r="C96" s="22" t="s">
        <v>31</v>
      </c>
      <c r="D96" s="22"/>
      <c r="E96" s="22"/>
      <c r="F96" s="22"/>
      <c r="G96" s="22"/>
      <c r="H96" s="41"/>
      <c r="I96" s="42"/>
    </row>
    <row r="97" customFormat="false" ht="14.25" hidden="false" customHeight="false" outlineLevel="0" collapsed="false">
      <c r="A97" s="23" t="n">
        <v>1</v>
      </c>
      <c r="B97" s="24"/>
      <c r="C97" s="25" t="s">
        <v>48</v>
      </c>
      <c r="D97" s="26" t="s">
        <v>20</v>
      </c>
      <c r="E97" s="27" t="n">
        <v>1215</v>
      </c>
      <c r="F97" s="28"/>
      <c r="G97" s="29" t="n">
        <f aca="false">E97*F97</f>
        <v>0</v>
      </c>
      <c r="H97" s="14"/>
    </row>
    <row r="98" customFormat="false" ht="14.25" hidden="false" customHeight="false" outlineLevel="0" collapsed="false">
      <c r="A98" s="23" t="n">
        <v>2</v>
      </c>
      <c r="B98" s="24"/>
      <c r="C98" s="25" t="s">
        <v>49</v>
      </c>
      <c r="D98" s="26" t="s">
        <v>35</v>
      </c>
      <c r="E98" s="27" t="n">
        <v>1766</v>
      </c>
      <c r="F98" s="28"/>
      <c r="G98" s="29" t="n">
        <f aca="false">E98*F98</f>
        <v>0</v>
      </c>
      <c r="H98" s="14"/>
    </row>
    <row r="99" customFormat="false" ht="14.25" hidden="false" customHeight="false" outlineLevel="0" collapsed="false">
      <c r="A99" s="23" t="n">
        <v>3</v>
      </c>
      <c r="B99" s="24"/>
      <c r="C99" s="25" t="s">
        <v>50</v>
      </c>
      <c r="D99" s="26" t="s">
        <v>17</v>
      </c>
      <c r="E99" s="27" t="n">
        <v>606</v>
      </c>
      <c r="F99" s="28"/>
      <c r="G99" s="29" t="n">
        <f aca="false">E99*F99</f>
        <v>0</v>
      </c>
      <c r="H99" s="14"/>
    </row>
    <row r="100" customFormat="false" ht="23.85" hidden="false" customHeight="false" outlineLevel="0" collapsed="false">
      <c r="A100" s="23" t="n">
        <v>4</v>
      </c>
      <c r="B100" s="24"/>
      <c r="C100" s="25" t="s">
        <v>51</v>
      </c>
      <c r="D100" s="26" t="s">
        <v>17</v>
      </c>
      <c r="E100" s="27" t="n">
        <v>1466</v>
      </c>
      <c r="F100" s="28"/>
      <c r="G100" s="29" t="n">
        <f aca="false">E100*F100</f>
        <v>0</v>
      </c>
      <c r="H100" s="14"/>
    </row>
    <row r="101" customFormat="false" ht="23.85" hidden="false" customHeight="false" outlineLevel="0" collapsed="false">
      <c r="A101" s="23" t="n">
        <v>5</v>
      </c>
      <c r="B101" s="24"/>
      <c r="C101" s="25" t="s">
        <v>52</v>
      </c>
      <c r="D101" s="26" t="s">
        <v>17</v>
      </c>
      <c r="E101" s="27" t="n">
        <v>4311</v>
      </c>
      <c r="F101" s="28"/>
      <c r="G101" s="29" t="n">
        <f aca="false">E101*F101</f>
        <v>0</v>
      </c>
      <c r="H101" s="14"/>
    </row>
    <row r="102" customFormat="false" ht="14.25" hidden="false" customHeight="false" outlineLevel="0" collapsed="false">
      <c r="A102" s="23" t="n">
        <v>6</v>
      </c>
      <c r="B102" s="24"/>
      <c r="C102" s="25" t="s">
        <v>53</v>
      </c>
      <c r="D102" s="26" t="s">
        <v>17</v>
      </c>
      <c r="E102" s="27" t="n">
        <v>104</v>
      </c>
      <c r="F102" s="28"/>
      <c r="G102" s="29" t="n">
        <f aca="false">E102*F102</f>
        <v>0</v>
      </c>
      <c r="H102" s="14"/>
    </row>
    <row r="103" customFormat="false" ht="14.25" hidden="false" customHeight="false" outlineLevel="0" collapsed="false">
      <c r="A103" s="23" t="n">
        <v>7</v>
      </c>
      <c r="B103" s="24"/>
      <c r="C103" s="25" t="s">
        <v>54</v>
      </c>
      <c r="D103" s="26" t="s">
        <v>17</v>
      </c>
      <c r="E103" s="27" t="n">
        <v>242</v>
      </c>
      <c r="F103" s="28"/>
      <c r="G103" s="29" t="n">
        <f aca="false">E103*F103</f>
        <v>0</v>
      </c>
      <c r="H103" s="14"/>
    </row>
    <row r="104" customFormat="false" ht="14.25" hidden="false" customHeight="false" outlineLevel="0" collapsed="false">
      <c r="A104" s="23" t="n">
        <v>8</v>
      </c>
      <c r="B104" s="24"/>
      <c r="C104" s="25" t="s">
        <v>55</v>
      </c>
      <c r="D104" s="26" t="s">
        <v>17</v>
      </c>
      <c r="E104" s="27" t="n">
        <v>59</v>
      </c>
      <c r="F104" s="28"/>
      <c r="G104" s="29" t="n">
        <f aca="false">E104*F104</f>
        <v>0</v>
      </c>
      <c r="H104" s="14"/>
    </row>
    <row r="105" customFormat="false" ht="14.25" hidden="false" customHeight="false" outlineLevel="0" collapsed="false">
      <c r="A105" s="23" t="n">
        <v>9</v>
      </c>
      <c r="B105" s="24"/>
      <c r="C105" s="25" t="s">
        <v>56</v>
      </c>
      <c r="D105" s="26" t="s">
        <v>17</v>
      </c>
      <c r="E105" s="27" t="n">
        <v>237</v>
      </c>
      <c r="F105" s="28"/>
      <c r="G105" s="29" t="n">
        <f aca="false">E105*F105</f>
        <v>0</v>
      </c>
      <c r="H105" s="14"/>
    </row>
    <row r="106" customFormat="false" ht="23.85" hidden="false" customHeight="false" outlineLevel="0" collapsed="false">
      <c r="A106" s="23" t="n">
        <v>10</v>
      </c>
      <c r="B106" s="24"/>
      <c r="C106" s="25" t="s">
        <v>29</v>
      </c>
      <c r="D106" s="26" t="s">
        <v>17</v>
      </c>
      <c r="E106" s="27" t="n">
        <v>59</v>
      </c>
      <c r="F106" s="28"/>
      <c r="G106" s="29" t="n">
        <f aca="false">E106*F106</f>
        <v>0</v>
      </c>
      <c r="H106" s="14"/>
    </row>
    <row r="107" customFormat="false" ht="14.25" hidden="false" customHeight="false" outlineLevel="0" collapsed="false">
      <c r="A107" s="23" t="n">
        <v>11</v>
      </c>
      <c r="B107" s="24"/>
      <c r="C107" s="25" t="s">
        <v>57</v>
      </c>
      <c r="D107" s="26" t="s">
        <v>17</v>
      </c>
      <c r="E107" s="27" t="n">
        <v>2485</v>
      </c>
      <c r="F107" s="28"/>
      <c r="G107" s="29" t="n">
        <f aca="false">E107*F107</f>
        <v>0</v>
      </c>
      <c r="H107" s="14"/>
    </row>
    <row r="108" customFormat="false" ht="23.85" hidden="false" customHeight="false" outlineLevel="0" collapsed="false">
      <c r="A108" s="23" t="n">
        <v>12</v>
      </c>
      <c r="B108" s="24"/>
      <c r="C108" s="25" t="s">
        <v>41</v>
      </c>
      <c r="D108" s="26" t="s">
        <v>17</v>
      </c>
      <c r="E108" s="27" t="n">
        <v>2485</v>
      </c>
      <c r="F108" s="28"/>
      <c r="G108" s="29" t="n">
        <f aca="false">E108*F108</f>
        <v>0</v>
      </c>
      <c r="H108" s="14"/>
    </row>
    <row r="109" customFormat="false" ht="14.25" hidden="false" customHeight="false" outlineLevel="0" collapsed="false">
      <c r="A109" s="23" t="n">
        <v>13</v>
      </c>
      <c r="B109" s="24"/>
      <c r="C109" s="25" t="s">
        <v>58</v>
      </c>
      <c r="D109" s="26" t="s">
        <v>35</v>
      </c>
      <c r="E109" s="27" t="n">
        <v>5494</v>
      </c>
      <c r="F109" s="28"/>
      <c r="G109" s="29" t="n">
        <f aca="false">E109*F109</f>
        <v>0</v>
      </c>
      <c r="H109" s="14"/>
    </row>
    <row r="110" s="43" customFormat="true" ht="14.25" hidden="false" customHeight="true" outlineLevel="0" collapsed="false">
      <c r="A110" s="38" t="s">
        <v>59</v>
      </c>
      <c r="B110" s="38"/>
      <c r="C110" s="38"/>
      <c r="D110" s="38"/>
      <c r="E110" s="38"/>
      <c r="F110" s="39" t="s">
        <v>39</v>
      </c>
      <c r="G110" s="40" t="n">
        <f aca="false">SUM(G83:G109)</f>
        <v>0</v>
      </c>
      <c r="H110" s="41"/>
      <c r="I110" s="42"/>
    </row>
    <row r="111" s="43" customFormat="true" ht="14.25" hidden="false" customHeight="true" outlineLevel="0" collapsed="false">
      <c r="A111" s="10" t="s">
        <v>60</v>
      </c>
      <c r="B111" s="10"/>
      <c r="C111" s="10"/>
      <c r="D111" s="10"/>
      <c r="E111" s="10"/>
      <c r="F111" s="10"/>
      <c r="G111" s="10"/>
      <c r="H111" s="41"/>
      <c r="I111" s="42"/>
    </row>
    <row r="112" s="43" customFormat="true" ht="17.9" hidden="false" customHeight="true" outlineLevel="0" collapsed="false">
      <c r="A112" s="12" t="s">
        <v>12</v>
      </c>
      <c r="B112" s="12"/>
      <c r="C112" s="13" t="s">
        <v>13</v>
      </c>
      <c r="D112" s="13"/>
      <c r="E112" s="13"/>
      <c r="F112" s="13"/>
      <c r="G112" s="13"/>
      <c r="H112" s="41"/>
      <c r="I112" s="42"/>
    </row>
    <row r="113" customFormat="false" ht="14.25" hidden="false" customHeight="false" outlineLevel="0" collapsed="false">
      <c r="A113" s="15" t="n">
        <v>1</v>
      </c>
      <c r="B113" s="16"/>
      <c r="C113" s="17" t="s">
        <v>61</v>
      </c>
      <c r="D113" s="18" t="s">
        <v>17</v>
      </c>
      <c r="E113" s="19" t="n">
        <v>3855</v>
      </c>
      <c r="F113" s="20"/>
      <c r="G113" s="21" t="n">
        <f aca="false">E113*F113</f>
        <v>0</v>
      </c>
      <c r="H113" s="14"/>
    </row>
    <row r="114" customFormat="false" ht="14.25" hidden="false" customHeight="false" outlineLevel="0" collapsed="false">
      <c r="A114" s="15" t="n">
        <v>2</v>
      </c>
      <c r="B114" s="16"/>
      <c r="C114" s="17" t="s">
        <v>62</v>
      </c>
      <c r="D114" s="18" t="s">
        <v>17</v>
      </c>
      <c r="E114" s="19" t="n">
        <v>3855</v>
      </c>
      <c r="F114" s="20"/>
      <c r="G114" s="21" t="n">
        <f aca="false">E114*F114</f>
        <v>0</v>
      </c>
      <c r="H114" s="14"/>
    </row>
    <row r="115" customFormat="false" ht="23.85" hidden="false" customHeight="false" outlineLevel="0" collapsed="false">
      <c r="A115" s="15" t="n">
        <v>3</v>
      </c>
      <c r="B115" s="16"/>
      <c r="C115" s="17" t="s">
        <v>44</v>
      </c>
      <c r="D115" s="18" t="s">
        <v>17</v>
      </c>
      <c r="E115" s="19" t="n">
        <v>1596</v>
      </c>
      <c r="F115" s="20"/>
      <c r="G115" s="21" t="n">
        <f aca="false">E115*F115</f>
        <v>0</v>
      </c>
      <c r="H115" s="14"/>
    </row>
    <row r="116" customFormat="false" ht="23.85" hidden="false" customHeight="false" outlineLevel="0" collapsed="false">
      <c r="A116" s="15" t="n">
        <v>4</v>
      </c>
      <c r="B116" s="16"/>
      <c r="C116" s="17" t="s">
        <v>45</v>
      </c>
      <c r="D116" s="18" t="s">
        <v>17</v>
      </c>
      <c r="E116" s="19" t="n">
        <v>314</v>
      </c>
      <c r="F116" s="20"/>
      <c r="G116" s="21" t="n">
        <f aca="false">E116*F116</f>
        <v>0</v>
      </c>
      <c r="H116" s="14"/>
    </row>
    <row r="117" s="43" customFormat="true" ht="17.9" hidden="false" customHeight="true" outlineLevel="0" collapsed="false">
      <c r="A117" s="12" t="s">
        <v>30</v>
      </c>
      <c r="B117" s="12"/>
      <c r="C117" s="22" t="s">
        <v>31</v>
      </c>
      <c r="D117" s="22"/>
      <c r="E117" s="22"/>
      <c r="F117" s="22"/>
      <c r="G117" s="22"/>
      <c r="H117" s="41"/>
      <c r="I117" s="42"/>
    </row>
    <row r="118" customFormat="false" ht="14.25" hidden="false" customHeight="false" outlineLevel="0" collapsed="false">
      <c r="A118" s="23" t="n">
        <v>1</v>
      </c>
      <c r="B118" s="24"/>
      <c r="C118" s="25" t="s">
        <v>61</v>
      </c>
      <c r="D118" s="26" t="s">
        <v>17</v>
      </c>
      <c r="E118" s="27" t="n">
        <v>2049</v>
      </c>
      <c r="F118" s="20"/>
      <c r="G118" s="29" t="n">
        <f aca="false">E118*F118</f>
        <v>0</v>
      </c>
      <c r="H118" s="14"/>
    </row>
    <row r="119" customFormat="false" ht="14.25" hidden="false" customHeight="false" outlineLevel="0" collapsed="false">
      <c r="A119" s="23" t="n">
        <v>2</v>
      </c>
      <c r="B119" s="24"/>
      <c r="C119" s="25" t="s">
        <v>62</v>
      </c>
      <c r="D119" s="26" t="s">
        <v>17</v>
      </c>
      <c r="E119" s="27" t="n">
        <v>2049</v>
      </c>
      <c r="F119" s="20"/>
      <c r="G119" s="29" t="n">
        <f aca="false">E119*F119</f>
        <v>0</v>
      </c>
      <c r="H119" s="14"/>
    </row>
    <row r="120" customFormat="false" ht="23.85" hidden="false" customHeight="false" outlineLevel="0" collapsed="false">
      <c r="A120" s="23" t="n">
        <v>3</v>
      </c>
      <c r="B120" s="24"/>
      <c r="C120" s="25" t="s">
        <v>44</v>
      </c>
      <c r="D120" s="26" t="s">
        <v>17</v>
      </c>
      <c r="E120" s="27" t="n">
        <v>867</v>
      </c>
      <c r="F120" s="20"/>
      <c r="G120" s="29" t="n">
        <f aca="false">E120*F120</f>
        <v>0</v>
      </c>
      <c r="H120" s="14"/>
    </row>
    <row r="121" customFormat="false" ht="23.85" hidden="false" customHeight="false" outlineLevel="0" collapsed="false">
      <c r="A121" s="23" t="n">
        <v>4</v>
      </c>
      <c r="B121" s="24"/>
      <c r="C121" s="25" t="s">
        <v>45</v>
      </c>
      <c r="D121" s="26" t="s">
        <v>17</v>
      </c>
      <c r="E121" s="27" t="n">
        <v>171</v>
      </c>
      <c r="F121" s="20"/>
      <c r="G121" s="29" t="n">
        <f aca="false">E121*F121</f>
        <v>0</v>
      </c>
      <c r="H121" s="14"/>
    </row>
    <row r="122" s="43" customFormat="true" ht="14.25" hidden="false" customHeight="true" outlineLevel="0" collapsed="false">
      <c r="A122" s="38" t="s">
        <v>63</v>
      </c>
      <c r="B122" s="38"/>
      <c r="C122" s="38"/>
      <c r="D122" s="38"/>
      <c r="E122" s="38"/>
      <c r="F122" s="39" t="s">
        <v>39</v>
      </c>
      <c r="G122" s="40" t="n">
        <f aca="false">SUM(G113:G121)</f>
        <v>0</v>
      </c>
      <c r="H122" s="41"/>
      <c r="I122" s="42"/>
    </row>
    <row r="123" s="46" customFormat="true" ht="14.25" hidden="false" customHeight="true" outlineLevel="0" collapsed="false">
      <c r="A123" s="10" t="s">
        <v>64</v>
      </c>
      <c r="B123" s="10"/>
      <c r="C123" s="10"/>
      <c r="D123" s="10"/>
      <c r="E123" s="10"/>
      <c r="F123" s="10"/>
      <c r="G123" s="10"/>
      <c r="H123" s="44"/>
      <c r="I123" s="45"/>
    </row>
    <row r="124" s="43" customFormat="true" ht="17.9" hidden="false" customHeight="true" outlineLevel="0" collapsed="false">
      <c r="A124" s="12" t="s">
        <v>12</v>
      </c>
      <c r="B124" s="12"/>
      <c r="C124" s="13" t="s">
        <v>13</v>
      </c>
      <c r="D124" s="13"/>
      <c r="E124" s="13"/>
      <c r="F124" s="13"/>
      <c r="G124" s="13"/>
      <c r="H124" s="41"/>
      <c r="I124" s="42"/>
    </row>
    <row r="125" customFormat="false" ht="14.25" hidden="false" customHeight="false" outlineLevel="0" collapsed="false">
      <c r="A125" s="15" t="n">
        <v>1</v>
      </c>
      <c r="B125" s="16"/>
      <c r="C125" s="17" t="s">
        <v>65</v>
      </c>
      <c r="D125" s="18" t="s">
        <v>20</v>
      </c>
      <c r="E125" s="19" t="n">
        <v>52</v>
      </c>
      <c r="F125" s="20"/>
      <c r="G125" s="21" t="n">
        <f aca="false">E125*F125</f>
        <v>0</v>
      </c>
      <c r="H125" s="14"/>
    </row>
    <row r="126" customFormat="false" ht="14.25" hidden="false" customHeight="false" outlineLevel="0" collapsed="false">
      <c r="A126" s="15" t="n">
        <v>2</v>
      </c>
      <c r="B126" s="16"/>
      <c r="C126" s="17" t="s">
        <v>66</v>
      </c>
      <c r="D126" s="18" t="s">
        <v>20</v>
      </c>
      <c r="E126" s="19" t="n">
        <v>3969</v>
      </c>
      <c r="F126" s="20"/>
      <c r="G126" s="21" t="n">
        <f aca="false">E126*F126</f>
        <v>0</v>
      </c>
      <c r="H126" s="14"/>
    </row>
    <row r="127" customFormat="false" ht="14.25" hidden="false" customHeight="false" outlineLevel="0" collapsed="false">
      <c r="A127" s="15" t="n">
        <v>3</v>
      </c>
      <c r="B127" s="16"/>
      <c r="C127" s="17" t="s">
        <v>67</v>
      </c>
      <c r="D127" s="18" t="s">
        <v>68</v>
      </c>
      <c r="E127" s="47" t="n">
        <v>4</v>
      </c>
      <c r="F127" s="20"/>
      <c r="G127" s="21" t="n">
        <f aca="false">E127*F127</f>
        <v>0</v>
      </c>
      <c r="H127" s="14"/>
    </row>
    <row r="128" customFormat="false" ht="14.25" hidden="false" customHeight="false" outlineLevel="0" collapsed="false">
      <c r="A128" s="15" t="n">
        <v>4</v>
      </c>
      <c r="B128" s="16"/>
      <c r="C128" s="17" t="s">
        <v>69</v>
      </c>
      <c r="D128" s="18" t="s">
        <v>68</v>
      </c>
      <c r="E128" s="47" t="n">
        <v>10</v>
      </c>
      <c r="F128" s="20"/>
      <c r="G128" s="21" t="n">
        <f aca="false">E128*F128</f>
        <v>0</v>
      </c>
      <c r="H128" s="14"/>
    </row>
    <row r="129" customFormat="false" ht="14.25" hidden="false" customHeight="false" outlineLevel="0" collapsed="false">
      <c r="A129" s="15" t="n">
        <v>5</v>
      </c>
      <c r="B129" s="16"/>
      <c r="C129" s="17" t="s">
        <v>70</v>
      </c>
      <c r="D129" s="18" t="s">
        <v>68</v>
      </c>
      <c r="E129" s="47" t="n">
        <v>13</v>
      </c>
      <c r="F129" s="20"/>
      <c r="G129" s="21" t="n">
        <f aca="false">E129*F129</f>
        <v>0</v>
      </c>
      <c r="H129" s="14"/>
    </row>
    <row r="130" customFormat="false" ht="14.25" hidden="false" customHeight="false" outlineLevel="0" collapsed="false">
      <c r="A130" s="15" t="n">
        <v>6</v>
      </c>
      <c r="B130" s="16"/>
      <c r="C130" s="17" t="s">
        <v>71</v>
      </c>
      <c r="D130" s="18" t="s">
        <v>68</v>
      </c>
      <c r="E130" s="47" t="n">
        <v>1</v>
      </c>
      <c r="F130" s="20"/>
      <c r="G130" s="21" t="n">
        <f aca="false">E130*F130</f>
        <v>0</v>
      </c>
      <c r="H130" s="14"/>
    </row>
    <row r="131" customFormat="false" ht="14.25" hidden="false" customHeight="false" outlineLevel="0" collapsed="false">
      <c r="A131" s="15" t="n">
        <v>7</v>
      </c>
      <c r="B131" s="16"/>
      <c r="C131" s="17" t="s">
        <v>72</v>
      </c>
      <c r="D131" s="18" t="s">
        <v>68</v>
      </c>
      <c r="E131" s="47" t="n">
        <v>1</v>
      </c>
      <c r="F131" s="20"/>
      <c r="G131" s="21" t="n">
        <f aca="false">E131*F131</f>
        <v>0</v>
      </c>
      <c r="H131" s="14"/>
    </row>
    <row r="132" customFormat="false" ht="14.25" hidden="false" customHeight="false" outlineLevel="0" collapsed="false">
      <c r="A132" s="15" t="n">
        <v>8</v>
      </c>
      <c r="B132" s="16"/>
      <c r="C132" s="17" t="s">
        <v>73</v>
      </c>
      <c r="D132" s="18" t="s">
        <v>68</v>
      </c>
      <c r="E132" s="47" t="n">
        <v>2</v>
      </c>
      <c r="F132" s="20"/>
      <c r="G132" s="21" t="n">
        <f aca="false">E132*F132</f>
        <v>0</v>
      </c>
      <c r="H132" s="14"/>
    </row>
    <row r="133" customFormat="false" ht="14.25" hidden="false" customHeight="false" outlineLevel="0" collapsed="false">
      <c r="A133" s="15" t="n">
        <v>9</v>
      </c>
      <c r="B133" s="16"/>
      <c r="C133" s="17" t="s">
        <v>74</v>
      </c>
      <c r="D133" s="18" t="s">
        <v>68</v>
      </c>
      <c r="E133" s="47" t="n">
        <v>2</v>
      </c>
      <c r="F133" s="20"/>
      <c r="G133" s="21" t="n">
        <f aca="false">E133*F133</f>
        <v>0</v>
      </c>
      <c r="H133" s="14"/>
    </row>
    <row r="134" customFormat="false" ht="14.25" hidden="false" customHeight="false" outlineLevel="0" collapsed="false">
      <c r="A134" s="15" t="n">
        <v>10</v>
      </c>
      <c r="B134" s="16"/>
      <c r="C134" s="17" t="s">
        <v>75</v>
      </c>
      <c r="D134" s="18" t="s">
        <v>68</v>
      </c>
      <c r="E134" s="47" t="n">
        <v>1</v>
      </c>
      <c r="F134" s="20"/>
      <c r="G134" s="21" t="n">
        <f aca="false">E134*F134</f>
        <v>0</v>
      </c>
      <c r="H134" s="14"/>
    </row>
    <row r="135" customFormat="false" ht="14.25" hidden="false" customHeight="false" outlineLevel="0" collapsed="false">
      <c r="A135" s="15" t="n">
        <v>11</v>
      </c>
      <c r="B135" s="16"/>
      <c r="C135" s="17" t="s">
        <v>76</v>
      </c>
      <c r="D135" s="18" t="s">
        <v>68</v>
      </c>
      <c r="E135" s="47" t="n">
        <v>8</v>
      </c>
      <c r="F135" s="20"/>
      <c r="G135" s="21" t="n">
        <f aca="false">E135*F135</f>
        <v>0</v>
      </c>
      <c r="H135" s="14"/>
    </row>
    <row r="136" customFormat="false" ht="14.25" hidden="false" customHeight="false" outlineLevel="0" collapsed="false">
      <c r="A136" s="15" t="n">
        <v>12</v>
      </c>
      <c r="B136" s="16"/>
      <c r="C136" s="17" t="s">
        <v>77</v>
      </c>
      <c r="D136" s="18" t="s">
        <v>68</v>
      </c>
      <c r="E136" s="47" t="n">
        <v>2</v>
      </c>
      <c r="F136" s="20"/>
      <c r="G136" s="21" t="n">
        <f aca="false">E136*F136</f>
        <v>0</v>
      </c>
      <c r="H136" s="14"/>
    </row>
    <row r="137" customFormat="false" ht="14.25" hidden="false" customHeight="false" outlineLevel="0" collapsed="false">
      <c r="A137" s="15" t="n">
        <v>13</v>
      </c>
      <c r="B137" s="16"/>
      <c r="C137" s="17" t="s">
        <v>78</v>
      </c>
      <c r="D137" s="18" t="s">
        <v>68</v>
      </c>
      <c r="E137" s="47" t="n">
        <v>2</v>
      </c>
      <c r="F137" s="20"/>
      <c r="G137" s="21" t="n">
        <f aca="false">E137*F137</f>
        <v>0</v>
      </c>
      <c r="H137" s="14"/>
    </row>
    <row r="138" customFormat="false" ht="14.25" hidden="false" customHeight="false" outlineLevel="0" collapsed="false">
      <c r="A138" s="15" t="n">
        <v>14</v>
      </c>
      <c r="B138" s="16"/>
      <c r="C138" s="17" t="s">
        <v>79</v>
      </c>
      <c r="D138" s="18" t="s">
        <v>68</v>
      </c>
      <c r="E138" s="47" t="n">
        <v>2</v>
      </c>
      <c r="F138" s="20"/>
      <c r="G138" s="21" t="n">
        <f aca="false">E138*F138</f>
        <v>0</v>
      </c>
      <c r="H138" s="14"/>
    </row>
    <row r="139" customFormat="false" ht="14.25" hidden="false" customHeight="false" outlineLevel="0" collapsed="false">
      <c r="A139" s="15" t="n">
        <v>15</v>
      </c>
      <c r="B139" s="16"/>
      <c r="C139" s="17" t="s">
        <v>80</v>
      </c>
      <c r="D139" s="18" t="s">
        <v>68</v>
      </c>
      <c r="E139" s="47" t="n">
        <v>1</v>
      </c>
      <c r="F139" s="20"/>
      <c r="G139" s="21" t="n">
        <f aca="false">E139*F139</f>
        <v>0</v>
      </c>
      <c r="H139" s="14"/>
    </row>
    <row r="140" customFormat="false" ht="14.25" hidden="false" customHeight="false" outlineLevel="0" collapsed="false">
      <c r="A140" s="15" t="n">
        <v>16</v>
      </c>
      <c r="B140" s="16"/>
      <c r="C140" s="17" t="s">
        <v>81</v>
      </c>
      <c r="D140" s="18" t="s">
        <v>68</v>
      </c>
      <c r="E140" s="47" t="n">
        <v>8</v>
      </c>
      <c r="F140" s="20"/>
      <c r="G140" s="21" t="n">
        <f aca="false">E140*F140</f>
        <v>0</v>
      </c>
      <c r="H140" s="14"/>
    </row>
    <row r="141" customFormat="false" ht="14.25" hidden="false" customHeight="false" outlineLevel="0" collapsed="false">
      <c r="A141" s="15" t="n">
        <v>17</v>
      </c>
      <c r="B141" s="16"/>
      <c r="C141" s="17" t="s">
        <v>82</v>
      </c>
      <c r="D141" s="18" t="s">
        <v>68</v>
      </c>
      <c r="E141" s="47" t="n">
        <v>1</v>
      </c>
      <c r="F141" s="20"/>
      <c r="G141" s="21" t="n">
        <f aca="false">E141*F141</f>
        <v>0</v>
      </c>
      <c r="H141" s="14"/>
    </row>
    <row r="142" customFormat="false" ht="14.25" hidden="false" customHeight="false" outlineLevel="0" collapsed="false">
      <c r="A142" s="15" t="n">
        <v>18</v>
      </c>
      <c r="B142" s="16"/>
      <c r="C142" s="17" t="s">
        <v>83</v>
      </c>
      <c r="D142" s="18" t="s">
        <v>68</v>
      </c>
      <c r="E142" s="47" t="n">
        <v>1</v>
      </c>
      <c r="F142" s="20"/>
      <c r="G142" s="21" t="n">
        <f aca="false">E142*F142</f>
        <v>0</v>
      </c>
      <c r="H142" s="14"/>
    </row>
    <row r="143" customFormat="false" ht="14.25" hidden="false" customHeight="false" outlineLevel="0" collapsed="false">
      <c r="A143" s="15" t="n">
        <v>19</v>
      </c>
      <c r="B143" s="16"/>
      <c r="C143" s="17" t="s">
        <v>84</v>
      </c>
      <c r="D143" s="18" t="s">
        <v>68</v>
      </c>
      <c r="E143" s="47" t="n">
        <v>1</v>
      </c>
      <c r="F143" s="20"/>
      <c r="G143" s="21" t="n">
        <f aca="false">E143*F143</f>
        <v>0</v>
      </c>
      <c r="H143" s="14"/>
    </row>
    <row r="144" customFormat="false" ht="14.25" hidden="false" customHeight="false" outlineLevel="0" collapsed="false">
      <c r="A144" s="15" t="n">
        <v>20</v>
      </c>
      <c r="B144" s="16"/>
      <c r="C144" s="17" t="s">
        <v>85</v>
      </c>
      <c r="D144" s="18" t="s">
        <v>68</v>
      </c>
      <c r="E144" s="47" t="n">
        <v>1</v>
      </c>
      <c r="F144" s="20"/>
      <c r="G144" s="21" t="n">
        <f aca="false">E144*F144</f>
        <v>0</v>
      </c>
      <c r="H144" s="14"/>
    </row>
    <row r="145" customFormat="false" ht="14.25" hidden="false" customHeight="false" outlineLevel="0" collapsed="false">
      <c r="A145" s="15" t="n">
        <v>21</v>
      </c>
      <c r="B145" s="16"/>
      <c r="C145" s="17" t="s">
        <v>86</v>
      </c>
      <c r="D145" s="18" t="s">
        <v>68</v>
      </c>
      <c r="E145" s="47" t="n">
        <v>1</v>
      </c>
      <c r="F145" s="20"/>
      <c r="G145" s="21" t="n">
        <f aca="false">E145*F145</f>
        <v>0</v>
      </c>
      <c r="H145" s="14"/>
    </row>
    <row r="146" customFormat="false" ht="14.25" hidden="false" customHeight="false" outlineLevel="0" collapsed="false">
      <c r="A146" s="15" t="n">
        <v>22</v>
      </c>
      <c r="B146" s="16"/>
      <c r="C146" s="17" t="s">
        <v>87</v>
      </c>
      <c r="D146" s="18" t="s">
        <v>68</v>
      </c>
      <c r="E146" s="47" t="n">
        <v>1</v>
      </c>
      <c r="F146" s="20"/>
      <c r="G146" s="21" t="n">
        <f aca="false">E146*F146</f>
        <v>0</v>
      </c>
      <c r="H146" s="14"/>
    </row>
    <row r="147" customFormat="false" ht="14.25" hidden="false" customHeight="false" outlineLevel="0" collapsed="false">
      <c r="A147" s="15" t="n">
        <v>23</v>
      </c>
      <c r="B147" s="16"/>
      <c r="C147" s="17" t="s">
        <v>88</v>
      </c>
      <c r="D147" s="18" t="s">
        <v>68</v>
      </c>
      <c r="E147" s="47" t="n">
        <v>1</v>
      </c>
      <c r="F147" s="20"/>
      <c r="G147" s="21" t="n">
        <f aca="false">E147*F147</f>
        <v>0</v>
      </c>
      <c r="H147" s="14"/>
    </row>
    <row r="148" customFormat="false" ht="14.25" hidden="false" customHeight="false" outlineLevel="0" collapsed="false">
      <c r="A148" s="15" t="n">
        <v>24</v>
      </c>
      <c r="B148" s="16"/>
      <c r="C148" s="17" t="s">
        <v>89</v>
      </c>
      <c r="D148" s="18" t="s">
        <v>68</v>
      </c>
      <c r="E148" s="47" t="n">
        <v>1</v>
      </c>
      <c r="F148" s="20"/>
      <c r="G148" s="21" t="n">
        <f aca="false">E148*F148</f>
        <v>0</v>
      </c>
      <c r="H148" s="14"/>
    </row>
    <row r="149" customFormat="false" ht="14.25" hidden="false" customHeight="false" outlineLevel="0" collapsed="false">
      <c r="A149" s="15" t="n">
        <v>25</v>
      </c>
      <c r="B149" s="16"/>
      <c r="C149" s="17" t="s">
        <v>90</v>
      </c>
      <c r="D149" s="18" t="s">
        <v>68</v>
      </c>
      <c r="E149" s="47" t="n">
        <v>4</v>
      </c>
      <c r="F149" s="20"/>
      <c r="G149" s="21" t="n">
        <f aca="false">E149*F149</f>
        <v>0</v>
      </c>
      <c r="H149" s="14"/>
    </row>
    <row r="150" customFormat="false" ht="14.25" hidden="false" customHeight="false" outlineLevel="0" collapsed="false">
      <c r="A150" s="15" t="n">
        <v>26</v>
      </c>
      <c r="B150" s="16"/>
      <c r="C150" s="17" t="s">
        <v>91</v>
      </c>
      <c r="D150" s="18" t="s">
        <v>68</v>
      </c>
      <c r="E150" s="47" t="n">
        <v>1</v>
      </c>
      <c r="F150" s="20"/>
      <c r="G150" s="21" t="n">
        <f aca="false">E150*F150</f>
        <v>0</v>
      </c>
      <c r="H150" s="14"/>
    </row>
    <row r="151" customFormat="false" ht="14.25" hidden="false" customHeight="false" outlineLevel="0" collapsed="false">
      <c r="A151" s="15" t="n">
        <v>27</v>
      </c>
      <c r="B151" s="16"/>
      <c r="C151" s="17" t="s">
        <v>92</v>
      </c>
      <c r="D151" s="18" t="s">
        <v>68</v>
      </c>
      <c r="E151" s="47" t="n">
        <v>1</v>
      </c>
      <c r="F151" s="20"/>
      <c r="G151" s="21" t="n">
        <f aca="false">E151*F151</f>
        <v>0</v>
      </c>
      <c r="H151" s="14"/>
    </row>
    <row r="152" customFormat="false" ht="14.25" hidden="false" customHeight="false" outlineLevel="0" collapsed="false">
      <c r="A152" s="15" t="n">
        <v>28</v>
      </c>
      <c r="B152" s="16"/>
      <c r="C152" s="17" t="s">
        <v>93</v>
      </c>
      <c r="D152" s="18" t="s">
        <v>68</v>
      </c>
      <c r="E152" s="47" t="n">
        <v>1</v>
      </c>
      <c r="F152" s="20"/>
      <c r="G152" s="21" t="n">
        <f aca="false">E152*F152</f>
        <v>0</v>
      </c>
      <c r="H152" s="14"/>
    </row>
    <row r="153" customFormat="false" ht="14.25" hidden="false" customHeight="false" outlineLevel="0" collapsed="false">
      <c r="A153" s="15" t="n">
        <v>29</v>
      </c>
      <c r="B153" s="16"/>
      <c r="C153" s="17" t="s">
        <v>94</v>
      </c>
      <c r="D153" s="18" t="s">
        <v>68</v>
      </c>
      <c r="E153" s="47" t="n">
        <v>3</v>
      </c>
      <c r="F153" s="20"/>
      <c r="G153" s="21" t="n">
        <f aca="false">E153*F153</f>
        <v>0</v>
      </c>
      <c r="H153" s="14"/>
    </row>
    <row r="154" customFormat="false" ht="14.25" hidden="false" customHeight="false" outlineLevel="0" collapsed="false">
      <c r="A154" s="15" t="n">
        <v>30</v>
      </c>
      <c r="B154" s="16"/>
      <c r="C154" s="17" t="s">
        <v>95</v>
      </c>
      <c r="D154" s="18" t="s">
        <v>20</v>
      </c>
      <c r="E154" s="19" t="n">
        <v>4021</v>
      </c>
      <c r="F154" s="20"/>
      <c r="G154" s="21" t="n">
        <f aca="false">E154*F154</f>
        <v>0</v>
      </c>
      <c r="H154" s="14"/>
    </row>
    <row r="155" customFormat="false" ht="14.25" hidden="false" customHeight="false" outlineLevel="0" collapsed="false">
      <c r="A155" s="15" t="n">
        <v>31</v>
      </c>
      <c r="B155" s="16"/>
      <c r="C155" s="17" t="s">
        <v>96</v>
      </c>
      <c r="D155" s="18" t="s">
        <v>97</v>
      </c>
      <c r="E155" s="19" t="n">
        <v>40.21</v>
      </c>
      <c r="F155" s="20"/>
      <c r="G155" s="21" t="n">
        <f aca="false">E155*F155</f>
        <v>0</v>
      </c>
      <c r="H155" s="14"/>
    </row>
    <row r="156" customFormat="false" ht="14.25" hidden="false" customHeight="false" outlineLevel="0" collapsed="false">
      <c r="A156" s="15" t="n">
        <v>32</v>
      </c>
      <c r="B156" s="16"/>
      <c r="C156" s="17" t="s">
        <v>98</v>
      </c>
      <c r="D156" s="18" t="s">
        <v>20</v>
      </c>
      <c r="E156" s="19" t="n">
        <v>4021</v>
      </c>
      <c r="F156" s="20"/>
      <c r="G156" s="21" t="n">
        <f aca="false">E156*F156</f>
        <v>0</v>
      </c>
      <c r="H156" s="14"/>
    </row>
    <row r="157" customFormat="false" ht="23.85" hidden="false" customHeight="false" outlineLevel="0" collapsed="false">
      <c r="A157" s="15" t="n">
        <v>33</v>
      </c>
      <c r="B157" s="16"/>
      <c r="C157" s="17" t="s">
        <v>99</v>
      </c>
      <c r="D157" s="18" t="s">
        <v>20</v>
      </c>
      <c r="E157" s="19" t="n">
        <v>4021</v>
      </c>
      <c r="F157" s="20"/>
      <c r="G157" s="21" t="n">
        <f aca="false">E157*F157</f>
        <v>0</v>
      </c>
      <c r="H157" s="14"/>
    </row>
    <row r="158" s="43" customFormat="true" ht="17.9" hidden="false" customHeight="true" outlineLevel="0" collapsed="false">
      <c r="A158" s="12" t="s">
        <v>30</v>
      </c>
      <c r="B158" s="12"/>
      <c r="C158" s="22" t="s">
        <v>31</v>
      </c>
      <c r="D158" s="22"/>
      <c r="E158" s="22"/>
      <c r="F158" s="22"/>
      <c r="G158" s="22"/>
      <c r="H158" s="41"/>
      <c r="I158" s="42"/>
    </row>
    <row r="159" customFormat="false" ht="14.25" hidden="false" customHeight="false" outlineLevel="0" collapsed="false">
      <c r="A159" s="23" t="n">
        <v>1</v>
      </c>
      <c r="B159" s="24"/>
      <c r="C159" s="25" t="s">
        <v>65</v>
      </c>
      <c r="D159" s="26" t="s">
        <v>20</v>
      </c>
      <c r="E159" s="27" t="n">
        <v>130.95</v>
      </c>
      <c r="F159" s="20"/>
      <c r="G159" s="29" t="n">
        <f aca="false">E159*F159</f>
        <v>0</v>
      </c>
      <c r="H159" s="14"/>
    </row>
    <row r="160" customFormat="false" ht="14.25" hidden="false" customHeight="false" outlineLevel="0" collapsed="false">
      <c r="A160" s="23" t="n">
        <v>2</v>
      </c>
      <c r="B160" s="24"/>
      <c r="C160" s="25" t="s">
        <v>66</v>
      </c>
      <c r="D160" s="26" t="s">
        <v>20</v>
      </c>
      <c r="E160" s="27" t="n">
        <v>4127.01</v>
      </c>
      <c r="F160" s="20"/>
      <c r="G160" s="29" t="n">
        <f aca="false">E160*F160</f>
        <v>0</v>
      </c>
      <c r="H160" s="14"/>
    </row>
    <row r="161" customFormat="false" ht="14.25" hidden="false" customHeight="false" outlineLevel="0" collapsed="false">
      <c r="A161" s="23" t="n">
        <v>3</v>
      </c>
      <c r="B161" s="24"/>
      <c r="C161" s="25" t="s">
        <v>100</v>
      </c>
      <c r="D161" s="26" t="s">
        <v>68</v>
      </c>
      <c r="E161" s="48" t="n">
        <v>1</v>
      </c>
      <c r="F161" s="20"/>
      <c r="G161" s="29" t="n">
        <f aca="false">E161*F161</f>
        <v>0</v>
      </c>
      <c r="H161" s="14"/>
    </row>
    <row r="162" customFormat="false" ht="14.25" hidden="false" customHeight="false" outlineLevel="0" collapsed="false">
      <c r="A162" s="23" t="n">
        <v>4</v>
      </c>
      <c r="B162" s="24"/>
      <c r="C162" s="25" t="s">
        <v>67</v>
      </c>
      <c r="D162" s="26" t="s">
        <v>68</v>
      </c>
      <c r="E162" s="48" t="n">
        <v>6</v>
      </c>
      <c r="F162" s="20"/>
      <c r="G162" s="29" t="n">
        <f aca="false">E162*F162</f>
        <v>0</v>
      </c>
      <c r="H162" s="14"/>
    </row>
    <row r="163" customFormat="false" ht="14.25" hidden="false" customHeight="false" outlineLevel="0" collapsed="false">
      <c r="A163" s="23" t="n">
        <v>5</v>
      </c>
      <c r="B163" s="24"/>
      <c r="C163" s="25" t="s">
        <v>69</v>
      </c>
      <c r="D163" s="26" t="s">
        <v>68</v>
      </c>
      <c r="E163" s="48" t="n">
        <v>10</v>
      </c>
      <c r="F163" s="20"/>
      <c r="G163" s="29" t="n">
        <f aca="false">E163*F163</f>
        <v>0</v>
      </c>
      <c r="H163" s="14"/>
    </row>
    <row r="164" customFormat="false" ht="14.25" hidden="false" customHeight="false" outlineLevel="0" collapsed="false">
      <c r="A164" s="23" t="n">
        <v>6</v>
      </c>
      <c r="B164" s="24"/>
      <c r="C164" s="25" t="s">
        <v>101</v>
      </c>
      <c r="D164" s="26" t="s">
        <v>68</v>
      </c>
      <c r="E164" s="48" t="n">
        <v>2</v>
      </c>
      <c r="F164" s="20"/>
      <c r="G164" s="29" t="n">
        <f aca="false">E164*F164</f>
        <v>0</v>
      </c>
      <c r="H164" s="14"/>
    </row>
    <row r="165" customFormat="false" ht="14.25" hidden="false" customHeight="false" outlineLevel="0" collapsed="false">
      <c r="A165" s="23" t="n">
        <v>7</v>
      </c>
      <c r="B165" s="24"/>
      <c r="C165" s="25" t="s">
        <v>70</v>
      </c>
      <c r="D165" s="26" t="s">
        <v>68</v>
      </c>
      <c r="E165" s="48" t="n">
        <v>46</v>
      </c>
      <c r="F165" s="20"/>
      <c r="G165" s="29" t="n">
        <f aca="false">E165*F165</f>
        <v>0</v>
      </c>
      <c r="H165" s="14"/>
    </row>
    <row r="166" customFormat="false" ht="14.25" hidden="false" customHeight="false" outlineLevel="0" collapsed="false">
      <c r="A166" s="23" t="n">
        <v>8</v>
      </c>
      <c r="B166" s="24"/>
      <c r="C166" s="25" t="s">
        <v>102</v>
      </c>
      <c r="D166" s="26" t="s">
        <v>68</v>
      </c>
      <c r="E166" s="48" t="n">
        <v>2</v>
      </c>
      <c r="F166" s="20"/>
      <c r="G166" s="29" t="n">
        <f aca="false">E166*F166</f>
        <v>0</v>
      </c>
      <c r="H166" s="14"/>
    </row>
    <row r="167" customFormat="false" ht="14.25" hidden="false" customHeight="false" outlineLevel="0" collapsed="false">
      <c r="A167" s="23" t="n">
        <v>9</v>
      </c>
      <c r="B167" s="24"/>
      <c r="C167" s="25" t="s">
        <v>103</v>
      </c>
      <c r="D167" s="26" t="s">
        <v>68</v>
      </c>
      <c r="E167" s="48" t="n">
        <v>1</v>
      </c>
      <c r="F167" s="20"/>
      <c r="G167" s="29" t="n">
        <f aca="false">E167*F167</f>
        <v>0</v>
      </c>
      <c r="H167" s="14"/>
    </row>
    <row r="168" customFormat="false" ht="14.25" hidden="false" customHeight="false" outlineLevel="0" collapsed="false">
      <c r="A168" s="23" t="n">
        <v>10</v>
      </c>
      <c r="B168" s="24"/>
      <c r="C168" s="25" t="s">
        <v>104</v>
      </c>
      <c r="D168" s="26" t="s">
        <v>68</v>
      </c>
      <c r="E168" s="48" t="n">
        <v>2</v>
      </c>
      <c r="F168" s="20"/>
      <c r="G168" s="29" t="n">
        <f aca="false">E168*F168</f>
        <v>0</v>
      </c>
      <c r="H168" s="14"/>
    </row>
    <row r="169" customFormat="false" ht="14.25" hidden="false" customHeight="false" outlineLevel="0" collapsed="false">
      <c r="A169" s="23" t="n">
        <v>11</v>
      </c>
      <c r="B169" s="24"/>
      <c r="C169" s="25" t="s">
        <v>74</v>
      </c>
      <c r="D169" s="26" t="s">
        <v>68</v>
      </c>
      <c r="E169" s="48" t="n">
        <v>1</v>
      </c>
      <c r="F169" s="20"/>
      <c r="G169" s="29" t="n">
        <f aca="false">E169*F169</f>
        <v>0</v>
      </c>
      <c r="H169" s="14"/>
    </row>
    <row r="170" customFormat="false" ht="14.25" hidden="false" customHeight="false" outlineLevel="0" collapsed="false">
      <c r="A170" s="23" t="n">
        <v>12</v>
      </c>
      <c r="B170" s="24"/>
      <c r="C170" s="25" t="s">
        <v>76</v>
      </c>
      <c r="D170" s="26" t="s">
        <v>68</v>
      </c>
      <c r="E170" s="48" t="n">
        <v>4</v>
      </c>
      <c r="F170" s="20"/>
      <c r="G170" s="29" t="n">
        <f aca="false">E170*F170</f>
        <v>0</v>
      </c>
      <c r="H170" s="14"/>
    </row>
    <row r="171" customFormat="false" ht="14.25" hidden="false" customHeight="false" outlineLevel="0" collapsed="false">
      <c r="A171" s="23" t="n">
        <v>13</v>
      </c>
      <c r="B171" s="24"/>
      <c r="C171" s="25" t="s">
        <v>105</v>
      </c>
      <c r="D171" s="26" t="s">
        <v>68</v>
      </c>
      <c r="E171" s="48" t="n">
        <v>3</v>
      </c>
      <c r="F171" s="20"/>
      <c r="G171" s="29" t="n">
        <f aca="false">E171*F171</f>
        <v>0</v>
      </c>
      <c r="H171" s="14"/>
    </row>
    <row r="172" customFormat="false" ht="14.25" hidden="false" customHeight="false" outlineLevel="0" collapsed="false">
      <c r="A172" s="23" t="n">
        <v>14</v>
      </c>
      <c r="B172" s="24"/>
      <c r="C172" s="25" t="s">
        <v>106</v>
      </c>
      <c r="D172" s="26" t="s">
        <v>68</v>
      </c>
      <c r="E172" s="48" t="n">
        <v>4</v>
      </c>
      <c r="F172" s="20"/>
      <c r="G172" s="29" t="n">
        <f aca="false">E172*F172</f>
        <v>0</v>
      </c>
      <c r="H172" s="14"/>
    </row>
    <row r="173" customFormat="false" ht="14.25" hidden="false" customHeight="false" outlineLevel="0" collapsed="false">
      <c r="A173" s="23" t="n">
        <v>15</v>
      </c>
      <c r="B173" s="24"/>
      <c r="C173" s="25" t="s">
        <v>79</v>
      </c>
      <c r="D173" s="26" t="s">
        <v>68</v>
      </c>
      <c r="E173" s="48" t="n">
        <v>1</v>
      </c>
      <c r="F173" s="20"/>
      <c r="G173" s="29" t="n">
        <f aca="false">E173*F173</f>
        <v>0</v>
      </c>
      <c r="H173" s="14"/>
    </row>
    <row r="174" customFormat="false" ht="14.25" hidden="false" customHeight="false" outlineLevel="0" collapsed="false">
      <c r="A174" s="23" t="n">
        <v>16</v>
      </c>
      <c r="B174" s="24"/>
      <c r="C174" s="25" t="s">
        <v>81</v>
      </c>
      <c r="D174" s="26" t="s">
        <v>68</v>
      </c>
      <c r="E174" s="48" t="n">
        <v>5</v>
      </c>
      <c r="F174" s="20"/>
      <c r="G174" s="29" t="n">
        <f aca="false">E174*F174</f>
        <v>0</v>
      </c>
      <c r="H174" s="14"/>
    </row>
    <row r="175" customFormat="false" ht="14.25" hidden="false" customHeight="false" outlineLevel="0" collapsed="false">
      <c r="A175" s="23" t="n">
        <v>17</v>
      </c>
      <c r="B175" s="24"/>
      <c r="C175" s="25" t="s">
        <v>107</v>
      </c>
      <c r="D175" s="26" t="s">
        <v>68</v>
      </c>
      <c r="E175" s="48" t="n">
        <v>2</v>
      </c>
      <c r="F175" s="20"/>
      <c r="G175" s="29" t="n">
        <f aca="false">E175*F175</f>
        <v>0</v>
      </c>
      <c r="H175" s="14"/>
    </row>
    <row r="176" customFormat="false" ht="14.25" hidden="false" customHeight="false" outlineLevel="0" collapsed="false">
      <c r="A176" s="23" t="n">
        <v>18</v>
      </c>
      <c r="B176" s="24"/>
      <c r="C176" s="25" t="s">
        <v>108</v>
      </c>
      <c r="D176" s="26" t="s">
        <v>68</v>
      </c>
      <c r="E176" s="48" t="n">
        <v>10</v>
      </c>
      <c r="F176" s="20"/>
      <c r="G176" s="29" t="n">
        <f aca="false">E176*F176</f>
        <v>0</v>
      </c>
      <c r="H176" s="14"/>
    </row>
    <row r="177" customFormat="false" ht="14.25" hidden="false" customHeight="false" outlineLevel="0" collapsed="false">
      <c r="A177" s="23" t="n">
        <v>19</v>
      </c>
      <c r="B177" s="24"/>
      <c r="C177" s="25" t="s">
        <v>84</v>
      </c>
      <c r="D177" s="26" t="s">
        <v>68</v>
      </c>
      <c r="E177" s="48" t="n">
        <v>1</v>
      </c>
      <c r="F177" s="20"/>
      <c r="G177" s="29" t="n">
        <f aca="false">E177*F177</f>
        <v>0</v>
      </c>
      <c r="H177" s="14"/>
    </row>
    <row r="178" customFormat="false" ht="14.25" hidden="false" customHeight="false" outlineLevel="0" collapsed="false">
      <c r="A178" s="23" t="n">
        <v>20</v>
      </c>
      <c r="B178" s="24"/>
      <c r="C178" s="25" t="s">
        <v>109</v>
      </c>
      <c r="D178" s="26" t="s">
        <v>68</v>
      </c>
      <c r="E178" s="48" t="n">
        <v>1</v>
      </c>
      <c r="F178" s="20"/>
      <c r="G178" s="29" t="n">
        <f aca="false">E178*F178</f>
        <v>0</v>
      </c>
      <c r="H178" s="14"/>
    </row>
    <row r="179" customFormat="false" ht="14.25" hidden="false" customHeight="false" outlineLevel="0" collapsed="false">
      <c r="A179" s="23" t="n">
        <v>21</v>
      </c>
      <c r="B179" s="24"/>
      <c r="C179" s="25" t="s">
        <v>110</v>
      </c>
      <c r="D179" s="26" t="s">
        <v>68</v>
      </c>
      <c r="E179" s="48" t="n">
        <v>1</v>
      </c>
      <c r="F179" s="20"/>
      <c r="G179" s="29" t="n">
        <f aca="false">E179*F179</f>
        <v>0</v>
      </c>
      <c r="H179" s="14"/>
    </row>
    <row r="180" customFormat="false" ht="14.25" hidden="false" customHeight="false" outlineLevel="0" collapsed="false">
      <c r="A180" s="23" t="n">
        <v>22</v>
      </c>
      <c r="B180" s="24"/>
      <c r="C180" s="25" t="s">
        <v>88</v>
      </c>
      <c r="D180" s="26" t="s">
        <v>68</v>
      </c>
      <c r="E180" s="48" t="n">
        <v>2</v>
      </c>
      <c r="F180" s="20"/>
      <c r="G180" s="29" t="n">
        <f aca="false">E180*F180</f>
        <v>0</v>
      </c>
      <c r="H180" s="14"/>
    </row>
    <row r="181" customFormat="false" ht="14.25" hidden="false" customHeight="false" outlineLevel="0" collapsed="false">
      <c r="A181" s="23" t="n">
        <v>23</v>
      </c>
      <c r="B181" s="24"/>
      <c r="C181" s="25" t="s">
        <v>111</v>
      </c>
      <c r="D181" s="26" t="s">
        <v>68</v>
      </c>
      <c r="E181" s="48" t="n">
        <v>2</v>
      </c>
      <c r="F181" s="20"/>
      <c r="G181" s="29" t="n">
        <f aca="false">E181*F181</f>
        <v>0</v>
      </c>
      <c r="H181" s="14"/>
    </row>
    <row r="182" customFormat="false" ht="14.25" hidden="false" customHeight="false" outlineLevel="0" collapsed="false">
      <c r="A182" s="23" t="n">
        <v>24</v>
      </c>
      <c r="B182" s="24"/>
      <c r="C182" s="25" t="s">
        <v>112</v>
      </c>
      <c r="D182" s="26" t="s">
        <v>68</v>
      </c>
      <c r="E182" s="48" t="n">
        <v>3</v>
      </c>
      <c r="F182" s="20"/>
      <c r="G182" s="29" t="n">
        <f aca="false">E182*F182</f>
        <v>0</v>
      </c>
      <c r="H182" s="14"/>
    </row>
    <row r="183" customFormat="false" ht="14.25" hidden="false" customHeight="false" outlineLevel="0" collapsed="false">
      <c r="A183" s="23" t="n">
        <v>25</v>
      </c>
      <c r="B183" s="24"/>
      <c r="C183" s="25" t="s">
        <v>113</v>
      </c>
      <c r="D183" s="26" t="s">
        <v>68</v>
      </c>
      <c r="E183" s="48" t="n">
        <v>1</v>
      </c>
      <c r="F183" s="20"/>
      <c r="G183" s="29" t="n">
        <f aca="false">E183*F183</f>
        <v>0</v>
      </c>
      <c r="H183" s="14"/>
    </row>
    <row r="184" customFormat="false" ht="14.25" hidden="false" customHeight="false" outlineLevel="0" collapsed="false">
      <c r="A184" s="23" t="n">
        <v>26</v>
      </c>
      <c r="B184" s="24"/>
      <c r="C184" s="25" t="s">
        <v>90</v>
      </c>
      <c r="D184" s="26" t="s">
        <v>68</v>
      </c>
      <c r="E184" s="48" t="n">
        <v>1</v>
      </c>
      <c r="F184" s="20"/>
      <c r="G184" s="29" t="n">
        <f aca="false">E184*F184</f>
        <v>0</v>
      </c>
      <c r="H184" s="14"/>
    </row>
    <row r="185" customFormat="false" ht="14.25" hidden="false" customHeight="false" outlineLevel="0" collapsed="false">
      <c r="A185" s="23" t="n">
        <v>27</v>
      </c>
      <c r="B185" s="24"/>
      <c r="C185" s="25" t="s">
        <v>92</v>
      </c>
      <c r="D185" s="26" t="s">
        <v>68</v>
      </c>
      <c r="E185" s="48" t="n">
        <v>4</v>
      </c>
      <c r="F185" s="20"/>
      <c r="G185" s="29" t="n">
        <f aca="false">E185*F185</f>
        <v>0</v>
      </c>
      <c r="H185" s="14"/>
    </row>
    <row r="186" customFormat="false" ht="14.25" hidden="false" customHeight="false" outlineLevel="0" collapsed="false">
      <c r="A186" s="23" t="n">
        <v>28</v>
      </c>
      <c r="B186" s="24"/>
      <c r="C186" s="25" t="s">
        <v>114</v>
      </c>
      <c r="D186" s="26" t="s">
        <v>68</v>
      </c>
      <c r="E186" s="48" t="n">
        <v>3</v>
      </c>
      <c r="F186" s="20"/>
      <c r="G186" s="29" t="n">
        <f aca="false">E186*F186</f>
        <v>0</v>
      </c>
      <c r="H186" s="14"/>
    </row>
    <row r="187" customFormat="false" ht="14.25" hidden="false" customHeight="false" outlineLevel="0" collapsed="false">
      <c r="A187" s="23" t="n">
        <v>29</v>
      </c>
      <c r="B187" s="24"/>
      <c r="C187" s="25" t="s">
        <v>93</v>
      </c>
      <c r="D187" s="26" t="s">
        <v>68</v>
      </c>
      <c r="E187" s="48" t="n">
        <v>1</v>
      </c>
      <c r="F187" s="20"/>
      <c r="G187" s="29" t="n">
        <f aca="false">E187*F187</f>
        <v>0</v>
      </c>
      <c r="H187" s="14"/>
    </row>
    <row r="188" customFormat="false" ht="14.25" hidden="false" customHeight="false" outlineLevel="0" collapsed="false">
      <c r="A188" s="23" t="n">
        <v>30</v>
      </c>
      <c r="B188" s="24"/>
      <c r="C188" s="25" t="s">
        <v>94</v>
      </c>
      <c r="D188" s="26" t="s">
        <v>68</v>
      </c>
      <c r="E188" s="48" t="n">
        <v>1</v>
      </c>
      <c r="F188" s="20"/>
      <c r="G188" s="29" t="n">
        <f aca="false">E188*F188</f>
        <v>0</v>
      </c>
      <c r="H188" s="14"/>
    </row>
    <row r="189" customFormat="false" ht="14.25" hidden="false" customHeight="false" outlineLevel="0" collapsed="false">
      <c r="A189" s="23" t="n">
        <v>31</v>
      </c>
      <c r="B189" s="24"/>
      <c r="C189" s="25" t="s">
        <v>95</v>
      </c>
      <c r="D189" s="26" t="s">
        <v>20</v>
      </c>
      <c r="E189" s="27" t="n">
        <f aca="false">E159+E160</f>
        <v>4257.96</v>
      </c>
      <c r="F189" s="20"/>
      <c r="G189" s="29" t="n">
        <f aca="false">E189*F189</f>
        <v>0</v>
      </c>
      <c r="H189" s="14"/>
    </row>
    <row r="190" customFormat="false" ht="14.25" hidden="false" customHeight="false" outlineLevel="0" collapsed="false">
      <c r="A190" s="23" t="n">
        <v>32</v>
      </c>
      <c r="B190" s="24"/>
      <c r="C190" s="25" t="s">
        <v>96</v>
      </c>
      <c r="D190" s="26" t="s">
        <v>97</v>
      </c>
      <c r="E190" s="27" t="n">
        <f aca="false">E189/100</f>
        <v>42.5796</v>
      </c>
      <c r="F190" s="20"/>
      <c r="G190" s="29" t="n">
        <f aca="false">E190*F190</f>
        <v>0</v>
      </c>
      <c r="H190" s="14"/>
    </row>
    <row r="191" customFormat="false" ht="14.25" hidden="false" customHeight="false" outlineLevel="0" collapsed="false">
      <c r="A191" s="23" t="n">
        <v>33</v>
      </c>
      <c r="B191" s="24"/>
      <c r="C191" s="25" t="s">
        <v>98</v>
      </c>
      <c r="D191" s="26" t="s">
        <v>20</v>
      </c>
      <c r="E191" s="27" t="n">
        <f aca="false">E189</f>
        <v>4257.96</v>
      </c>
      <c r="F191" s="20"/>
      <c r="G191" s="29" t="n">
        <f aca="false">E191*F191</f>
        <v>0</v>
      </c>
      <c r="H191" s="14"/>
    </row>
    <row r="192" customFormat="false" ht="23.85" hidden="false" customHeight="false" outlineLevel="0" collapsed="false">
      <c r="A192" s="23" t="n">
        <v>34</v>
      </c>
      <c r="B192" s="24"/>
      <c r="C192" s="25" t="s">
        <v>99</v>
      </c>
      <c r="D192" s="26" t="s">
        <v>20</v>
      </c>
      <c r="E192" s="27" t="n">
        <f aca="false">E191</f>
        <v>4257.96</v>
      </c>
      <c r="F192" s="20"/>
      <c r="G192" s="29" t="n">
        <f aca="false">E192*F192</f>
        <v>0</v>
      </c>
      <c r="H192" s="14"/>
    </row>
    <row r="193" s="43" customFormat="true" ht="17.9" hidden="false" customHeight="true" outlineLevel="0" collapsed="false">
      <c r="A193" s="12" t="s">
        <v>36</v>
      </c>
      <c r="B193" s="12"/>
      <c r="C193" s="30" t="s">
        <v>37</v>
      </c>
      <c r="D193" s="30"/>
      <c r="E193" s="30"/>
      <c r="F193" s="30"/>
      <c r="G193" s="30"/>
      <c r="H193" s="41"/>
    </row>
    <row r="194" customFormat="false" ht="14.25" hidden="false" customHeight="false" outlineLevel="0" collapsed="false">
      <c r="A194" s="23" t="s">
        <v>115</v>
      </c>
      <c r="B194" s="49"/>
      <c r="C194" s="25" t="s">
        <v>66</v>
      </c>
      <c r="D194" s="26" t="s">
        <v>20</v>
      </c>
      <c r="E194" s="27" t="n">
        <v>1915.04</v>
      </c>
      <c r="F194" s="20"/>
      <c r="G194" s="50" t="n">
        <f aca="false">E194*F194</f>
        <v>0</v>
      </c>
      <c r="H194" s="14"/>
    </row>
    <row r="195" customFormat="false" ht="14.25" hidden="false" customHeight="false" outlineLevel="0" collapsed="false">
      <c r="A195" s="23" t="s">
        <v>116</v>
      </c>
      <c r="B195" s="49"/>
      <c r="C195" s="25" t="s">
        <v>69</v>
      </c>
      <c r="D195" s="51" t="s">
        <v>117</v>
      </c>
      <c r="E195" s="52" t="n">
        <v>4</v>
      </c>
      <c r="F195" s="20"/>
      <c r="G195" s="53" t="n">
        <f aca="false">E195*F195</f>
        <v>0</v>
      </c>
      <c r="H195" s="14"/>
    </row>
    <row r="196" customFormat="false" ht="14.25" hidden="false" customHeight="false" outlineLevel="0" collapsed="false">
      <c r="A196" s="23" t="s">
        <v>118</v>
      </c>
      <c r="B196" s="49"/>
      <c r="C196" s="25" t="s">
        <v>70</v>
      </c>
      <c r="D196" s="51" t="s">
        <v>117</v>
      </c>
      <c r="E196" s="48" t="n">
        <v>15</v>
      </c>
      <c r="F196" s="20"/>
      <c r="G196" s="29" t="n">
        <f aca="false">E196*F196</f>
        <v>0</v>
      </c>
      <c r="H196" s="14"/>
    </row>
    <row r="197" customFormat="false" ht="14.25" hidden="false" customHeight="false" outlineLevel="0" collapsed="false">
      <c r="A197" s="23" t="s">
        <v>119</v>
      </c>
      <c r="B197" s="49"/>
      <c r="C197" s="25" t="s">
        <v>120</v>
      </c>
      <c r="D197" s="51" t="s">
        <v>117</v>
      </c>
      <c r="E197" s="52" t="n">
        <v>1</v>
      </c>
      <c r="F197" s="20"/>
      <c r="G197" s="53" t="n">
        <f aca="false">E197*F197</f>
        <v>0</v>
      </c>
      <c r="H197" s="14"/>
    </row>
    <row r="198" customFormat="false" ht="14.25" hidden="false" customHeight="false" outlineLevel="0" collapsed="false">
      <c r="A198" s="23" t="s">
        <v>121</v>
      </c>
      <c r="B198" s="49"/>
      <c r="C198" s="25" t="s">
        <v>122</v>
      </c>
      <c r="D198" s="51" t="s">
        <v>117</v>
      </c>
      <c r="E198" s="52" t="n">
        <v>1</v>
      </c>
      <c r="F198" s="20"/>
      <c r="G198" s="53" t="n">
        <f aca="false">E198*F198</f>
        <v>0</v>
      </c>
      <c r="H198" s="14"/>
    </row>
    <row r="199" customFormat="false" ht="14.25" hidden="false" customHeight="false" outlineLevel="0" collapsed="false">
      <c r="A199" s="23" t="s">
        <v>123</v>
      </c>
      <c r="B199" s="49"/>
      <c r="C199" s="25" t="s">
        <v>124</v>
      </c>
      <c r="D199" s="51" t="s">
        <v>117</v>
      </c>
      <c r="E199" s="52" t="n">
        <v>1</v>
      </c>
      <c r="F199" s="20"/>
      <c r="G199" s="53" t="n">
        <f aca="false">E199*F199</f>
        <v>0</v>
      </c>
      <c r="H199" s="14"/>
    </row>
    <row r="200" customFormat="false" ht="14.25" hidden="false" customHeight="false" outlineLevel="0" collapsed="false">
      <c r="A200" s="23" t="s">
        <v>125</v>
      </c>
      <c r="B200" s="49"/>
      <c r="C200" s="25" t="s">
        <v>104</v>
      </c>
      <c r="D200" s="51" t="s">
        <v>117</v>
      </c>
      <c r="E200" s="52" t="n">
        <v>1</v>
      </c>
      <c r="F200" s="20"/>
      <c r="G200" s="53" t="n">
        <f aca="false">E200*F200</f>
        <v>0</v>
      </c>
      <c r="H200" s="14"/>
    </row>
    <row r="201" customFormat="false" ht="14.25" hidden="false" customHeight="false" outlineLevel="0" collapsed="false">
      <c r="A201" s="23" t="s">
        <v>126</v>
      </c>
      <c r="B201" s="49"/>
      <c r="C201" s="25" t="s">
        <v>127</v>
      </c>
      <c r="D201" s="51" t="s">
        <v>117</v>
      </c>
      <c r="E201" s="52" t="n">
        <v>1</v>
      </c>
      <c r="F201" s="20"/>
      <c r="G201" s="53" t="n">
        <f aca="false">E201*F201</f>
        <v>0</v>
      </c>
      <c r="H201" s="14"/>
    </row>
    <row r="202" customFormat="false" ht="14.25" hidden="false" customHeight="false" outlineLevel="0" collapsed="false">
      <c r="A202" s="23" t="s">
        <v>128</v>
      </c>
      <c r="B202" s="49"/>
      <c r="C202" s="25" t="s">
        <v>129</v>
      </c>
      <c r="D202" s="51" t="s">
        <v>117</v>
      </c>
      <c r="E202" s="52" t="n">
        <v>18</v>
      </c>
      <c r="F202" s="20"/>
      <c r="G202" s="53" t="n">
        <f aca="false">E202*F202</f>
        <v>0</v>
      </c>
      <c r="H202" s="14"/>
    </row>
    <row r="203" customFormat="false" ht="14.25" hidden="false" customHeight="false" outlineLevel="0" collapsed="false">
      <c r="A203" s="23" t="s">
        <v>130</v>
      </c>
      <c r="B203" s="49"/>
      <c r="C203" s="25" t="s">
        <v>131</v>
      </c>
      <c r="D203" s="51" t="s">
        <v>117</v>
      </c>
      <c r="E203" s="52" t="n">
        <v>1</v>
      </c>
      <c r="F203" s="20"/>
      <c r="G203" s="53" t="n">
        <f aca="false">E203*F203</f>
        <v>0</v>
      </c>
      <c r="H203" s="14"/>
    </row>
    <row r="204" customFormat="false" ht="14.25" hidden="false" customHeight="false" outlineLevel="0" collapsed="false">
      <c r="A204" s="23" t="s">
        <v>132</v>
      </c>
      <c r="B204" s="49"/>
      <c r="C204" s="25" t="s">
        <v>133</v>
      </c>
      <c r="D204" s="51" t="s">
        <v>117</v>
      </c>
      <c r="E204" s="52" t="n">
        <v>2</v>
      </c>
      <c r="F204" s="20"/>
      <c r="G204" s="53" t="n">
        <f aca="false">E204*F204</f>
        <v>0</v>
      </c>
      <c r="H204" s="14"/>
    </row>
    <row r="205" customFormat="false" ht="14.25" hidden="false" customHeight="false" outlineLevel="0" collapsed="false">
      <c r="A205" s="23" t="s">
        <v>134</v>
      </c>
      <c r="B205" s="49"/>
      <c r="C205" s="25" t="s">
        <v>135</v>
      </c>
      <c r="D205" s="51" t="s">
        <v>117</v>
      </c>
      <c r="E205" s="52" t="n">
        <v>2</v>
      </c>
      <c r="F205" s="20"/>
      <c r="G205" s="53" t="n">
        <f aca="false">E205*F205</f>
        <v>0</v>
      </c>
      <c r="H205" s="14"/>
    </row>
    <row r="206" customFormat="false" ht="14.25" hidden="false" customHeight="false" outlineLevel="0" collapsed="false">
      <c r="A206" s="23" t="s">
        <v>136</v>
      </c>
      <c r="B206" s="49"/>
      <c r="C206" s="25" t="s">
        <v>137</v>
      </c>
      <c r="D206" s="51" t="s">
        <v>117</v>
      </c>
      <c r="E206" s="52" t="n">
        <v>6</v>
      </c>
      <c r="F206" s="20"/>
      <c r="G206" s="53" t="n">
        <f aca="false">E206*F206</f>
        <v>0</v>
      </c>
      <c r="H206" s="14"/>
    </row>
    <row r="207" customFormat="false" ht="14.25" hidden="false" customHeight="false" outlineLevel="0" collapsed="false">
      <c r="A207" s="23" t="s">
        <v>138</v>
      </c>
      <c r="B207" s="49"/>
      <c r="C207" s="25" t="s">
        <v>77</v>
      </c>
      <c r="D207" s="51" t="s">
        <v>117</v>
      </c>
      <c r="E207" s="52" t="n">
        <v>18</v>
      </c>
      <c r="F207" s="20"/>
      <c r="G207" s="53" t="n">
        <f aca="false">E207*F207</f>
        <v>0</v>
      </c>
      <c r="H207" s="14"/>
    </row>
    <row r="208" customFormat="false" ht="14.25" hidden="false" customHeight="false" outlineLevel="0" collapsed="false">
      <c r="A208" s="23" t="s">
        <v>139</v>
      </c>
      <c r="B208" s="49"/>
      <c r="C208" s="25" t="s">
        <v>79</v>
      </c>
      <c r="D208" s="51" t="s">
        <v>117</v>
      </c>
      <c r="E208" s="52" t="n">
        <v>1</v>
      </c>
      <c r="F208" s="20"/>
      <c r="G208" s="53" t="n">
        <f aca="false">E208*F208</f>
        <v>0</v>
      </c>
      <c r="H208" s="14"/>
    </row>
    <row r="209" customFormat="false" ht="14.25" hidden="false" customHeight="false" outlineLevel="0" collapsed="false">
      <c r="A209" s="23" t="s">
        <v>140</v>
      </c>
      <c r="B209" s="49"/>
      <c r="C209" s="25" t="s">
        <v>81</v>
      </c>
      <c r="D209" s="51" t="s">
        <v>117</v>
      </c>
      <c r="E209" s="52" t="n">
        <v>5</v>
      </c>
      <c r="F209" s="20"/>
      <c r="G209" s="53" t="n">
        <f aca="false">E209*F209</f>
        <v>0</v>
      </c>
      <c r="H209" s="14"/>
    </row>
    <row r="210" customFormat="false" ht="14.25" hidden="false" customHeight="false" outlineLevel="0" collapsed="false">
      <c r="A210" s="23" t="s">
        <v>141</v>
      </c>
      <c r="B210" s="49"/>
      <c r="C210" s="25" t="s">
        <v>142</v>
      </c>
      <c r="D210" s="51" t="s">
        <v>117</v>
      </c>
      <c r="E210" s="52" t="n">
        <v>2</v>
      </c>
      <c r="F210" s="20"/>
      <c r="G210" s="53" t="n">
        <f aca="false">E210*F210</f>
        <v>0</v>
      </c>
      <c r="H210" s="14"/>
    </row>
    <row r="211" customFormat="false" ht="14.25" hidden="false" customHeight="false" outlineLevel="0" collapsed="false">
      <c r="A211" s="23" t="s">
        <v>143</v>
      </c>
      <c r="B211" s="49"/>
      <c r="C211" s="25" t="s">
        <v>144</v>
      </c>
      <c r="D211" s="51" t="s">
        <v>117</v>
      </c>
      <c r="E211" s="52" t="n">
        <v>8</v>
      </c>
      <c r="F211" s="20"/>
      <c r="G211" s="53" t="n">
        <f aca="false">E211*F211</f>
        <v>0</v>
      </c>
      <c r="H211" s="14"/>
    </row>
    <row r="212" customFormat="false" ht="14.25" hidden="false" customHeight="false" outlineLevel="0" collapsed="false">
      <c r="A212" s="23" t="s">
        <v>145</v>
      </c>
      <c r="B212" s="49"/>
      <c r="C212" s="25" t="s">
        <v>146</v>
      </c>
      <c r="D212" s="51" t="s">
        <v>117</v>
      </c>
      <c r="E212" s="52" t="n">
        <v>1</v>
      </c>
      <c r="F212" s="20"/>
      <c r="G212" s="53" t="n">
        <f aca="false">E212*F212</f>
        <v>0</v>
      </c>
      <c r="H212" s="14"/>
    </row>
    <row r="213" customFormat="false" ht="14.25" hidden="false" customHeight="false" outlineLevel="0" collapsed="false">
      <c r="A213" s="23" t="s">
        <v>147</v>
      </c>
      <c r="B213" s="49"/>
      <c r="C213" s="25" t="s">
        <v>148</v>
      </c>
      <c r="D213" s="51" t="s">
        <v>117</v>
      </c>
      <c r="E213" s="52" t="n">
        <v>1</v>
      </c>
      <c r="F213" s="20"/>
      <c r="G213" s="53" t="n">
        <f aca="false">E213*F213</f>
        <v>0</v>
      </c>
      <c r="H213" s="14"/>
    </row>
    <row r="214" customFormat="false" ht="14.25" hidden="false" customHeight="false" outlineLevel="0" collapsed="false">
      <c r="A214" s="23" t="s">
        <v>149</v>
      </c>
      <c r="B214" s="49"/>
      <c r="C214" s="25" t="s">
        <v>150</v>
      </c>
      <c r="D214" s="51" t="s">
        <v>117</v>
      </c>
      <c r="E214" s="52" t="n">
        <v>1</v>
      </c>
      <c r="F214" s="20"/>
      <c r="G214" s="53" t="n">
        <f aca="false">E214*F214</f>
        <v>0</v>
      </c>
      <c r="H214" s="14"/>
    </row>
    <row r="215" customFormat="false" ht="14.25" hidden="false" customHeight="false" outlineLevel="0" collapsed="false">
      <c r="A215" s="23" t="s">
        <v>151</v>
      </c>
      <c r="B215" s="49"/>
      <c r="C215" s="25" t="s">
        <v>152</v>
      </c>
      <c r="D215" s="51" t="s">
        <v>117</v>
      </c>
      <c r="E215" s="52" t="n">
        <v>1</v>
      </c>
      <c r="F215" s="20"/>
      <c r="G215" s="53" t="n">
        <f aca="false">E215*F215</f>
        <v>0</v>
      </c>
      <c r="H215" s="14"/>
    </row>
    <row r="216" customFormat="false" ht="14.25" hidden="false" customHeight="false" outlineLevel="0" collapsed="false">
      <c r="A216" s="23" t="s">
        <v>153</v>
      </c>
      <c r="B216" s="49"/>
      <c r="C216" s="25" t="s">
        <v>154</v>
      </c>
      <c r="D216" s="51" t="s">
        <v>117</v>
      </c>
      <c r="E216" s="52" t="n">
        <v>1</v>
      </c>
      <c r="F216" s="20"/>
      <c r="G216" s="53" t="n">
        <f aca="false">E216*F216</f>
        <v>0</v>
      </c>
      <c r="H216" s="14"/>
    </row>
    <row r="217" customFormat="false" ht="14.25" hidden="false" customHeight="false" outlineLevel="0" collapsed="false">
      <c r="A217" s="23" t="s">
        <v>155</v>
      </c>
      <c r="B217" s="49"/>
      <c r="C217" s="25" t="s">
        <v>156</v>
      </c>
      <c r="D217" s="51" t="s">
        <v>117</v>
      </c>
      <c r="E217" s="52" t="n">
        <v>1</v>
      </c>
      <c r="F217" s="20"/>
      <c r="G217" s="53" t="n">
        <f aca="false">E217*F217</f>
        <v>0</v>
      </c>
      <c r="H217" s="14"/>
    </row>
    <row r="218" customFormat="false" ht="14.25" hidden="false" customHeight="false" outlineLevel="0" collapsed="false">
      <c r="A218" s="23" t="s">
        <v>157</v>
      </c>
      <c r="B218" s="49"/>
      <c r="C218" s="25" t="s">
        <v>158</v>
      </c>
      <c r="D218" s="51" t="s">
        <v>117</v>
      </c>
      <c r="E218" s="52" t="n">
        <v>1</v>
      </c>
      <c r="F218" s="20"/>
      <c r="G218" s="53" t="n">
        <f aca="false">E218*F218</f>
        <v>0</v>
      </c>
      <c r="H218" s="14"/>
    </row>
    <row r="219" customFormat="false" ht="14.25" hidden="false" customHeight="false" outlineLevel="0" collapsed="false">
      <c r="A219" s="23" t="s">
        <v>159</v>
      </c>
      <c r="B219" s="49"/>
      <c r="C219" s="25" t="s">
        <v>160</v>
      </c>
      <c r="D219" s="51" t="s">
        <v>117</v>
      </c>
      <c r="E219" s="52" t="n">
        <v>2</v>
      </c>
      <c r="F219" s="20"/>
      <c r="G219" s="53" t="n">
        <f aca="false">E219*F219</f>
        <v>0</v>
      </c>
      <c r="H219" s="14"/>
    </row>
    <row r="220" customFormat="false" ht="14.25" hidden="false" customHeight="false" outlineLevel="0" collapsed="false">
      <c r="A220" s="23" t="s">
        <v>161</v>
      </c>
      <c r="B220" s="49"/>
      <c r="C220" s="25" t="s">
        <v>162</v>
      </c>
      <c r="D220" s="51" t="s">
        <v>117</v>
      </c>
      <c r="E220" s="52" t="n">
        <v>5</v>
      </c>
      <c r="F220" s="20"/>
      <c r="G220" s="53" t="n">
        <f aca="false">E220*F220</f>
        <v>0</v>
      </c>
      <c r="H220" s="14"/>
    </row>
    <row r="221" customFormat="false" ht="14.25" hidden="false" customHeight="false" outlineLevel="0" collapsed="false">
      <c r="A221" s="23" t="s">
        <v>163</v>
      </c>
      <c r="B221" s="49"/>
      <c r="C221" s="25" t="s">
        <v>93</v>
      </c>
      <c r="D221" s="51" t="s">
        <v>117</v>
      </c>
      <c r="E221" s="48" t="n">
        <v>5</v>
      </c>
      <c r="F221" s="20"/>
      <c r="G221" s="29" t="n">
        <f aca="false">E221*F221</f>
        <v>0</v>
      </c>
      <c r="H221" s="14"/>
    </row>
    <row r="222" customFormat="false" ht="14.25" hidden="false" customHeight="false" outlineLevel="0" collapsed="false">
      <c r="A222" s="23" t="s">
        <v>164</v>
      </c>
      <c r="B222" s="49"/>
      <c r="C222" s="25" t="s">
        <v>95</v>
      </c>
      <c r="D222" s="26" t="s">
        <v>20</v>
      </c>
      <c r="E222" s="27" t="n">
        <v>1915.04</v>
      </c>
      <c r="F222" s="20"/>
      <c r="G222" s="29" t="n">
        <f aca="false">E222*F222</f>
        <v>0</v>
      </c>
      <c r="H222" s="14"/>
    </row>
    <row r="223" customFormat="false" ht="14.25" hidden="false" customHeight="false" outlineLevel="0" collapsed="false">
      <c r="A223" s="23" t="s">
        <v>165</v>
      </c>
      <c r="B223" s="49"/>
      <c r="C223" s="25" t="s">
        <v>96</v>
      </c>
      <c r="D223" s="26" t="s">
        <v>97</v>
      </c>
      <c r="E223" s="27" t="n">
        <v>19.15</v>
      </c>
      <c r="F223" s="20"/>
      <c r="G223" s="29" t="n">
        <f aca="false">E223*F223</f>
        <v>0</v>
      </c>
      <c r="H223" s="14"/>
    </row>
    <row r="224" customFormat="false" ht="14.25" hidden="false" customHeight="false" outlineLevel="0" collapsed="false">
      <c r="A224" s="23" t="s">
        <v>166</v>
      </c>
      <c r="B224" s="49"/>
      <c r="C224" s="25" t="s">
        <v>98</v>
      </c>
      <c r="D224" s="26" t="s">
        <v>20</v>
      </c>
      <c r="E224" s="27" t="n">
        <v>1915.04</v>
      </c>
      <c r="F224" s="20"/>
      <c r="G224" s="29" t="n">
        <f aca="false">E224*F224</f>
        <v>0</v>
      </c>
      <c r="H224" s="14"/>
    </row>
    <row r="225" customFormat="false" ht="23.85" hidden="false" customHeight="false" outlineLevel="0" collapsed="false">
      <c r="A225" s="23" t="s">
        <v>167</v>
      </c>
      <c r="B225" s="49"/>
      <c r="C225" s="25" t="s">
        <v>99</v>
      </c>
      <c r="D225" s="26" t="s">
        <v>20</v>
      </c>
      <c r="E225" s="27" t="n">
        <v>1915.04</v>
      </c>
      <c r="F225" s="20"/>
      <c r="G225" s="29" t="n">
        <f aca="false">E225*F225</f>
        <v>0</v>
      </c>
      <c r="H225" s="14"/>
    </row>
    <row r="226" s="43" customFormat="true" ht="14.25" hidden="false" customHeight="true" outlineLevel="0" collapsed="false">
      <c r="A226" s="38" t="s">
        <v>168</v>
      </c>
      <c r="B226" s="38"/>
      <c r="C226" s="38"/>
      <c r="D226" s="38"/>
      <c r="E226" s="38"/>
      <c r="F226" s="39" t="s">
        <v>39</v>
      </c>
      <c r="G226" s="40" t="n">
        <f aca="false">SUM(G125:G225)</f>
        <v>0</v>
      </c>
      <c r="H226" s="41"/>
      <c r="I226" s="42"/>
    </row>
    <row r="227" s="46" customFormat="true" ht="14.25" hidden="false" customHeight="true" outlineLevel="0" collapsed="false">
      <c r="A227" s="10" t="s">
        <v>169</v>
      </c>
      <c r="B227" s="10"/>
      <c r="C227" s="10"/>
      <c r="D227" s="10"/>
      <c r="E227" s="10"/>
      <c r="F227" s="10"/>
      <c r="G227" s="10"/>
      <c r="H227" s="44"/>
      <c r="I227" s="45"/>
    </row>
    <row r="228" s="43" customFormat="true" ht="17.9" hidden="false" customHeight="true" outlineLevel="0" collapsed="false">
      <c r="A228" s="12" t="s">
        <v>12</v>
      </c>
      <c r="B228" s="12"/>
      <c r="C228" s="13" t="s">
        <v>13</v>
      </c>
      <c r="D228" s="13"/>
      <c r="E228" s="13"/>
      <c r="F228" s="13"/>
      <c r="G228" s="13"/>
      <c r="H228" s="41"/>
      <c r="I228" s="42"/>
    </row>
    <row r="229" customFormat="false" ht="14.25" hidden="false" customHeight="false" outlineLevel="0" collapsed="false">
      <c r="A229" s="15" t="n">
        <v>1</v>
      </c>
      <c r="B229" s="16"/>
      <c r="C229" s="17" t="s">
        <v>170</v>
      </c>
      <c r="D229" s="18" t="s">
        <v>35</v>
      </c>
      <c r="E229" s="19" t="n">
        <v>2433.2</v>
      </c>
      <c r="F229" s="20"/>
      <c r="G229" s="21" t="n">
        <f aca="false">E229*F229</f>
        <v>0</v>
      </c>
      <c r="H229" s="14"/>
    </row>
    <row r="230" customFormat="false" ht="14.25" hidden="false" customHeight="false" outlineLevel="0" collapsed="false">
      <c r="A230" s="15" t="n">
        <v>2</v>
      </c>
      <c r="B230" s="16"/>
      <c r="C230" s="17" t="s">
        <v>171</v>
      </c>
      <c r="D230" s="18" t="s">
        <v>35</v>
      </c>
      <c r="E230" s="19" t="n">
        <v>4866.4</v>
      </c>
      <c r="F230" s="20"/>
      <c r="G230" s="21" t="n">
        <f aca="false">E230*F230</f>
        <v>0</v>
      </c>
      <c r="H230" s="14"/>
    </row>
    <row r="231" customFormat="false" ht="14.25" hidden="false" customHeight="false" outlineLevel="0" collapsed="false">
      <c r="A231" s="15" t="n">
        <v>3</v>
      </c>
      <c r="B231" s="16"/>
      <c r="C231" s="17" t="s">
        <v>172</v>
      </c>
      <c r="D231" s="18" t="s">
        <v>173</v>
      </c>
      <c r="E231" s="19" t="n">
        <v>243.32</v>
      </c>
      <c r="F231" s="20"/>
      <c r="G231" s="21" t="n">
        <f aca="false">E231*F231</f>
        <v>0</v>
      </c>
      <c r="H231" s="14"/>
    </row>
    <row r="232" customFormat="false" ht="14.25" hidden="false" customHeight="false" outlineLevel="0" collapsed="false">
      <c r="A232" s="15" t="n">
        <v>4</v>
      </c>
      <c r="B232" s="16"/>
      <c r="C232" s="17" t="s">
        <v>174</v>
      </c>
      <c r="D232" s="18" t="s">
        <v>173</v>
      </c>
      <c r="E232" s="19" t="n">
        <v>467.17</v>
      </c>
      <c r="F232" s="20"/>
      <c r="G232" s="21" t="n">
        <f aca="false">E232*F232</f>
        <v>0</v>
      </c>
      <c r="H232" s="14"/>
    </row>
    <row r="233" customFormat="false" ht="14.25" hidden="false" customHeight="false" outlineLevel="0" collapsed="false">
      <c r="A233" s="15" t="n">
        <v>5</v>
      </c>
      <c r="B233" s="16"/>
      <c r="C233" s="17" t="s">
        <v>175</v>
      </c>
      <c r="D233" s="18" t="s">
        <v>35</v>
      </c>
      <c r="E233" s="19" t="n">
        <v>2433.2</v>
      </c>
      <c r="F233" s="20"/>
      <c r="G233" s="21" t="n">
        <f aca="false">E233*F233</f>
        <v>0</v>
      </c>
      <c r="H233" s="14"/>
    </row>
    <row r="234" customFormat="false" ht="23.85" hidden="false" customHeight="false" outlineLevel="0" collapsed="false">
      <c r="A234" s="15" t="n">
        <v>6</v>
      </c>
      <c r="B234" s="16"/>
      <c r="C234" s="17" t="s">
        <v>176</v>
      </c>
      <c r="D234" s="18" t="s">
        <v>17</v>
      </c>
      <c r="E234" s="19" t="n">
        <v>1070.61</v>
      </c>
      <c r="F234" s="20"/>
      <c r="G234" s="21" t="n">
        <f aca="false">E234*F234</f>
        <v>0</v>
      </c>
      <c r="H234" s="14"/>
    </row>
    <row r="235" s="43" customFormat="true" ht="17.9" hidden="false" customHeight="true" outlineLevel="0" collapsed="false">
      <c r="A235" s="12" t="s">
        <v>30</v>
      </c>
      <c r="B235" s="12"/>
      <c r="C235" s="22" t="s">
        <v>31</v>
      </c>
      <c r="D235" s="22"/>
      <c r="E235" s="22"/>
      <c r="F235" s="22"/>
      <c r="G235" s="22"/>
      <c r="H235" s="41"/>
      <c r="I235" s="42"/>
    </row>
    <row r="236" customFormat="false" ht="14.25" hidden="false" customHeight="false" outlineLevel="0" collapsed="false">
      <c r="A236" s="23" t="n">
        <v>1</v>
      </c>
      <c r="B236" s="24"/>
      <c r="C236" s="25" t="s">
        <v>170</v>
      </c>
      <c r="D236" s="26" t="s">
        <v>35</v>
      </c>
      <c r="E236" s="27" t="n">
        <v>1687</v>
      </c>
      <c r="F236" s="20"/>
      <c r="G236" s="29" t="n">
        <f aca="false">E236*F236</f>
        <v>0</v>
      </c>
      <c r="H236" s="14"/>
    </row>
    <row r="237" customFormat="false" ht="14.25" hidden="false" customHeight="false" outlineLevel="0" collapsed="false">
      <c r="A237" s="23" t="n">
        <v>2</v>
      </c>
      <c r="B237" s="24"/>
      <c r="C237" s="25" t="s">
        <v>171</v>
      </c>
      <c r="D237" s="26" t="s">
        <v>35</v>
      </c>
      <c r="E237" s="27" t="n">
        <v>3374</v>
      </c>
      <c r="F237" s="20"/>
      <c r="G237" s="29" t="n">
        <f aca="false">E237*F237</f>
        <v>0</v>
      </c>
      <c r="H237" s="14"/>
    </row>
    <row r="238" customFormat="false" ht="14.25" hidden="false" customHeight="false" outlineLevel="0" collapsed="false">
      <c r="A238" s="23" t="n">
        <v>3</v>
      </c>
      <c r="B238" s="24"/>
      <c r="C238" s="25" t="s">
        <v>172</v>
      </c>
      <c r="D238" s="26" t="s">
        <v>173</v>
      </c>
      <c r="E238" s="27" t="n">
        <v>168.7</v>
      </c>
      <c r="F238" s="20"/>
      <c r="G238" s="29" t="n">
        <f aca="false">E238*F238</f>
        <v>0</v>
      </c>
      <c r="H238" s="14"/>
    </row>
    <row r="239" customFormat="false" ht="14.25" hidden="false" customHeight="false" outlineLevel="0" collapsed="false">
      <c r="A239" s="23" t="n">
        <v>4</v>
      </c>
      <c r="B239" s="24"/>
      <c r="C239" s="25" t="s">
        <v>174</v>
      </c>
      <c r="D239" s="26" t="s">
        <v>173</v>
      </c>
      <c r="E239" s="27" t="n">
        <v>323.9</v>
      </c>
      <c r="F239" s="20"/>
      <c r="G239" s="29" t="n">
        <f aca="false">E239*F239</f>
        <v>0</v>
      </c>
      <c r="H239" s="14"/>
    </row>
    <row r="240" customFormat="false" ht="14.25" hidden="false" customHeight="false" outlineLevel="0" collapsed="false">
      <c r="A240" s="23" t="n">
        <v>5</v>
      </c>
      <c r="B240" s="24"/>
      <c r="C240" s="25" t="s">
        <v>175</v>
      </c>
      <c r="D240" s="26" t="s">
        <v>35</v>
      </c>
      <c r="E240" s="27" t="n">
        <v>1687</v>
      </c>
      <c r="F240" s="20"/>
      <c r="G240" s="29" t="n">
        <f aca="false">E240*F240</f>
        <v>0</v>
      </c>
      <c r="H240" s="14"/>
    </row>
    <row r="241" customFormat="false" ht="23.85" hidden="false" customHeight="false" outlineLevel="0" collapsed="false">
      <c r="A241" s="23" t="n">
        <v>6</v>
      </c>
      <c r="B241" s="24"/>
      <c r="C241" s="25" t="s">
        <v>176</v>
      </c>
      <c r="D241" s="26" t="s">
        <v>17</v>
      </c>
      <c r="E241" s="27" t="n">
        <v>742.28</v>
      </c>
      <c r="F241" s="20"/>
      <c r="G241" s="29" t="n">
        <f aca="false">E241*F241</f>
        <v>0</v>
      </c>
      <c r="H241" s="14"/>
    </row>
    <row r="242" s="43" customFormat="true" ht="17.9" hidden="false" customHeight="true" outlineLevel="0" collapsed="false">
      <c r="A242" s="12" t="s">
        <v>36</v>
      </c>
      <c r="B242" s="12"/>
      <c r="C242" s="30" t="s">
        <v>37</v>
      </c>
      <c r="D242" s="30"/>
      <c r="E242" s="30"/>
      <c r="F242" s="30"/>
      <c r="G242" s="30"/>
      <c r="H242" s="41"/>
    </row>
    <row r="243" customFormat="false" ht="14.25" hidden="false" customHeight="false" outlineLevel="0" collapsed="false">
      <c r="A243" s="23" t="n">
        <v>1</v>
      </c>
      <c r="B243" s="24"/>
      <c r="C243" s="25" t="s">
        <v>170</v>
      </c>
      <c r="D243" s="26" t="s">
        <v>35</v>
      </c>
      <c r="E243" s="27" t="n">
        <v>9.45</v>
      </c>
      <c r="F243" s="20"/>
      <c r="G243" s="29" t="n">
        <f aca="false">E243*F243</f>
        <v>0</v>
      </c>
      <c r="H243" s="14"/>
    </row>
    <row r="244" customFormat="false" ht="14.25" hidden="false" customHeight="false" outlineLevel="0" collapsed="false">
      <c r="A244" s="23" t="n">
        <v>2</v>
      </c>
      <c r="B244" s="24"/>
      <c r="C244" s="25" t="s">
        <v>171</v>
      </c>
      <c r="D244" s="26" t="s">
        <v>35</v>
      </c>
      <c r="E244" s="27" t="n">
        <v>18.9</v>
      </c>
      <c r="F244" s="20"/>
      <c r="G244" s="29" t="n">
        <f aca="false">E244*F244</f>
        <v>0</v>
      </c>
      <c r="H244" s="14"/>
    </row>
    <row r="245" customFormat="false" ht="14.25" hidden="false" customHeight="false" outlineLevel="0" collapsed="false">
      <c r="A245" s="23" t="n">
        <v>3</v>
      </c>
      <c r="B245" s="24"/>
      <c r="C245" s="25" t="s">
        <v>172</v>
      </c>
      <c r="D245" s="26" t="s">
        <v>173</v>
      </c>
      <c r="E245" s="27" t="n">
        <v>95</v>
      </c>
      <c r="F245" s="20"/>
      <c r="G245" s="29" t="n">
        <f aca="false">E245*F245</f>
        <v>0</v>
      </c>
      <c r="H245" s="14"/>
    </row>
    <row r="246" customFormat="false" ht="14.25" hidden="false" customHeight="false" outlineLevel="0" collapsed="false">
      <c r="A246" s="23" t="n">
        <v>4</v>
      </c>
      <c r="B246" s="24"/>
      <c r="C246" s="25" t="s">
        <v>174</v>
      </c>
      <c r="D246" s="26" t="s">
        <v>173</v>
      </c>
      <c r="E246" s="27" t="n">
        <v>1.81</v>
      </c>
      <c r="F246" s="20"/>
      <c r="G246" s="29" t="n">
        <f aca="false">E246*F246</f>
        <v>0</v>
      </c>
      <c r="H246" s="14"/>
    </row>
    <row r="247" customFormat="false" ht="14.25" hidden="false" customHeight="false" outlineLevel="0" collapsed="false">
      <c r="A247" s="23" t="n">
        <v>5</v>
      </c>
      <c r="B247" s="24"/>
      <c r="C247" s="25" t="s">
        <v>175</v>
      </c>
      <c r="D247" s="26" t="s">
        <v>35</v>
      </c>
      <c r="E247" s="27" t="n">
        <v>9.45</v>
      </c>
      <c r="F247" s="20"/>
      <c r="G247" s="29" t="n">
        <f aca="false">E247*F247</f>
        <v>0</v>
      </c>
      <c r="H247" s="14"/>
    </row>
    <row r="248" customFormat="false" ht="23.85" hidden="false" customHeight="false" outlineLevel="0" collapsed="false">
      <c r="A248" s="23" t="n">
        <v>6</v>
      </c>
      <c r="B248" s="24"/>
      <c r="C248" s="25" t="s">
        <v>176</v>
      </c>
      <c r="D248" s="26" t="s">
        <v>17</v>
      </c>
      <c r="E248" s="27" t="n">
        <v>4.16</v>
      </c>
      <c r="F248" s="20"/>
      <c r="G248" s="29" t="n">
        <f aca="false">E248*F248</f>
        <v>0</v>
      </c>
      <c r="H248" s="14"/>
    </row>
    <row r="249" s="43" customFormat="true" ht="14.25" hidden="false" customHeight="true" outlineLevel="0" collapsed="false">
      <c r="A249" s="38" t="s">
        <v>177</v>
      </c>
      <c r="B249" s="38"/>
      <c r="C249" s="38"/>
      <c r="D249" s="38"/>
      <c r="E249" s="38"/>
      <c r="F249" s="39" t="s">
        <v>39</v>
      </c>
      <c r="G249" s="40" t="n">
        <f aca="false">SUM(G229:G248)</f>
        <v>0</v>
      </c>
      <c r="H249" s="41"/>
      <c r="I249" s="42"/>
    </row>
    <row r="250" s="46" customFormat="true" ht="14.25" hidden="false" customHeight="true" outlineLevel="0" collapsed="false">
      <c r="A250" s="10" t="s">
        <v>178</v>
      </c>
      <c r="B250" s="10"/>
      <c r="C250" s="10"/>
      <c r="D250" s="10"/>
      <c r="E250" s="10"/>
      <c r="F250" s="10"/>
      <c r="G250" s="10"/>
      <c r="H250" s="44"/>
      <c r="I250" s="45"/>
    </row>
    <row r="251" s="43" customFormat="true" ht="17.9" hidden="false" customHeight="true" outlineLevel="0" collapsed="false">
      <c r="A251" s="12" t="s">
        <v>12</v>
      </c>
      <c r="B251" s="12"/>
      <c r="C251" s="13" t="s">
        <v>13</v>
      </c>
      <c r="D251" s="54"/>
      <c r="E251" s="54"/>
      <c r="F251" s="54"/>
      <c r="G251" s="54"/>
      <c r="H251" s="41"/>
      <c r="I251" s="42"/>
    </row>
    <row r="252" s="43" customFormat="true" ht="14.25" hidden="false" customHeight="true" outlineLevel="0" collapsed="false">
      <c r="A252" s="55" t="s">
        <v>179</v>
      </c>
      <c r="B252" s="55"/>
      <c r="C252" s="55"/>
      <c r="D252" s="55"/>
      <c r="E252" s="55"/>
      <c r="F252" s="55"/>
      <c r="G252" s="55"/>
      <c r="H252" s="41"/>
      <c r="I252" s="42"/>
    </row>
    <row r="253" s="43" customFormat="true" ht="23.85" hidden="false" customHeight="false" outlineLevel="0" collapsed="false">
      <c r="A253" s="15" t="n">
        <v>1</v>
      </c>
      <c r="B253" s="16"/>
      <c r="C253" s="17" t="s">
        <v>180</v>
      </c>
      <c r="D253" s="18" t="s">
        <v>17</v>
      </c>
      <c r="E253" s="19" t="n">
        <v>17.3</v>
      </c>
      <c r="F253" s="20"/>
      <c r="G253" s="21" t="n">
        <f aca="false">E253*F253</f>
        <v>0</v>
      </c>
      <c r="H253" s="41"/>
      <c r="I253" s="42"/>
    </row>
    <row r="254" s="43" customFormat="true" ht="14.25" hidden="false" customHeight="false" outlineLevel="0" collapsed="false">
      <c r="A254" s="15" t="n">
        <v>2</v>
      </c>
      <c r="B254" s="16"/>
      <c r="C254" s="17" t="s">
        <v>181</v>
      </c>
      <c r="D254" s="18" t="s">
        <v>17</v>
      </c>
      <c r="E254" s="19" t="n">
        <v>4.3</v>
      </c>
      <c r="F254" s="20"/>
      <c r="G254" s="21" t="n">
        <f aca="false">E254*F254</f>
        <v>0</v>
      </c>
      <c r="H254" s="41"/>
      <c r="I254" s="42"/>
    </row>
    <row r="255" s="43" customFormat="true" ht="14.25" hidden="false" customHeight="false" outlineLevel="0" collapsed="false">
      <c r="A255" s="15" t="n">
        <v>3</v>
      </c>
      <c r="B255" s="16"/>
      <c r="C255" s="17" t="s">
        <v>182</v>
      </c>
      <c r="D255" s="18" t="s">
        <v>17</v>
      </c>
      <c r="E255" s="19" t="n">
        <v>11.52</v>
      </c>
      <c r="F255" s="20"/>
      <c r="G255" s="21" t="n">
        <f aca="false">E255*F255</f>
        <v>0</v>
      </c>
      <c r="H255" s="41"/>
      <c r="I255" s="42"/>
    </row>
    <row r="256" s="43" customFormat="true" ht="23.85" hidden="false" customHeight="false" outlineLevel="0" collapsed="false">
      <c r="A256" s="15" t="n">
        <v>4</v>
      </c>
      <c r="B256" s="16"/>
      <c r="C256" s="17" t="s">
        <v>41</v>
      </c>
      <c r="D256" s="18" t="s">
        <v>17</v>
      </c>
      <c r="E256" s="19" t="n">
        <v>23.04</v>
      </c>
      <c r="F256" s="20"/>
      <c r="G256" s="21" t="n">
        <f aca="false">E256*F256</f>
        <v>0</v>
      </c>
      <c r="H256" s="41"/>
      <c r="I256" s="42"/>
    </row>
    <row r="257" s="43" customFormat="true" ht="14.25" hidden="false" customHeight="false" outlineLevel="0" collapsed="false">
      <c r="A257" s="15" t="n">
        <v>5</v>
      </c>
      <c r="B257" s="16"/>
      <c r="C257" s="17" t="s">
        <v>42</v>
      </c>
      <c r="D257" s="18" t="s">
        <v>17</v>
      </c>
      <c r="E257" s="19" t="n">
        <v>2.4</v>
      </c>
      <c r="F257" s="20"/>
      <c r="G257" s="21" t="n">
        <f aca="false">E257*F257</f>
        <v>0</v>
      </c>
      <c r="H257" s="41"/>
      <c r="I257" s="42"/>
    </row>
    <row r="258" s="43" customFormat="true" ht="23.85" hidden="false" customHeight="false" outlineLevel="0" collapsed="false">
      <c r="A258" s="15" t="n">
        <v>6</v>
      </c>
      <c r="B258" s="16"/>
      <c r="C258" s="17" t="s">
        <v>43</v>
      </c>
      <c r="D258" s="18" t="s">
        <v>17</v>
      </c>
      <c r="E258" s="19" t="n">
        <v>12</v>
      </c>
      <c r="F258" s="20"/>
      <c r="G258" s="21" t="n">
        <f aca="false">E258*F258</f>
        <v>0</v>
      </c>
      <c r="H258" s="41"/>
      <c r="I258" s="42"/>
    </row>
    <row r="259" s="43" customFormat="true" ht="14.25" hidden="false" customHeight="false" outlineLevel="0" collapsed="false">
      <c r="A259" s="15" t="n">
        <v>7</v>
      </c>
      <c r="B259" s="16"/>
      <c r="C259" s="17" t="s">
        <v>183</v>
      </c>
      <c r="D259" s="18" t="s">
        <v>35</v>
      </c>
      <c r="E259" s="19" t="n">
        <v>0.9</v>
      </c>
      <c r="F259" s="20"/>
      <c r="G259" s="21" t="n">
        <f aca="false">E259*F259</f>
        <v>0</v>
      </c>
      <c r="H259" s="41"/>
      <c r="I259" s="42"/>
    </row>
    <row r="260" s="43" customFormat="true" ht="14.25" hidden="false" customHeight="false" outlineLevel="0" collapsed="false">
      <c r="A260" s="15" t="n">
        <v>8</v>
      </c>
      <c r="B260" s="16"/>
      <c r="C260" s="17" t="s">
        <v>184</v>
      </c>
      <c r="D260" s="18" t="s">
        <v>35</v>
      </c>
      <c r="E260" s="19" t="n">
        <v>2</v>
      </c>
      <c r="F260" s="20"/>
      <c r="G260" s="21" t="n">
        <f aca="false">E260*F260</f>
        <v>0</v>
      </c>
      <c r="H260" s="41"/>
      <c r="I260" s="42"/>
    </row>
    <row r="261" s="43" customFormat="true" ht="14.25" hidden="false" customHeight="false" outlineLevel="0" collapsed="false">
      <c r="A261" s="15" t="n">
        <v>9</v>
      </c>
      <c r="B261" s="16"/>
      <c r="C261" s="17" t="s">
        <v>185</v>
      </c>
      <c r="D261" s="18" t="s">
        <v>35</v>
      </c>
      <c r="E261" s="19" t="n">
        <v>33.6</v>
      </c>
      <c r="F261" s="20"/>
      <c r="G261" s="21" t="n">
        <f aca="false">E261*F261</f>
        <v>0</v>
      </c>
      <c r="H261" s="41"/>
      <c r="I261" s="42"/>
    </row>
    <row r="262" s="43" customFormat="true" ht="14.25" hidden="false" customHeight="false" outlineLevel="0" collapsed="false">
      <c r="A262" s="15" t="n">
        <v>10</v>
      </c>
      <c r="B262" s="16"/>
      <c r="C262" s="17" t="s">
        <v>186</v>
      </c>
      <c r="D262" s="18" t="s">
        <v>35</v>
      </c>
      <c r="E262" s="19" t="n">
        <v>0.54</v>
      </c>
      <c r="F262" s="20"/>
      <c r="G262" s="21" t="n">
        <f aca="false">E262*F262</f>
        <v>0</v>
      </c>
      <c r="H262" s="41"/>
      <c r="I262" s="42"/>
    </row>
    <row r="263" s="43" customFormat="true" ht="23.85" hidden="false" customHeight="false" outlineLevel="0" collapsed="false">
      <c r="A263" s="15" t="n">
        <v>11</v>
      </c>
      <c r="B263" s="16"/>
      <c r="C263" s="17" t="s">
        <v>187</v>
      </c>
      <c r="D263" s="18" t="s">
        <v>188</v>
      </c>
      <c r="E263" s="19" t="n">
        <v>6.86</v>
      </c>
      <c r="F263" s="20"/>
      <c r="G263" s="21" t="n">
        <f aca="false">E263*F263</f>
        <v>0</v>
      </c>
      <c r="H263" s="41"/>
      <c r="I263" s="42"/>
    </row>
    <row r="264" s="43" customFormat="true" ht="23.85" hidden="false" customHeight="false" outlineLevel="0" collapsed="false">
      <c r="A264" s="15" t="n">
        <v>12</v>
      </c>
      <c r="B264" s="16"/>
      <c r="C264" s="17" t="s">
        <v>189</v>
      </c>
      <c r="D264" s="18" t="s">
        <v>188</v>
      </c>
      <c r="E264" s="19" t="n">
        <v>251.54</v>
      </c>
      <c r="F264" s="20"/>
      <c r="G264" s="21" t="n">
        <f aca="false">E264*F264</f>
        <v>0</v>
      </c>
      <c r="H264" s="41"/>
      <c r="I264" s="42"/>
    </row>
    <row r="265" s="43" customFormat="true" ht="14.25" hidden="false" customHeight="false" outlineLevel="0" collapsed="false">
      <c r="A265" s="15" t="n">
        <v>13</v>
      </c>
      <c r="B265" s="16"/>
      <c r="C265" s="17" t="s">
        <v>190</v>
      </c>
      <c r="D265" s="18" t="s">
        <v>17</v>
      </c>
      <c r="E265" s="19" t="n">
        <v>0.5</v>
      </c>
      <c r="F265" s="20"/>
      <c r="G265" s="21" t="n">
        <f aca="false">E265*F265</f>
        <v>0</v>
      </c>
      <c r="H265" s="41"/>
      <c r="I265" s="42"/>
    </row>
    <row r="266" s="43" customFormat="true" ht="14.25" hidden="false" customHeight="false" outlineLevel="0" collapsed="false">
      <c r="A266" s="15" t="n">
        <v>14</v>
      </c>
      <c r="B266" s="16"/>
      <c r="C266" s="17" t="s">
        <v>191</v>
      </c>
      <c r="D266" s="18" t="s">
        <v>17</v>
      </c>
      <c r="E266" s="19" t="n">
        <v>1</v>
      </c>
      <c r="F266" s="20"/>
      <c r="G266" s="21" t="n">
        <f aca="false">E266*F266</f>
        <v>0</v>
      </c>
      <c r="H266" s="41"/>
      <c r="I266" s="42"/>
    </row>
    <row r="267" s="43" customFormat="true" ht="14.25" hidden="false" customHeight="false" outlineLevel="0" collapsed="false">
      <c r="A267" s="15" t="n">
        <v>15</v>
      </c>
      <c r="B267" s="16"/>
      <c r="C267" s="17" t="s">
        <v>192</v>
      </c>
      <c r="D267" s="18" t="s">
        <v>17</v>
      </c>
      <c r="E267" s="19" t="n">
        <v>4.2</v>
      </c>
      <c r="F267" s="20"/>
      <c r="G267" s="21" t="n">
        <f aca="false">E267*F267</f>
        <v>0</v>
      </c>
      <c r="H267" s="41"/>
      <c r="I267" s="42"/>
    </row>
    <row r="268" s="43" customFormat="true" ht="14.25" hidden="false" customHeight="false" outlineLevel="0" collapsed="false">
      <c r="A268" s="15" t="n">
        <v>16</v>
      </c>
      <c r="B268" s="16"/>
      <c r="C268" s="17" t="s">
        <v>193</v>
      </c>
      <c r="D268" s="18" t="s">
        <v>17</v>
      </c>
      <c r="E268" s="19" t="n">
        <v>0.04</v>
      </c>
      <c r="F268" s="20"/>
      <c r="G268" s="21" t="n">
        <f aca="false">E268*F268</f>
        <v>0</v>
      </c>
      <c r="H268" s="41"/>
      <c r="I268" s="42"/>
    </row>
    <row r="269" s="43" customFormat="true" ht="14.25" hidden="false" customHeight="false" outlineLevel="0" collapsed="false">
      <c r="A269" s="15" t="n">
        <v>17</v>
      </c>
      <c r="B269" s="16"/>
      <c r="C269" s="17" t="s">
        <v>194</v>
      </c>
      <c r="D269" s="18" t="s">
        <v>17</v>
      </c>
      <c r="E269" s="19" t="n">
        <v>5.74</v>
      </c>
      <c r="F269" s="20"/>
      <c r="G269" s="21" t="n">
        <f aca="false">E269*F269</f>
        <v>0</v>
      </c>
      <c r="H269" s="41"/>
      <c r="I269" s="42"/>
    </row>
    <row r="270" s="43" customFormat="true" ht="14.25" hidden="false" customHeight="false" outlineLevel="0" collapsed="false">
      <c r="A270" s="15" t="n">
        <v>18</v>
      </c>
      <c r="B270" s="16"/>
      <c r="C270" s="17" t="s">
        <v>195</v>
      </c>
      <c r="D270" s="18" t="s">
        <v>196</v>
      </c>
      <c r="E270" s="19" t="n">
        <v>0.19</v>
      </c>
      <c r="F270" s="20"/>
      <c r="G270" s="21" t="n">
        <f aca="false">E270*F270</f>
        <v>0</v>
      </c>
      <c r="H270" s="41"/>
      <c r="I270" s="42"/>
    </row>
    <row r="271" s="43" customFormat="true" ht="23.85" hidden="false" customHeight="false" outlineLevel="0" collapsed="false">
      <c r="A271" s="15" t="n">
        <v>19</v>
      </c>
      <c r="B271" s="16"/>
      <c r="C271" s="17" t="s">
        <v>197</v>
      </c>
      <c r="D271" s="18" t="s">
        <v>35</v>
      </c>
      <c r="E271" s="19" t="n">
        <v>33</v>
      </c>
      <c r="F271" s="20"/>
      <c r="G271" s="21" t="n">
        <f aca="false">E271*F271</f>
        <v>0</v>
      </c>
      <c r="H271" s="41"/>
      <c r="I271" s="42"/>
    </row>
    <row r="272" s="43" customFormat="true" ht="14.25" hidden="false" customHeight="false" outlineLevel="0" collapsed="false">
      <c r="A272" s="15" t="n">
        <v>20</v>
      </c>
      <c r="B272" s="16"/>
      <c r="C272" s="17" t="s">
        <v>198</v>
      </c>
      <c r="D272" s="18" t="s">
        <v>35</v>
      </c>
      <c r="E272" s="19" t="n">
        <v>15</v>
      </c>
      <c r="F272" s="20"/>
      <c r="G272" s="21" t="n">
        <f aca="false">E272*F272</f>
        <v>0</v>
      </c>
      <c r="H272" s="41"/>
      <c r="I272" s="42"/>
    </row>
    <row r="273" s="43" customFormat="true" ht="14.25" hidden="false" customHeight="false" outlineLevel="0" collapsed="false">
      <c r="A273" s="15" t="n">
        <v>21</v>
      </c>
      <c r="B273" s="16"/>
      <c r="C273" s="17" t="s">
        <v>199</v>
      </c>
      <c r="D273" s="18" t="s">
        <v>35</v>
      </c>
      <c r="E273" s="19" t="n">
        <v>3.6</v>
      </c>
      <c r="F273" s="20"/>
      <c r="G273" s="21" t="n">
        <f aca="false">E273*F273</f>
        <v>0</v>
      </c>
      <c r="H273" s="41"/>
      <c r="I273" s="42"/>
    </row>
    <row r="274" s="43" customFormat="true" ht="14.25" hidden="false" customHeight="false" outlineLevel="0" collapsed="false">
      <c r="A274" s="15" t="n">
        <v>22</v>
      </c>
      <c r="B274" s="16"/>
      <c r="C274" s="17" t="s">
        <v>200</v>
      </c>
      <c r="D274" s="18" t="s">
        <v>35</v>
      </c>
      <c r="E274" s="19" t="n">
        <v>2.25</v>
      </c>
      <c r="F274" s="20"/>
      <c r="G274" s="21" t="n">
        <f aca="false">E274*F274</f>
        <v>0</v>
      </c>
      <c r="H274" s="41"/>
      <c r="I274" s="42"/>
    </row>
    <row r="275" s="43" customFormat="true" ht="14.25" hidden="false" customHeight="false" outlineLevel="0" collapsed="false">
      <c r="A275" s="15" t="n">
        <v>23</v>
      </c>
      <c r="B275" s="16"/>
      <c r="C275" s="17" t="s">
        <v>201</v>
      </c>
      <c r="D275" s="18" t="s">
        <v>35</v>
      </c>
      <c r="E275" s="19" t="n">
        <v>2.25</v>
      </c>
      <c r="F275" s="20"/>
      <c r="G275" s="21" t="n">
        <f aca="false">E275*F275</f>
        <v>0</v>
      </c>
      <c r="H275" s="41"/>
      <c r="I275" s="42"/>
    </row>
    <row r="276" s="43" customFormat="true" ht="14.25" hidden="false" customHeight="false" outlineLevel="0" collapsed="false">
      <c r="A276" s="15" t="n">
        <v>24</v>
      </c>
      <c r="B276" s="16"/>
      <c r="C276" s="17" t="s">
        <v>202</v>
      </c>
      <c r="D276" s="18" t="s">
        <v>203</v>
      </c>
      <c r="E276" s="47" t="n">
        <v>7</v>
      </c>
      <c r="F276" s="20"/>
      <c r="G276" s="21" t="n">
        <f aca="false">E276*F276</f>
        <v>0</v>
      </c>
      <c r="H276" s="41"/>
      <c r="I276" s="42"/>
    </row>
    <row r="277" s="43" customFormat="true" ht="14.25" hidden="false" customHeight="false" outlineLevel="0" collapsed="false">
      <c r="A277" s="15" t="n">
        <v>25</v>
      </c>
      <c r="B277" s="16"/>
      <c r="C277" s="17" t="s">
        <v>204</v>
      </c>
      <c r="D277" s="18" t="s">
        <v>17</v>
      </c>
      <c r="E277" s="19" t="n">
        <v>0.125</v>
      </c>
      <c r="F277" s="20"/>
      <c r="G277" s="21" t="n">
        <f aca="false">E277*F277</f>
        <v>0</v>
      </c>
      <c r="H277" s="41"/>
      <c r="I277" s="42"/>
    </row>
    <row r="278" s="43" customFormat="true" ht="14.25" hidden="false" customHeight="false" outlineLevel="0" collapsed="false">
      <c r="A278" s="15" t="n">
        <v>26</v>
      </c>
      <c r="B278" s="16"/>
      <c r="C278" s="17" t="s">
        <v>205</v>
      </c>
      <c r="D278" s="18" t="s">
        <v>20</v>
      </c>
      <c r="E278" s="19" t="n">
        <v>1</v>
      </c>
      <c r="F278" s="20"/>
      <c r="G278" s="21" t="n">
        <f aca="false">E278*F278</f>
        <v>0</v>
      </c>
      <c r="H278" s="41"/>
      <c r="I278" s="42"/>
    </row>
    <row r="279" s="43" customFormat="true" ht="14.25" hidden="false" customHeight="false" outlineLevel="0" collapsed="false">
      <c r="A279" s="15" t="n">
        <v>27</v>
      </c>
      <c r="B279" s="16"/>
      <c r="C279" s="17" t="s">
        <v>206</v>
      </c>
      <c r="D279" s="18" t="s">
        <v>68</v>
      </c>
      <c r="E279" s="19" t="n">
        <v>2</v>
      </c>
      <c r="F279" s="20"/>
      <c r="G279" s="21" t="n">
        <f aca="false">E279*F279</f>
        <v>0</v>
      </c>
      <c r="H279" s="41"/>
      <c r="I279" s="42"/>
    </row>
    <row r="280" s="43" customFormat="true" ht="14.25" hidden="false" customHeight="false" outlineLevel="0" collapsed="false">
      <c r="A280" s="15" t="n">
        <v>28</v>
      </c>
      <c r="B280" s="16"/>
      <c r="C280" s="17" t="s">
        <v>207</v>
      </c>
      <c r="D280" s="18" t="s">
        <v>68</v>
      </c>
      <c r="E280" s="19" t="n">
        <v>2</v>
      </c>
      <c r="F280" s="20"/>
      <c r="G280" s="21" t="n">
        <f aca="false">E280*F280</f>
        <v>0</v>
      </c>
      <c r="H280" s="41"/>
      <c r="I280" s="42"/>
    </row>
    <row r="281" s="43" customFormat="true" ht="14.25" hidden="false" customHeight="false" outlineLevel="0" collapsed="false">
      <c r="A281" s="15" t="n">
        <v>29</v>
      </c>
      <c r="B281" s="16"/>
      <c r="C281" s="17" t="s">
        <v>208</v>
      </c>
      <c r="D281" s="18" t="s">
        <v>68</v>
      </c>
      <c r="E281" s="19" t="n">
        <v>2</v>
      </c>
      <c r="F281" s="20"/>
      <c r="G281" s="21" t="n">
        <f aca="false">E281*F281</f>
        <v>0</v>
      </c>
      <c r="H281" s="41"/>
      <c r="I281" s="42"/>
    </row>
    <row r="282" s="43" customFormat="true" ht="14.25" hidden="false" customHeight="false" outlineLevel="0" collapsed="false">
      <c r="A282" s="15" t="n">
        <v>30</v>
      </c>
      <c r="B282" s="16"/>
      <c r="C282" s="17" t="s">
        <v>209</v>
      </c>
      <c r="D282" s="18" t="s">
        <v>68</v>
      </c>
      <c r="E282" s="19" t="n">
        <v>1</v>
      </c>
      <c r="F282" s="20"/>
      <c r="G282" s="21" t="n">
        <f aca="false">E282*F282</f>
        <v>0</v>
      </c>
      <c r="H282" s="41"/>
      <c r="I282" s="42"/>
    </row>
    <row r="283" s="43" customFormat="true" ht="14.25" hidden="false" customHeight="false" outlineLevel="0" collapsed="false">
      <c r="A283" s="15" t="n">
        <v>31</v>
      </c>
      <c r="B283" s="16"/>
      <c r="C283" s="17" t="s">
        <v>210</v>
      </c>
      <c r="D283" s="18" t="s">
        <v>68</v>
      </c>
      <c r="E283" s="19" t="n">
        <v>1</v>
      </c>
      <c r="F283" s="20"/>
      <c r="G283" s="21" t="n">
        <f aca="false">E283*F283</f>
        <v>0</v>
      </c>
      <c r="H283" s="41"/>
      <c r="I283" s="42"/>
    </row>
    <row r="284" s="43" customFormat="true" ht="14.25" hidden="false" customHeight="false" outlineLevel="0" collapsed="false">
      <c r="A284" s="15" t="n">
        <v>32</v>
      </c>
      <c r="B284" s="16"/>
      <c r="C284" s="17" t="s">
        <v>65</v>
      </c>
      <c r="D284" s="18" t="s">
        <v>20</v>
      </c>
      <c r="E284" s="19" t="n">
        <v>2</v>
      </c>
      <c r="F284" s="20"/>
      <c r="G284" s="21" t="n">
        <f aca="false">E284*F284</f>
        <v>0</v>
      </c>
      <c r="H284" s="41"/>
      <c r="I284" s="42"/>
    </row>
    <row r="285" s="43" customFormat="true" ht="14.25" hidden="false" customHeight="true" outlineLevel="0" collapsed="false">
      <c r="A285" s="55" t="s">
        <v>211</v>
      </c>
      <c r="B285" s="55"/>
      <c r="C285" s="55"/>
      <c r="D285" s="55"/>
      <c r="E285" s="55"/>
      <c r="F285" s="55"/>
      <c r="G285" s="55"/>
      <c r="H285" s="41"/>
      <c r="I285" s="42"/>
    </row>
    <row r="286" s="43" customFormat="true" ht="23.85" hidden="false" customHeight="false" outlineLevel="0" collapsed="false">
      <c r="A286" s="15" t="n">
        <v>1</v>
      </c>
      <c r="B286" s="16"/>
      <c r="C286" s="17" t="s">
        <v>197</v>
      </c>
      <c r="D286" s="18" t="s">
        <v>35</v>
      </c>
      <c r="E286" s="19" t="n">
        <v>37</v>
      </c>
      <c r="F286" s="20"/>
      <c r="G286" s="21" t="n">
        <f aca="false">E286*F286</f>
        <v>0</v>
      </c>
      <c r="H286" s="41"/>
      <c r="I286" s="42"/>
    </row>
    <row r="287" s="43" customFormat="true" ht="14.25" hidden="false" customHeight="false" outlineLevel="0" collapsed="false">
      <c r="A287" s="15" t="n">
        <v>2</v>
      </c>
      <c r="B287" s="16"/>
      <c r="C287" s="17" t="s">
        <v>198</v>
      </c>
      <c r="D287" s="18" t="s">
        <v>35</v>
      </c>
      <c r="E287" s="19" t="n">
        <v>38.5</v>
      </c>
      <c r="F287" s="20"/>
      <c r="G287" s="21" t="n">
        <f aca="false">E287*F287</f>
        <v>0</v>
      </c>
      <c r="H287" s="41"/>
      <c r="I287" s="42"/>
    </row>
    <row r="288" s="43" customFormat="true" ht="14.25" hidden="false" customHeight="false" outlineLevel="0" collapsed="false">
      <c r="A288" s="15" t="n">
        <v>3</v>
      </c>
      <c r="B288" s="16"/>
      <c r="C288" s="17" t="s">
        <v>202</v>
      </c>
      <c r="D288" s="18" t="s">
        <v>68</v>
      </c>
      <c r="E288" s="47" t="n">
        <v>12</v>
      </c>
      <c r="F288" s="20"/>
      <c r="G288" s="21" t="n">
        <f aca="false">E288*F288</f>
        <v>0</v>
      </c>
      <c r="H288" s="41"/>
      <c r="I288" s="42"/>
    </row>
    <row r="289" s="43" customFormat="true" ht="14.25" hidden="false" customHeight="false" outlineLevel="0" collapsed="false">
      <c r="A289" s="15" t="n">
        <v>4</v>
      </c>
      <c r="B289" s="16"/>
      <c r="C289" s="17" t="s">
        <v>72</v>
      </c>
      <c r="D289" s="18" t="s">
        <v>68</v>
      </c>
      <c r="E289" s="47" t="n">
        <v>2</v>
      </c>
      <c r="F289" s="20"/>
      <c r="G289" s="21" t="n">
        <f aca="false">E289*F289</f>
        <v>0</v>
      </c>
      <c r="H289" s="41"/>
      <c r="I289" s="42"/>
    </row>
    <row r="290" s="43" customFormat="true" ht="14.25" hidden="false" customHeight="false" outlineLevel="0" collapsed="false">
      <c r="A290" s="15" t="n">
        <v>5</v>
      </c>
      <c r="B290" s="16"/>
      <c r="C290" s="17" t="s">
        <v>77</v>
      </c>
      <c r="D290" s="18" t="s">
        <v>68</v>
      </c>
      <c r="E290" s="47" t="n">
        <v>4</v>
      </c>
      <c r="F290" s="20"/>
      <c r="G290" s="21" t="n">
        <f aca="false">E290*F290</f>
        <v>0</v>
      </c>
      <c r="H290" s="41"/>
      <c r="I290" s="42"/>
    </row>
    <row r="291" s="43" customFormat="true" ht="14.25" hidden="false" customHeight="false" outlineLevel="0" collapsed="false">
      <c r="A291" s="15" t="n">
        <v>6</v>
      </c>
      <c r="B291" s="16"/>
      <c r="C291" s="17" t="s">
        <v>212</v>
      </c>
      <c r="D291" s="18" t="s">
        <v>68</v>
      </c>
      <c r="E291" s="47" t="n">
        <v>1</v>
      </c>
      <c r="F291" s="20"/>
      <c r="G291" s="21" t="n">
        <f aca="false">E291*F291</f>
        <v>0</v>
      </c>
      <c r="H291" s="41"/>
      <c r="I291" s="42"/>
    </row>
    <row r="292" s="43" customFormat="true" ht="14.25" hidden="false" customHeight="true" outlineLevel="0" collapsed="false">
      <c r="A292" s="55" t="s">
        <v>213</v>
      </c>
      <c r="B292" s="55"/>
      <c r="C292" s="55"/>
      <c r="D292" s="55"/>
      <c r="E292" s="55"/>
      <c r="F292" s="55"/>
      <c r="G292" s="55"/>
      <c r="H292" s="41"/>
      <c r="I292" s="42"/>
    </row>
    <row r="293" s="43" customFormat="true" ht="23.85" hidden="false" customHeight="false" outlineLevel="0" collapsed="false">
      <c r="A293" s="15" t="n">
        <v>1</v>
      </c>
      <c r="B293" s="16"/>
      <c r="C293" s="17" t="s">
        <v>180</v>
      </c>
      <c r="D293" s="18" t="s">
        <v>17</v>
      </c>
      <c r="E293" s="19" t="n">
        <v>4.4</v>
      </c>
      <c r="F293" s="20"/>
      <c r="G293" s="21" t="n">
        <f aca="false">E293*F293</f>
        <v>0</v>
      </c>
      <c r="H293" s="41"/>
      <c r="I293" s="42"/>
    </row>
    <row r="294" s="43" customFormat="true" ht="14.25" hidden="false" customHeight="false" outlineLevel="0" collapsed="false">
      <c r="A294" s="15" t="n">
        <v>2</v>
      </c>
      <c r="B294" s="16"/>
      <c r="C294" s="17" t="s">
        <v>181</v>
      </c>
      <c r="D294" s="18" t="s">
        <v>17</v>
      </c>
      <c r="E294" s="19" t="n">
        <v>1.1</v>
      </c>
      <c r="F294" s="20"/>
      <c r="G294" s="21" t="n">
        <f aca="false">E294*F294</f>
        <v>0</v>
      </c>
      <c r="H294" s="41"/>
      <c r="I294" s="42"/>
    </row>
    <row r="295" s="43" customFormat="true" ht="14.25" hidden="false" customHeight="false" outlineLevel="0" collapsed="false">
      <c r="A295" s="15" t="n">
        <v>3</v>
      </c>
      <c r="B295" s="16"/>
      <c r="C295" s="17" t="s">
        <v>182</v>
      </c>
      <c r="D295" s="18" t="s">
        <v>17</v>
      </c>
      <c r="E295" s="19" t="n">
        <v>1.68</v>
      </c>
      <c r="F295" s="20"/>
      <c r="G295" s="21" t="n">
        <f aca="false">E295*F295</f>
        <v>0</v>
      </c>
      <c r="H295" s="41"/>
      <c r="I295" s="42"/>
    </row>
    <row r="296" s="43" customFormat="true" ht="23.85" hidden="false" customHeight="false" outlineLevel="0" collapsed="false">
      <c r="A296" s="15" t="n">
        <v>4</v>
      </c>
      <c r="B296" s="16"/>
      <c r="C296" s="17" t="s">
        <v>41</v>
      </c>
      <c r="D296" s="18" t="s">
        <v>17</v>
      </c>
      <c r="E296" s="19" t="n">
        <v>0.96</v>
      </c>
      <c r="F296" s="20"/>
      <c r="G296" s="21" t="n">
        <f aca="false">E296*F296</f>
        <v>0</v>
      </c>
      <c r="H296" s="41"/>
      <c r="I296" s="42"/>
    </row>
    <row r="297" s="43" customFormat="true" ht="23.85" hidden="false" customHeight="false" outlineLevel="0" collapsed="false">
      <c r="A297" s="15" t="n">
        <v>5</v>
      </c>
      <c r="B297" s="16"/>
      <c r="C297" s="17" t="s">
        <v>43</v>
      </c>
      <c r="D297" s="18" t="s">
        <v>17</v>
      </c>
      <c r="E297" s="19" t="n">
        <v>4</v>
      </c>
      <c r="F297" s="20"/>
      <c r="G297" s="21" t="n">
        <f aca="false">E297*F297</f>
        <v>0</v>
      </c>
      <c r="H297" s="41"/>
      <c r="I297" s="42"/>
    </row>
    <row r="298" s="43" customFormat="true" ht="14.25" hidden="false" customHeight="false" outlineLevel="0" collapsed="false">
      <c r="A298" s="15" t="n">
        <v>6</v>
      </c>
      <c r="B298" s="16"/>
      <c r="C298" s="17" t="s">
        <v>183</v>
      </c>
      <c r="D298" s="18" t="s">
        <v>35</v>
      </c>
      <c r="E298" s="19" t="n">
        <v>0.5</v>
      </c>
      <c r="F298" s="20"/>
      <c r="G298" s="21" t="n">
        <f aca="false">E298*F298</f>
        <v>0</v>
      </c>
      <c r="H298" s="41"/>
      <c r="I298" s="42"/>
    </row>
    <row r="299" s="43" customFormat="true" ht="14.25" hidden="false" customHeight="false" outlineLevel="0" collapsed="false">
      <c r="A299" s="15" t="n">
        <v>7</v>
      </c>
      <c r="B299" s="16"/>
      <c r="C299" s="17" t="s">
        <v>184</v>
      </c>
      <c r="D299" s="18" t="s">
        <v>214</v>
      </c>
      <c r="E299" s="19" t="n">
        <v>0.7</v>
      </c>
      <c r="F299" s="20"/>
      <c r="G299" s="21" t="n">
        <f aca="false">E299*F299</f>
        <v>0</v>
      </c>
      <c r="H299" s="41"/>
      <c r="I299" s="42"/>
    </row>
    <row r="300" s="43" customFormat="true" ht="23.85" hidden="false" customHeight="false" outlineLevel="0" collapsed="false">
      <c r="A300" s="15" t="n">
        <v>8</v>
      </c>
      <c r="B300" s="16"/>
      <c r="C300" s="17" t="s">
        <v>189</v>
      </c>
      <c r="D300" s="18" t="s">
        <v>188</v>
      </c>
      <c r="E300" s="19" t="n">
        <v>22.14</v>
      </c>
      <c r="F300" s="20"/>
      <c r="G300" s="21" t="n">
        <f aca="false">E300*F300</f>
        <v>0</v>
      </c>
      <c r="H300" s="41"/>
      <c r="I300" s="42"/>
    </row>
    <row r="301" s="43" customFormat="true" ht="14.25" hidden="false" customHeight="false" outlineLevel="0" collapsed="false">
      <c r="A301" s="15" t="n">
        <v>9</v>
      </c>
      <c r="B301" s="16"/>
      <c r="C301" s="17" t="s">
        <v>190</v>
      </c>
      <c r="D301" s="18" t="s">
        <v>17</v>
      </c>
      <c r="E301" s="19" t="n">
        <v>0.2</v>
      </c>
      <c r="F301" s="20"/>
      <c r="G301" s="21" t="n">
        <f aca="false">E301*F301</f>
        <v>0</v>
      </c>
      <c r="H301" s="41"/>
      <c r="I301" s="42"/>
    </row>
    <row r="302" s="43" customFormat="true" ht="14.25" hidden="false" customHeight="false" outlineLevel="0" collapsed="false">
      <c r="A302" s="15" t="n">
        <v>10</v>
      </c>
      <c r="B302" s="16"/>
      <c r="C302" s="17" t="s">
        <v>191</v>
      </c>
      <c r="D302" s="18" t="s">
        <v>17</v>
      </c>
      <c r="E302" s="19" t="n">
        <v>0.25</v>
      </c>
      <c r="F302" s="20"/>
      <c r="G302" s="21" t="n">
        <f aca="false">E302*F302</f>
        <v>0</v>
      </c>
      <c r="H302" s="41"/>
      <c r="I302" s="42"/>
    </row>
    <row r="303" s="43" customFormat="true" ht="14.25" hidden="false" customHeight="false" outlineLevel="0" collapsed="false">
      <c r="A303" s="15" t="n">
        <v>11</v>
      </c>
      <c r="B303" s="16"/>
      <c r="C303" s="17" t="s">
        <v>215</v>
      </c>
      <c r="D303" s="18" t="s">
        <v>17</v>
      </c>
      <c r="E303" s="19" t="n">
        <v>0.45</v>
      </c>
      <c r="F303" s="20"/>
      <c r="G303" s="21" t="n">
        <f aca="false">E303*F303</f>
        <v>0</v>
      </c>
      <c r="H303" s="41"/>
      <c r="I303" s="42"/>
    </row>
    <row r="304" s="43" customFormat="true" ht="11.25" hidden="false" customHeight="true" outlineLevel="0" collapsed="false">
      <c r="A304" s="15" t="n">
        <v>12</v>
      </c>
      <c r="B304" s="16"/>
      <c r="C304" s="17" t="s">
        <v>195</v>
      </c>
      <c r="D304" s="18" t="s">
        <v>15</v>
      </c>
      <c r="E304" s="19" t="n">
        <v>0.05</v>
      </c>
      <c r="F304" s="20"/>
      <c r="G304" s="21" t="n">
        <f aca="false">E304*F304</f>
        <v>0</v>
      </c>
      <c r="H304" s="41"/>
      <c r="I304" s="42"/>
    </row>
    <row r="305" s="43" customFormat="true" ht="23.85" hidden="false" customHeight="false" outlineLevel="0" collapsed="false">
      <c r="A305" s="15" t="n">
        <v>13</v>
      </c>
      <c r="B305" s="16"/>
      <c r="C305" s="17" t="s">
        <v>197</v>
      </c>
      <c r="D305" s="18" t="s">
        <v>35</v>
      </c>
      <c r="E305" s="19" t="n">
        <v>5.3</v>
      </c>
      <c r="F305" s="20"/>
      <c r="G305" s="21" t="n">
        <f aca="false">E305*F305</f>
        <v>0</v>
      </c>
      <c r="H305" s="41"/>
      <c r="I305" s="42"/>
    </row>
    <row r="306" s="43" customFormat="true" ht="14.25" hidden="false" customHeight="false" outlineLevel="0" collapsed="false">
      <c r="A306" s="15" t="n">
        <v>14</v>
      </c>
      <c r="B306" s="16"/>
      <c r="C306" s="17" t="s">
        <v>198</v>
      </c>
      <c r="D306" s="18" t="s">
        <v>35</v>
      </c>
      <c r="E306" s="19" t="n">
        <v>4.4</v>
      </c>
      <c r="F306" s="20"/>
      <c r="G306" s="21" t="n">
        <f aca="false">E306*F306</f>
        <v>0</v>
      </c>
      <c r="H306" s="41"/>
      <c r="I306" s="42"/>
    </row>
    <row r="307" s="43" customFormat="true" ht="14.25" hidden="false" customHeight="false" outlineLevel="0" collapsed="false">
      <c r="A307" s="15" t="n">
        <v>15</v>
      </c>
      <c r="B307" s="16"/>
      <c r="C307" s="17" t="s">
        <v>216</v>
      </c>
      <c r="D307" s="18" t="s">
        <v>68</v>
      </c>
      <c r="E307" s="47" t="n">
        <v>2</v>
      </c>
      <c r="F307" s="20"/>
      <c r="G307" s="21" t="n">
        <f aca="false">E307*F307</f>
        <v>0</v>
      </c>
      <c r="H307" s="41"/>
      <c r="I307" s="42"/>
    </row>
    <row r="308" s="43" customFormat="true" ht="14.25" hidden="false" customHeight="false" outlineLevel="0" collapsed="false">
      <c r="A308" s="15" t="n">
        <v>16</v>
      </c>
      <c r="B308" s="16"/>
      <c r="C308" s="17" t="s">
        <v>199</v>
      </c>
      <c r="D308" s="18" t="s">
        <v>35</v>
      </c>
      <c r="E308" s="19" t="n">
        <v>1</v>
      </c>
      <c r="F308" s="28"/>
      <c r="G308" s="21" t="n">
        <f aca="false">E308*F308</f>
        <v>0</v>
      </c>
      <c r="H308" s="41"/>
      <c r="I308" s="42"/>
    </row>
    <row r="309" s="43" customFormat="true" ht="14.25" hidden="false" customHeight="false" outlineLevel="0" collapsed="false">
      <c r="A309" s="15" t="n">
        <v>17</v>
      </c>
      <c r="B309" s="16"/>
      <c r="C309" s="17" t="s">
        <v>200</v>
      </c>
      <c r="D309" s="18" t="s">
        <v>35</v>
      </c>
      <c r="E309" s="19" t="n">
        <v>1</v>
      </c>
      <c r="F309" s="28"/>
      <c r="G309" s="21" t="n">
        <f aca="false">E309*F309</f>
        <v>0</v>
      </c>
      <c r="H309" s="41"/>
      <c r="I309" s="42"/>
    </row>
    <row r="310" s="43" customFormat="true" ht="14.25" hidden="false" customHeight="false" outlineLevel="0" collapsed="false">
      <c r="A310" s="15" t="n">
        <v>18</v>
      </c>
      <c r="B310" s="16"/>
      <c r="C310" s="17" t="s">
        <v>201</v>
      </c>
      <c r="D310" s="18" t="s">
        <v>35</v>
      </c>
      <c r="E310" s="19" t="n">
        <v>1</v>
      </c>
      <c r="F310" s="28"/>
      <c r="G310" s="21" t="n">
        <f aca="false">E310*F310</f>
        <v>0</v>
      </c>
      <c r="H310" s="41"/>
      <c r="I310" s="42"/>
    </row>
    <row r="311" s="43" customFormat="true" ht="14.25" hidden="false" customHeight="false" outlineLevel="0" collapsed="false">
      <c r="A311" s="15" t="n">
        <v>19</v>
      </c>
      <c r="B311" s="16"/>
      <c r="C311" s="17" t="s">
        <v>202</v>
      </c>
      <c r="D311" s="18" t="s">
        <v>203</v>
      </c>
      <c r="E311" s="47" t="n">
        <v>4</v>
      </c>
      <c r="F311" s="20"/>
      <c r="G311" s="21" t="n">
        <f aca="false">E311*F311</f>
        <v>0</v>
      </c>
      <c r="H311" s="41"/>
      <c r="I311" s="42"/>
    </row>
    <row r="312" s="43" customFormat="true" ht="14.25" hidden="false" customHeight="false" outlineLevel="0" collapsed="false">
      <c r="A312" s="15" t="n">
        <v>20</v>
      </c>
      <c r="B312" s="16"/>
      <c r="C312" s="17" t="s">
        <v>217</v>
      </c>
      <c r="D312" s="18" t="s">
        <v>188</v>
      </c>
      <c r="E312" s="19" t="n">
        <v>3</v>
      </c>
      <c r="F312" s="20"/>
      <c r="G312" s="21" t="n">
        <f aca="false">E312*F312</f>
        <v>0</v>
      </c>
      <c r="H312" s="41"/>
      <c r="I312" s="42"/>
    </row>
    <row r="313" s="43" customFormat="true" ht="14.25" hidden="false" customHeight="false" outlineLevel="0" collapsed="false">
      <c r="A313" s="15" t="n">
        <v>21</v>
      </c>
      <c r="B313" s="16"/>
      <c r="C313" s="17" t="s">
        <v>218</v>
      </c>
      <c r="D313" s="18" t="s">
        <v>35</v>
      </c>
      <c r="E313" s="19" t="n">
        <v>0.7</v>
      </c>
      <c r="F313" s="20"/>
      <c r="G313" s="21" t="n">
        <f aca="false">E313*F313</f>
        <v>0</v>
      </c>
      <c r="H313" s="41"/>
      <c r="I313" s="42"/>
    </row>
    <row r="314" s="43" customFormat="true" ht="14.25" hidden="false" customHeight="false" outlineLevel="0" collapsed="false">
      <c r="A314" s="15" t="n">
        <v>22</v>
      </c>
      <c r="B314" s="16"/>
      <c r="C314" s="17" t="s">
        <v>204</v>
      </c>
      <c r="D314" s="18" t="s">
        <v>17</v>
      </c>
      <c r="E314" s="19" t="n">
        <v>0.125</v>
      </c>
      <c r="F314" s="20"/>
      <c r="G314" s="21" t="n">
        <f aca="false">E314*F314</f>
        <v>0</v>
      </c>
      <c r="H314" s="41"/>
      <c r="I314" s="42"/>
    </row>
    <row r="315" s="43" customFormat="true" ht="14.25" hidden="false" customHeight="false" outlineLevel="0" collapsed="false">
      <c r="A315" s="15" t="n">
        <v>23</v>
      </c>
      <c r="B315" s="16"/>
      <c r="C315" s="17" t="s">
        <v>205</v>
      </c>
      <c r="D315" s="18" t="s">
        <v>20</v>
      </c>
      <c r="E315" s="19" t="n">
        <v>1</v>
      </c>
      <c r="F315" s="20"/>
      <c r="G315" s="21" t="n">
        <f aca="false">E315*F315</f>
        <v>0</v>
      </c>
      <c r="H315" s="41"/>
      <c r="I315" s="42"/>
    </row>
    <row r="316" s="43" customFormat="true" ht="14.25" hidden="false" customHeight="false" outlineLevel="0" collapsed="false">
      <c r="A316" s="15" t="n">
        <v>24</v>
      </c>
      <c r="B316" s="16"/>
      <c r="C316" s="17" t="s">
        <v>92</v>
      </c>
      <c r="D316" s="18" t="s">
        <v>68</v>
      </c>
      <c r="E316" s="47" t="n">
        <v>1</v>
      </c>
      <c r="F316" s="20"/>
      <c r="G316" s="21" t="n">
        <f aca="false">E316*F316</f>
        <v>0</v>
      </c>
      <c r="H316" s="41"/>
      <c r="I316" s="42"/>
    </row>
    <row r="317" s="43" customFormat="true" ht="14.25" hidden="false" customHeight="false" outlineLevel="0" collapsed="false">
      <c r="A317" s="15" t="n">
        <v>25</v>
      </c>
      <c r="B317" s="16"/>
      <c r="C317" s="17" t="s">
        <v>219</v>
      </c>
      <c r="D317" s="18" t="s">
        <v>68</v>
      </c>
      <c r="E317" s="47" t="n">
        <v>2</v>
      </c>
      <c r="F317" s="20"/>
      <c r="G317" s="21" t="n">
        <f aca="false">E317*F317</f>
        <v>0</v>
      </c>
      <c r="H317" s="41"/>
      <c r="I317" s="42"/>
    </row>
    <row r="318" s="43" customFormat="true" ht="14.25" hidden="false" customHeight="false" outlineLevel="0" collapsed="false">
      <c r="A318" s="15" t="n">
        <v>26</v>
      </c>
      <c r="B318" s="16"/>
      <c r="C318" s="17" t="s">
        <v>76</v>
      </c>
      <c r="D318" s="18" t="s">
        <v>68</v>
      </c>
      <c r="E318" s="47" t="n">
        <v>2</v>
      </c>
      <c r="F318" s="20"/>
      <c r="G318" s="21" t="n">
        <f aca="false">E318*F318</f>
        <v>0</v>
      </c>
      <c r="H318" s="41"/>
      <c r="I318" s="42"/>
    </row>
    <row r="319" s="43" customFormat="true" ht="14.25" hidden="false" customHeight="false" outlineLevel="0" collapsed="false">
      <c r="A319" s="15" t="n">
        <v>27</v>
      </c>
      <c r="B319" s="16"/>
      <c r="C319" s="17" t="s">
        <v>81</v>
      </c>
      <c r="D319" s="18" t="s">
        <v>68</v>
      </c>
      <c r="E319" s="47" t="n">
        <v>2</v>
      </c>
      <c r="F319" s="20"/>
      <c r="G319" s="21" t="n">
        <f aca="false">E319*F319</f>
        <v>0</v>
      </c>
      <c r="H319" s="41"/>
      <c r="I319" s="42"/>
    </row>
    <row r="320" s="43" customFormat="true" ht="11.25" hidden="false" customHeight="true" outlineLevel="0" collapsed="false">
      <c r="A320" s="15" t="n">
        <v>28</v>
      </c>
      <c r="B320" s="16"/>
      <c r="C320" s="17" t="s">
        <v>88</v>
      </c>
      <c r="D320" s="18" t="s">
        <v>68</v>
      </c>
      <c r="E320" s="47" t="n">
        <v>1</v>
      </c>
      <c r="F320" s="20"/>
      <c r="G320" s="21" t="n">
        <f aca="false">E320*F320</f>
        <v>0</v>
      </c>
      <c r="H320" s="41"/>
      <c r="I320" s="42"/>
    </row>
    <row r="321" s="43" customFormat="true" ht="23.85" hidden="false" customHeight="false" outlineLevel="0" collapsed="false">
      <c r="A321" s="15" t="n">
        <v>29</v>
      </c>
      <c r="B321" s="16"/>
      <c r="C321" s="17" t="s">
        <v>220</v>
      </c>
      <c r="D321" s="18" t="s">
        <v>68</v>
      </c>
      <c r="E321" s="47" t="n">
        <v>1</v>
      </c>
      <c r="F321" s="20"/>
      <c r="G321" s="21" t="n">
        <f aca="false">E321*F321</f>
        <v>0</v>
      </c>
      <c r="H321" s="41"/>
      <c r="I321" s="42"/>
    </row>
    <row r="322" s="43" customFormat="true" ht="14.25" hidden="false" customHeight="false" outlineLevel="0" collapsed="false">
      <c r="A322" s="15" t="n">
        <v>30</v>
      </c>
      <c r="B322" s="16"/>
      <c r="C322" s="17" t="s">
        <v>221</v>
      </c>
      <c r="D322" s="18" t="s">
        <v>20</v>
      </c>
      <c r="E322" s="19" t="n">
        <v>2</v>
      </c>
      <c r="F322" s="20"/>
      <c r="G322" s="21" t="n">
        <f aca="false">E322*F322</f>
        <v>0</v>
      </c>
      <c r="H322" s="41"/>
      <c r="I322" s="42"/>
    </row>
    <row r="323" s="43" customFormat="true" ht="14.25" hidden="false" customHeight="true" outlineLevel="0" collapsed="false">
      <c r="A323" s="55" t="s">
        <v>222</v>
      </c>
      <c r="B323" s="55"/>
      <c r="C323" s="55"/>
      <c r="D323" s="55"/>
      <c r="E323" s="55"/>
      <c r="F323" s="55"/>
      <c r="G323" s="55"/>
      <c r="H323" s="41"/>
      <c r="I323" s="42"/>
    </row>
    <row r="324" s="43" customFormat="true" ht="23.85" hidden="false" customHeight="false" outlineLevel="0" collapsed="false">
      <c r="A324" s="15" t="n">
        <v>1</v>
      </c>
      <c r="B324" s="16"/>
      <c r="C324" s="17" t="s">
        <v>180</v>
      </c>
      <c r="D324" s="18" t="s">
        <v>17</v>
      </c>
      <c r="E324" s="19" t="n">
        <v>1.9</v>
      </c>
      <c r="F324" s="20"/>
      <c r="G324" s="21" t="n">
        <f aca="false">E324*F324</f>
        <v>0</v>
      </c>
      <c r="H324" s="41"/>
      <c r="I324" s="42"/>
    </row>
    <row r="325" s="43" customFormat="true" ht="14.25" hidden="false" customHeight="false" outlineLevel="0" collapsed="false">
      <c r="A325" s="15" t="n">
        <v>2</v>
      </c>
      <c r="B325" s="16"/>
      <c r="C325" s="17" t="s">
        <v>181</v>
      </c>
      <c r="D325" s="18" t="s">
        <v>17</v>
      </c>
      <c r="E325" s="19" t="n">
        <v>0.5</v>
      </c>
      <c r="F325" s="20"/>
      <c r="G325" s="21" t="n">
        <f aca="false">E325*F325</f>
        <v>0</v>
      </c>
      <c r="H325" s="41"/>
      <c r="I325" s="42"/>
    </row>
    <row r="326" s="43" customFormat="true" ht="23.85" hidden="false" customHeight="false" outlineLevel="0" collapsed="false">
      <c r="A326" s="15" t="n">
        <v>3</v>
      </c>
      <c r="B326" s="16"/>
      <c r="C326" s="17" t="s">
        <v>29</v>
      </c>
      <c r="D326" s="18" t="s">
        <v>17</v>
      </c>
      <c r="E326" s="19" t="n">
        <v>2.28</v>
      </c>
      <c r="F326" s="20"/>
      <c r="G326" s="21" t="n">
        <f aca="false">E326*F326</f>
        <v>0</v>
      </c>
      <c r="H326" s="41"/>
      <c r="I326" s="42"/>
    </row>
    <row r="327" s="43" customFormat="true" ht="23.85" hidden="false" customHeight="false" outlineLevel="0" collapsed="false">
      <c r="A327" s="15" t="n">
        <v>4</v>
      </c>
      <c r="B327" s="16"/>
      <c r="C327" s="17" t="s">
        <v>41</v>
      </c>
      <c r="D327" s="18" t="s">
        <v>17</v>
      </c>
      <c r="E327" s="19" t="n">
        <v>2.28</v>
      </c>
      <c r="F327" s="20"/>
      <c r="G327" s="21" t="n">
        <f aca="false">E327*F327</f>
        <v>0</v>
      </c>
      <c r="H327" s="41"/>
      <c r="I327" s="42"/>
    </row>
    <row r="328" s="43" customFormat="true" ht="23.85" hidden="false" customHeight="false" outlineLevel="0" collapsed="false">
      <c r="A328" s="15" t="n">
        <v>5</v>
      </c>
      <c r="B328" s="16"/>
      <c r="C328" s="17" t="s">
        <v>43</v>
      </c>
      <c r="D328" s="18" t="s">
        <v>17</v>
      </c>
      <c r="E328" s="19" t="n">
        <v>2.4</v>
      </c>
      <c r="F328" s="20"/>
      <c r="G328" s="21" t="n">
        <f aca="false">E328*F328</f>
        <v>0</v>
      </c>
      <c r="H328" s="41"/>
      <c r="I328" s="42"/>
    </row>
    <row r="329" s="43" customFormat="true" ht="23.85" hidden="false" customHeight="false" outlineLevel="0" collapsed="false">
      <c r="A329" s="15" t="n">
        <v>6</v>
      </c>
      <c r="B329" s="16"/>
      <c r="C329" s="17" t="s">
        <v>197</v>
      </c>
      <c r="D329" s="18" t="s">
        <v>35</v>
      </c>
      <c r="E329" s="19" t="n">
        <v>7.7</v>
      </c>
      <c r="F329" s="20"/>
      <c r="G329" s="21" t="n">
        <f aca="false">E329*F329</f>
        <v>0</v>
      </c>
      <c r="H329" s="41"/>
      <c r="I329" s="42"/>
    </row>
    <row r="330" s="43" customFormat="true" ht="14.25" hidden="false" customHeight="false" outlineLevel="0" collapsed="false">
      <c r="A330" s="15" t="n">
        <v>7</v>
      </c>
      <c r="B330" s="16"/>
      <c r="C330" s="17" t="s">
        <v>198</v>
      </c>
      <c r="D330" s="18" t="s">
        <v>35</v>
      </c>
      <c r="E330" s="19" t="n">
        <v>6</v>
      </c>
      <c r="F330" s="20"/>
      <c r="G330" s="21" t="n">
        <f aca="false">E330*F330</f>
        <v>0</v>
      </c>
      <c r="H330" s="41"/>
      <c r="I330" s="42"/>
    </row>
    <row r="331" s="43" customFormat="true" ht="14.25" hidden="false" customHeight="false" outlineLevel="0" collapsed="false">
      <c r="A331" s="15" t="n">
        <v>8</v>
      </c>
      <c r="B331" s="16"/>
      <c r="C331" s="17" t="s">
        <v>223</v>
      </c>
      <c r="D331" s="18" t="s">
        <v>15</v>
      </c>
      <c r="E331" s="19" t="n">
        <v>0.05</v>
      </c>
      <c r="F331" s="20"/>
      <c r="G331" s="21" t="n">
        <f aca="false">E331*F331</f>
        <v>0</v>
      </c>
      <c r="H331" s="41"/>
      <c r="I331" s="42"/>
    </row>
    <row r="332" s="43" customFormat="true" ht="14.25" hidden="false" customHeight="false" outlineLevel="0" collapsed="false">
      <c r="A332" s="15" t="n">
        <v>9</v>
      </c>
      <c r="B332" s="16"/>
      <c r="C332" s="17" t="s">
        <v>199</v>
      </c>
      <c r="D332" s="18" t="s">
        <v>35</v>
      </c>
      <c r="E332" s="19" t="n">
        <v>1</v>
      </c>
      <c r="F332" s="20"/>
      <c r="G332" s="21" t="n">
        <f aca="false">E332*F332</f>
        <v>0</v>
      </c>
      <c r="H332" s="41"/>
      <c r="I332" s="42"/>
    </row>
    <row r="333" s="43" customFormat="true" ht="14.25" hidden="false" customHeight="false" outlineLevel="0" collapsed="false">
      <c r="A333" s="15" t="n">
        <v>10</v>
      </c>
      <c r="B333" s="16"/>
      <c r="C333" s="17" t="s">
        <v>224</v>
      </c>
      <c r="D333" s="18" t="s">
        <v>35</v>
      </c>
      <c r="E333" s="19" t="n">
        <v>1</v>
      </c>
      <c r="F333" s="20"/>
      <c r="G333" s="21" t="n">
        <f aca="false">E333*F333</f>
        <v>0</v>
      </c>
      <c r="H333" s="41"/>
      <c r="I333" s="42"/>
    </row>
    <row r="334" s="43" customFormat="true" ht="14.25" hidden="false" customHeight="false" outlineLevel="0" collapsed="false">
      <c r="A334" s="15" t="n">
        <v>11</v>
      </c>
      <c r="B334" s="16"/>
      <c r="C334" s="17" t="s">
        <v>201</v>
      </c>
      <c r="D334" s="18" t="s">
        <v>35</v>
      </c>
      <c r="E334" s="19" t="n">
        <v>1</v>
      </c>
      <c r="F334" s="20"/>
      <c r="G334" s="21" t="n">
        <f aca="false">E334*F334</f>
        <v>0</v>
      </c>
      <c r="H334" s="41"/>
      <c r="I334" s="42"/>
    </row>
    <row r="335" s="43" customFormat="true" ht="14.25" hidden="false" customHeight="false" outlineLevel="0" collapsed="false">
      <c r="A335" s="15" t="n">
        <v>12</v>
      </c>
      <c r="B335" s="16"/>
      <c r="C335" s="17" t="s">
        <v>202</v>
      </c>
      <c r="D335" s="18" t="s">
        <v>68</v>
      </c>
      <c r="E335" s="47" t="n">
        <v>4</v>
      </c>
      <c r="F335" s="20"/>
      <c r="G335" s="21" t="n">
        <f aca="false">E335*F335</f>
        <v>0</v>
      </c>
      <c r="H335" s="41"/>
      <c r="I335" s="42"/>
    </row>
    <row r="336" s="43" customFormat="true" ht="14.25" hidden="false" customHeight="false" outlineLevel="0" collapsed="false">
      <c r="A336" s="15" t="n">
        <v>13</v>
      </c>
      <c r="B336" s="16"/>
      <c r="C336" s="17" t="s">
        <v>217</v>
      </c>
      <c r="D336" s="18" t="s">
        <v>188</v>
      </c>
      <c r="E336" s="19" t="n">
        <v>3</v>
      </c>
      <c r="F336" s="20"/>
      <c r="G336" s="21" t="n">
        <f aca="false">E336*F336</f>
        <v>0</v>
      </c>
      <c r="H336" s="41"/>
      <c r="I336" s="42"/>
    </row>
    <row r="337" s="43" customFormat="true" ht="14.25" hidden="false" customHeight="false" outlineLevel="0" collapsed="false">
      <c r="A337" s="15" t="n">
        <v>14</v>
      </c>
      <c r="B337" s="16"/>
      <c r="C337" s="17" t="s">
        <v>218</v>
      </c>
      <c r="D337" s="18" t="s">
        <v>35</v>
      </c>
      <c r="E337" s="19" t="n">
        <v>0.7</v>
      </c>
      <c r="F337" s="20"/>
      <c r="G337" s="21" t="n">
        <f aca="false">E337*F337</f>
        <v>0</v>
      </c>
      <c r="H337" s="41"/>
      <c r="I337" s="42"/>
    </row>
    <row r="338" s="43" customFormat="true" ht="14.25" hidden="false" customHeight="false" outlineLevel="0" collapsed="false">
      <c r="A338" s="15" t="n">
        <v>15</v>
      </c>
      <c r="B338" s="16"/>
      <c r="C338" s="17" t="s">
        <v>225</v>
      </c>
      <c r="D338" s="18" t="s">
        <v>20</v>
      </c>
      <c r="E338" s="19" t="n">
        <v>0.8</v>
      </c>
      <c r="F338" s="20"/>
      <c r="G338" s="21" t="n">
        <f aca="false">E338*F338</f>
        <v>0</v>
      </c>
      <c r="H338" s="41"/>
      <c r="I338" s="42"/>
    </row>
    <row r="339" s="43" customFormat="true" ht="14.25" hidden="false" customHeight="false" outlineLevel="0" collapsed="false">
      <c r="A339" s="15" t="n">
        <v>16</v>
      </c>
      <c r="B339" s="16"/>
      <c r="C339" s="17" t="s">
        <v>226</v>
      </c>
      <c r="D339" s="18" t="s">
        <v>68</v>
      </c>
      <c r="E339" s="47" t="n">
        <v>1</v>
      </c>
      <c r="F339" s="20"/>
      <c r="G339" s="21" t="n">
        <f aca="false">E339*F339</f>
        <v>0</v>
      </c>
      <c r="H339" s="41"/>
      <c r="I339" s="42"/>
    </row>
    <row r="340" s="43" customFormat="true" ht="14.25" hidden="false" customHeight="false" outlineLevel="0" collapsed="false">
      <c r="A340" s="15" t="n">
        <v>17</v>
      </c>
      <c r="B340" s="16"/>
      <c r="C340" s="17" t="s">
        <v>92</v>
      </c>
      <c r="D340" s="18" t="s">
        <v>68</v>
      </c>
      <c r="E340" s="47" t="n">
        <v>1</v>
      </c>
      <c r="F340" s="20"/>
      <c r="G340" s="21" t="n">
        <f aca="false">E340*F340</f>
        <v>0</v>
      </c>
      <c r="H340" s="41"/>
      <c r="I340" s="42"/>
    </row>
    <row r="341" s="43" customFormat="true" ht="14.25" hidden="false" customHeight="false" outlineLevel="0" collapsed="false">
      <c r="A341" s="15" t="n">
        <v>18</v>
      </c>
      <c r="B341" s="16"/>
      <c r="C341" s="17" t="s">
        <v>219</v>
      </c>
      <c r="D341" s="18" t="s">
        <v>68</v>
      </c>
      <c r="E341" s="47" t="n">
        <v>2</v>
      </c>
      <c r="F341" s="20"/>
      <c r="G341" s="21" t="n">
        <f aca="false">E341*F341</f>
        <v>0</v>
      </c>
      <c r="H341" s="41"/>
      <c r="I341" s="42"/>
    </row>
    <row r="342" s="43" customFormat="true" ht="14.25" hidden="false" customHeight="false" outlineLevel="0" collapsed="false">
      <c r="A342" s="15" t="n">
        <v>19</v>
      </c>
      <c r="B342" s="16"/>
      <c r="C342" s="17" t="s">
        <v>76</v>
      </c>
      <c r="D342" s="18" t="s">
        <v>68</v>
      </c>
      <c r="E342" s="47" t="n">
        <v>2</v>
      </c>
      <c r="F342" s="20"/>
      <c r="G342" s="21" t="n">
        <f aca="false">E342*F342</f>
        <v>0</v>
      </c>
      <c r="H342" s="41"/>
      <c r="I342" s="42"/>
    </row>
    <row r="343" s="43" customFormat="true" ht="14.25" hidden="false" customHeight="false" outlineLevel="0" collapsed="false">
      <c r="A343" s="15" t="n">
        <v>20</v>
      </c>
      <c r="B343" s="16"/>
      <c r="C343" s="17" t="s">
        <v>81</v>
      </c>
      <c r="D343" s="18" t="s">
        <v>68</v>
      </c>
      <c r="E343" s="47" t="n">
        <v>2</v>
      </c>
      <c r="F343" s="20"/>
      <c r="G343" s="21" t="n">
        <f aca="false">E343*F343</f>
        <v>0</v>
      </c>
      <c r="H343" s="41"/>
      <c r="I343" s="42"/>
    </row>
    <row r="344" s="43" customFormat="true" ht="11.25" hidden="false" customHeight="true" outlineLevel="0" collapsed="false">
      <c r="A344" s="15" t="n">
        <v>21</v>
      </c>
      <c r="B344" s="16"/>
      <c r="C344" s="17" t="s">
        <v>88</v>
      </c>
      <c r="D344" s="18" t="s">
        <v>68</v>
      </c>
      <c r="E344" s="47" t="n">
        <v>1</v>
      </c>
      <c r="F344" s="20"/>
      <c r="G344" s="21" t="n">
        <f aca="false">E344*F344</f>
        <v>0</v>
      </c>
      <c r="H344" s="41"/>
      <c r="I344" s="42"/>
    </row>
    <row r="345" s="43" customFormat="true" ht="23.85" hidden="false" customHeight="false" outlineLevel="0" collapsed="false">
      <c r="A345" s="15" t="n">
        <v>22</v>
      </c>
      <c r="B345" s="16"/>
      <c r="C345" s="17" t="s">
        <v>220</v>
      </c>
      <c r="D345" s="18" t="s">
        <v>68</v>
      </c>
      <c r="E345" s="47" t="n">
        <v>1</v>
      </c>
      <c r="F345" s="20"/>
      <c r="G345" s="21" t="n">
        <f aca="false">E345*F345</f>
        <v>0</v>
      </c>
      <c r="H345" s="41"/>
      <c r="I345" s="42"/>
    </row>
    <row r="346" s="43" customFormat="true" ht="14.25" hidden="false" customHeight="false" outlineLevel="0" collapsed="false">
      <c r="A346" s="15" t="n">
        <v>23</v>
      </c>
      <c r="B346" s="16"/>
      <c r="C346" s="17" t="s">
        <v>221</v>
      </c>
      <c r="D346" s="18" t="s">
        <v>20</v>
      </c>
      <c r="E346" s="19" t="n">
        <v>2</v>
      </c>
      <c r="F346" s="20"/>
      <c r="G346" s="21" t="n">
        <f aca="false">E346*F346</f>
        <v>0</v>
      </c>
      <c r="H346" s="41"/>
      <c r="I346" s="42"/>
    </row>
    <row r="347" s="43" customFormat="true" ht="14.25" hidden="false" customHeight="true" outlineLevel="0" collapsed="false">
      <c r="A347" s="55" t="s">
        <v>227</v>
      </c>
      <c r="B347" s="55"/>
      <c r="C347" s="55"/>
      <c r="D347" s="55"/>
      <c r="E347" s="55"/>
      <c r="F347" s="55"/>
      <c r="G347" s="55"/>
      <c r="H347" s="41"/>
      <c r="I347" s="42"/>
    </row>
    <row r="348" s="43" customFormat="true" ht="23.85" hidden="false" customHeight="false" outlineLevel="0" collapsed="false">
      <c r="A348" s="15" t="n">
        <v>1</v>
      </c>
      <c r="B348" s="16"/>
      <c r="C348" s="17" t="s">
        <v>180</v>
      </c>
      <c r="D348" s="18" t="s">
        <v>17</v>
      </c>
      <c r="E348" s="19" t="n">
        <v>9.1</v>
      </c>
      <c r="F348" s="20"/>
      <c r="G348" s="21" t="n">
        <f aca="false">E348*F348</f>
        <v>0</v>
      </c>
      <c r="H348" s="41"/>
      <c r="I348" s="42"/>
    </row>
    <row r="349" s="43" customFormat="true" ht="14.25" hidden="false" customHeight="false" outlineLevel="0" collapsed="false">
      <c r="A349" s="15" t="n">
        <v>2</v>
      </c>
      <c r="B349" s="16"/>
      <c r="C349" s="17" t="s">
        <v>181</v>
      </c>
      <c r="D349" s="18" t="s">
        <v>17</v>
      </c>
      <c r="E349" s="19" t="n">
        <v>2.3</v>
      </c>
      <c r="F349" s="20"/>
      <c r="G349" s="21" t="n">
        <f aca="false">E349*F349</f>
        <v>0</v>
      </c>
      <c r="H349" s="41"/>
      <c r="I349" s="42"/>
    </row>
    <row r="350" s="43" customFormat="true" ht="14.25" hidden="false" customHeight="false" outlineLevel="0" collapsed="false">
      <c r="A350" s="15" t="n">
        <v>3</v>
      </c>
      <c r="B350" s="16"/>
      <c r="C350" s="17" t="s">
        <v>182</v>
      </c>
      <c r="D350" s="18" t="s">
        <v>17</v>
      </c>
      <c r="E350" s="19" t="n">
        <v>3.8</v>
      </c>
      <c r="F350" s="20"/>
      <c r="G350" s="21" t="n">
        <f aca="false">E350*F350</f>
        <v>0</v>
      </c>
      <c r="H350" s="41"/>
      <c r="I350" s="42"/>
    </row>
    <row r="351" s="43" customFormat="true" ht="23.85" hidden="false" customHeight="false" outlineLevel="0" collapsed="false">
      <c r="A351" s="15" t="n">
        <v>4</v>
      </c>
      <c r="B351" s="16"/>
      <c r="C351" s="17" t="s">
        <v>41</v>
      </c>
      <c r="D351" s="18" t="s">
        <v>17</v>
      </c>
      <c r="E351" s="19" t="n">
        <v>9.9</v>
      </c>
      <c r="F351" s="20"/>
      <c r="G351" s="21" t="n">
        <f aca="false">E351*F351</f>
        <v>0</v>
      </c>
      <c r="H351" s="41"/>
      <c r="I351" s="42"/>
    </row>
    <row r="352" s="43" customFormat="true" ht="14.25" hidden="false" customHeight="false" outlineLevel="0" collapsed="false">
      <c r="A352" s="15" t="n">
        <v>5</v>
      </c>
      <c r="B352" s="16"/>
      <c r="C352" s="17" t="s">
        <v>42</v>
      </c>
      <c r="D352" s="18" t="s">
        <v>17</v>
      </c>
      <c r="E352" s="19" t="n">
        <v>1.5</v>
      </c>
      <c r="F352" s="20"/>
      <c r="G352" s="21" t="n">
        <f aca="false">E352*F352</f>
        <v>0</v>
      </c>
      <c r="H352" s="41"/>
      <c r="I352" s="42"/>
    </row>
    <row r="353" s="43" customFormat="true" ht="23.85" hidden="false" customHeight="false" outlineLevel="0" collapsed="false">
      <c r="A353" s="15" t="n">
        <v>6</v>
      </c>
      <c r="B353" s="16"/>
      <c r="C353" s="17" t="s">
        <v>43</v>
      </c>
      <c r="D353" s="18" t="s">
        <v>17</v>
      </c>
      <c r="E353" s="19" t="n">
        <v>7.6</v>
      </c>
      <c r="F353" s="20"/>
      <c r="G353" s="21" t="n">
        <f aca="false">E353*F353</f>
        <v>0</v>
      </c>
      <c r="H353" s="41"/>
      <c r="I353" s="42"/>
    </row>
    <row r="354" s="43" customFormat="true" ht="14.25" hidden="false" customHeight="false" outlineLevel="0" collapsed="false">
      <c r="A354" s="15" t="n">
        <v>7</v>
      </c>
      <c r="B354" s="16"/>
      <c r="C354" s="17" t="s">
        <v>183</v>
      </c>
      <c r="D354" s="18" t="s">
        <v>35</v>
      </c>
      <c r="E354" s="19" t="n">
        <v>0.5</v>
      </c>
      <c r="F354" s="20"/>
      <c r="G354" s="21" t="n">
        <f aca="false">E354*F354</f>
        <v>0</v>
      </c>
      <c r="H354" s="41"/>
      <c r="I354" s="42"/>
    </row>
    <row r="355" s="43" customFormat="true" ht="14.25" hidden="false" customHeight="false" outlineLevel="0" collapsed="false">
      <c r="A355" s="15" t="n">
        <v>8</v>
      </c>
      <c r="B355" s="16"/>
      <c r="C355" s="17" t="s">
        <v>184</v>
      </c>
      <c r="D355" s="18" t="s">
        <v>35</v>
      </c>
      <c r="E355" s="19" t="n">
        <v>0.9</v>
      </c>
      <c r="F355" s="20"/>
      <c r="G355" s="21" t="n">
        <f aca="false">E355*F355</f>
        <v>0</v>
      </c>
      <c r="H355" s="41"/>
      <c r="I355" s="42"/>
    </row>
    <row r="356" s="43" customFormat="true" ht="14.25" hidden="false" customHeight="false" outlineLevel="0" collapsed="false">
      <c r="A356" s="15" t="n">
        <v>9</v>
      </c>
      <c r="B356" s="16"/>
      <c r="C356" s="17" t="s">
        <v>186</v>
      </c>
      <c r="D356" s="18" t="s">
        <v>35</v>
      </c>
      <c r="E356" s="19" t="n">
        <v>0.54</v>
      </c>
      <c r="F356" s="20"/>
      <c r="G356" s="21" t="n">
        <f aca="false">E356*F356</f>
        <v>0</v>
      </c>
      <c r="H356" s="41"/>
      <c r="I356" s="42"/>
    </row>
    <row r="357" s="43" customFormat="true" ht="23.85" hidden="false" customHeight="false" outlineLevel="0" collapsed="false">
      <c r="A357" s="15" t="n">
        <v>10</v>
      </c>
      <c r="B357" s="16"/>
      <c r="C357" s="17" t="s">
        <v>189</v>
      </c>
      <c r="D357" s="18" t="s">
        <v>188</v>
      </c>
      <c r="E357" s="19" t="n">
        <v>23.96</v>
      </c>
      <c r="F357" s="20"/>
      <c r="G357" s="21" t="n">
        <f aca="false">E357*F357</f>
        <v>0</v>
      </c>
      <c r="H357" s="41"/>
      <c r="I357" s="42"/>
    </row>
    <row r="358" s="43" customFormat="true" ht="14.25" hidden="false" customHeight="false" outlineLevel="0" collapsed="false">
      <c r="A358" s="15" t="n">
        <v>11</v>
      </c>
      <c r="B358" s="16"/>
      <c r="C358" s="17" t="s">
        <v>190</v>
      </c>
      <c r="D358" s="18" t="s">
        <v>17</v>
      </c>
      <c r="E358" s="19" t="n">
        <v>0.2</v>
      </c>
      <c r="F358" s="20"/>
      <c r="G358" s="21" t="n">
        <f aca="false">E358*F358</f>
        <v>0</v>
      </c>
      <c r="H358" s="41"/>
      <c r="I358" s="42"/>
    </row>
    <row r="359" s="43" customFormat="true" ht="14.25" hidden="false" customHeight="false" outlineLevel="0" collapsed="false">
      <c r="A359" s="15" t="n">
        <v>12</v>
      </c>
      <c r="B359" s="16"/>
      <c r="C359" s="17" t="s">
        <v>191</v>
      </c>
      <c r="D359" s="18" t="s">
        <v>17</v>
      </c>
      <c r="E359" s="19" t="n">
        <v>0.41</v>
      </c>
      <c r="F359" s="20"/>
      <c r="G359" s="21" t="n">
        <f aca="false">E359*F359</f>
        <v>0</v>
      </c>
      <c r="H359" s="41"/>
      <c r="I359" s="42"/>
    </row>
    <row r="360" s="43" customFormat="true" ht="14.25" hidden="false" customHeight="false" outlineLevel="0" collapsed="false">
      <c r="A360" s="15" t="n">
        <v>13</v>
      </c>
      <c r="B360" s="16"/>
      <c r="C360" s="17" t="s">
        <v>193</v>
      </c>
      <c r="D360" s="18" t="s">
        <v>17</v>
      </c>
      <c r="E360" s="19" t="n">
        <v>0.09</v>
      </c>
      <c r="F360" s="20"/>
      <c r="G360" s="21" t="n">
        <f aca="false">E360*F360</f>
        <v>0</v>
      </c>
      <c r="H360" s="41"/>
      <c r="I360" s="42"/>
    </row>
    <row r="361" s="43" customFormat="true" ht="14.25" hidden="false" customHeight="false" outlineLevel="0" collapsed="false">
      <c r="A361" s="15" t="n">
        <v>14</v>
      </c>
      <c r="B361" s="16"/>
      <c r="C361" s="17" t="s">
        <v>215</v>
      </c>
      <c r="D361" s="18" t="s">
        <v>17</v>
      </c>
      <c r="E361" s="19" t="n">
        <v>0.7</v>
      </c>
      <c r="F361" s="20"/>
      <c r="G361" s="21" t="n">
        <f aca="false">E361*F361</f>
        <v>0</v>
      </c>
      <c r="H361" s="41"/>
      <c r="I361" s="42"/>
    </row>
    <row r="362" s="43" customFormat="true" ht="11.25" hidden="false" customHeight="true" outlineLevel="0" collapsed="false">
      <c r="A362" s="15" t="n">
        <v>15</v>
      </c>
      <c r="B362" s="16"/>
      <c r="C362" s="17" t="s">
        <v>195</v>
      </c>
      <c r="D362" s="18" t="s">
        <v>15</v>
      </c>
      <c r="E362" s="19" t="n">
        <v>0.25</v>
      </c>
      <c r="F362" s="20"/>
      <c r="G362" s="21" t="n">
        <f aca="false">E362*F362</f>
        <v>0</v>
      </c>
      <c r="H362" s="41"/>
      <c r="I362" s="42"/>
    </row>
    <row r="363" s="43" customFormat="true" ht="23.85" hidden="false" customHeight="false" outlineLevel="0" collapsed="false">
      <c r="A363" s="15" t="n">
        <v>16</v>
      </c>
      <c r="B363" s="16"/>
      <c r="C363" s="17" t="s">
        <v>197</v>
      </c>
      <c r="D363" s="18" t="s">
        <v>35</v>
      </c>
      <c r="E363" s="19" t="n">
        <v>9</v>
      </c>
      <c r="F363" s="20"/>
      <c r="G363" s="21" t="n">
        <f aca="false">E363*F363</f>
        <v>0</v>
      </c>
      <c r="H363" s="41"/>
      <c r="I363" s="42"/>
    </row>
    <row r="364" s="43" customFormat="true" ht="14.25" hidden="false" customHeight="false" outlineLevel="0" collapsed="false">
      <c r="A364" s="15" t="n">
        <v>17</v>
      </c>
      <c r="B364" s="16"/>
      <c r="C364" s="17" t="s">
        <v>198</v>
      </c>
      <c r="D364" s="18" t="s">
        <v>35</v>
      </c>
      <c r="E364" s="19" t="n">
        <v>7.5</v>
      </c>
      <c r="F364" s="20"/>
      <c r="G364" s="21" t="n">
        <f aca="false">E364*F364</f>
        <v>0</v>
      </c>
      <c r="H364" s="41"/>
      <c r="I364" s="42"/>
    </row>
    <row r="365" s="43" customFormat="true" ht="14.25" hidden="false" customHeight="false" outlineLevel="0" collapsed="false">
      <c r="A365" s="15" t="n">
        <v>18</v>
      </c>
      <c r="B365" s="16"/>
      <c r="C365" s="17" t="s">
        <v>216</v>
      </c>
      <c r="D365" s="18" t="s">
        <v>68</v>
      </c>
      <c r="E365" s="47" t="n">
        <v>4</v>
      </c>
      <c r="F365" s="20"/>
      <c r="G365" s="21" t="n">
        <f aca="false">E365*F365</f>
        <v>0</v>
      </c>
      <c r="H365" s="41"/>
      <c r="I365" s="42"/>
    </row>
    <row r="366" s="43" customFormat="true" ht="14.25" hidden="false" customHeight="false" outlineLevel="0" collapsed="false">
      <c r="A366" s="15" t="n">
        <v>19</v>
      </c>
      <c r="B366" s="16"/>
      <c r="C366" s="17" t="s">
        <v>199</v>
      </c>
      <c r="D366" s="18" t="s">
        <v>35</v>
      </c>
      <c r="E366" s="19" t="n">
        <v>1</v>
      </c>
      <c r="F366" s="20"/>
      <c r="G366" s="21" t="n">
        <f aca="false">E366*F366</f>
        <v>0</v>
      </c>
      <c r="H366" s="41"/>
      <c r="I366" s="42"/>
    </row>
    <row r="367" s="43" customFormat="true" ht="14.25" hidden="false" customHeight="false" outlineLevel="0" collapsed="false">
      <c r="A367" s="15" t="n">
        <v>20</v>
      </c>
      <c r="B367" s="16"/>
      <c r="C367" s="17" t="s">
        <v>202</v>
      </c>
      <c r="D367" s="18" t="s">
        <v>68</v>
      </c>
      <c r="E367" s="47" t="n">
        <v>6</v>
      </c>
      <c r="F367" s="20"/>
      <c r="G367" s="21" t="n">
        <f aca="false">E367*F367</f>
        <v>0</v>
      </c>
      <c r="H367" s="41"/>
      <c r="I367" s="42"/>
    </row>
    <row r="368" s="43" customFormat="true" ht="14.25" hidden="false" customHeight="false" outlineLevel="0" collapsed="false">
      <c r="A368" s="15" t="n">
        <v>21</v>
      </c>
      <c r="B368" s="16"/>
      <c r="C368" s="17" t="s">
        <v>228</v>
      </c>
      <c r="D368" s="18" t="s">
        <v>68</v>
      </c>
      <c r="E368" s="47" t="n">
        <v>1</v>
      </c>
      <c r="F368" s="20"/>
      <c r="G368" s="21" t="n">
        <f aca="false">E368*F368</f>
        <v>0</v>
      </c>
      <c r="H368" s="41"/>
      <c r="I368" s="42"/>
    </row>
    <row r="369" s="43" customFormat="true" ht="14.25" hidden="false" customHeight="false" outlineLevel="0" collapsed="false">
      <c r="A369" s="15" t="n">
        <v>22</v>
      </c>
      <c r="B369" s="16"/>
      <c r="C369" s="17" t="s">
        <v>229</v>
      </c>
      <c r="D369" s="18" t="s">
        <v>68</v>
      </c>
      <c r="E369" s="47" t="n">
        <v>1</v>
      </c>
      <c r="F369" s="20"/>
      <c r="G369" s="21" t="n">
        <f aca="false">E369*F369</f>
        <v>0</v>
      </c>
      <c r="H369" s="41"/>
      <c r="I369" s="42"/>
    </row>
    <row r="370" s="43" customFormat="true" ht="14.25" hidden="false" customHeight="false" outlineLevel="0" collapsed="false">
      <c r="A370" s="15" t="n">
        <v>23</v>
      </c>
      <c r="B370" s="16"/>
      <c r="C370" s="17" t="s">
        <v>230</v>
      </c>
      <c r="D370" s="18" t="s">
        <v>20</v>
      </c>
      <c r="E370" s="19" t="n">
        <v>2</v>
      </c>
      <c r="F370" s="20"/>
      <c r="G370" s="21" t="n">
        <f aca="false">E370*F370</f>
        <v>0</v>
      </c>
      <c r="H370" s="41"/>
      <c r="I370" s="42"/>
    </row>
    <row r="371" s="43" customFormat="true" ht="14.25" hidden="false" customHeight="false" outlineLevel="0" collapsed="false">
      <c r="A371" s="15" t="n">
        <v>24</v>
      </c>
      <c r="B371" s="16"/>
      <c r="C371" s="17" t="s">
        <v>89</v>
      </c>
      <c r="D371" s="18" t="s">
        <v>68</v>
      </c>
      <c r="E371" s="47" t="n">
        <v>1</v>
      </c>
      <c r="F371" s="20"/>
      <c r="G371" s="21" t="n">
        <f aca="false">E371*F371</f>
        <v>0</v>
      </c>
      <c r="H371" s="41"/>
      <c r="I371" s="42"/>
    </row>
    <row r="372" s="43" customFormat="true" ht="14.25" hidden="false" customHeight="false" outlineLevel="0" collapsed="false">
      <c r="A372" s="15" t="n">
        <v>25</v>
      </c>
      <c r="B372" s="16"/>
      <c r="C372" s="17" t="s">
        <v>231</v>
      </c>
      <c r="D372" s="18" t="s">
        <v>68</v>
      </c>
      <c r="E372" s="47" t="n">
        <v>2</v>
      </c>
      <c r="F372" s="20"/>
      <c r="G372" s="21" t="n">
        <f aca="false">E372*F372</f>
        <v>0</v>
      </c>
      <c r="H372" s="41"/>
      <c r="I372" s="42"/>
    </row>
    <row r="373" s="43" customFormat="true" ht="14.25" hidden="false" customHeight="false" outlineLevel="0" collapsed="false">
      <c r="A373" s="15" t="n">
        <v>26</v>
      </c>
      <c r="B373" s="16"/>
      <c r="C373" s="17" t="s">
        <v>232</v>
      </c>
      <c r="D373" s="18" t="s">
        <v>68</v>
      </c>
      <c r="E373" s="47" t="n">
        <v>2</v>
      </c>
      <c r="F373" s="20"/>
      <c r="G373" s="21" t="n">
        <f aca="false">E373*F373</f>
        <v>0</v>
      </c>
      <c r="H373" s="41"/>
      <c r="I373" s="42"/>
    </row>
    <row r="374" s="43" customFormat="true" ht="14.25" hidden="false" customHeight="false" outlineLevel="0" collapsed="false">
      <c r="A374" s="15" t="n">
        <v>27</v>
      </c>
      <c r="B374" s="16"/>
      <c r="C374" s="17" t="s">
        <v>233</v>
      </c>
      <c r="D374" s="18" t="s">
        <v>68</v>
      </c>
      <c r="E374" s="47" t="n">
        <v>1</v>
      </c>
      <c r="F374" s="20"/>
      <c r="G374" s="21" t="n">
        <f aca="false">E374*F374</f>
        <v>0</v>
      </c>
      <c r="H374" s="41"/>
      <c r="I374" s="42"/>
    </row>
    <row r="375" s="43" customFormat="true" ht="14.25" hidden="false" customHeight="false" outlineLevel="0" collapsed="false">
      <c r="A375" s="15" t="n">
        <v>28</v>
      </c>
      <c r="B375" s="16"/>
      <c r="C375" s="17" t="s">
        <v>234</v>
      </c>
      <c r="D375" s="18" t="s">
        <v>68</v>
      </c>
      <c r="E375" s="47" t="n">
        <v>1</v>
      </c>
      <c r="F375" s="20"/>
      <c r="G375" s="21" t="n">
        <f aca="false">E375*F375</f>
        <v>0</v>
      </c>
      <c r="H375" s="41"/>
      <c r="I375" s="42"/>
    </row>
    <row r="376" s="43" customFormat="true" ht="14.25" hidden="false" customHeight="false" outlineLevel="0" collapsed="false">
      <c r="A376" s="15" t="n">
        <v>29</v>
      </c>
      <c r="B376" s="16"/>
      <c r="C376" s="17" t="s">
        <v>210</v>
      </c>
      <c r="D376" s="18" t="s">
        <v>68</v>
      </c>
      <c r="E376" s="47" t="n">
        <v>2</v>
      </c>
      <c r="F376" s="20"/>
      <c r="G376" s="21" t="n">
        <f aca="false">E376*F376</f>
        <v>0</v>
      </c>
      <c r="H376" s="41"/>
      <c r="I376" s="42"/>
    </row>
    <row r="377" s="43" customFormat="true" ht="14.25" hidden="false" customHeight="false" outlineLevel="0" collapsed="false">
      <c r="A377" s="15" t="n">
        <v>30</v>
      </c>
      <c r="B377" s="16"/>
      <c r="C377" s="17" t="s">
        <v>235</v>
      </c>
      <c r="D377" s="18" t="s">
        <v>20</v>
      </c>
      <c r="E377" s="19" t="n">
        <v>1</v>
      </c>
      <c r="F377" s="20"/>
      <c r="G377" s="21" t="n">
        <f aca="false">E377*F377</f>
        <v>0</v>
      </c>
      <c r="H377" s="41"/>
      <c r="I377" s="42"/>
    </row>
    <row r="378" s="43" customFormat="true" ht="14.25" hidden="false" customHeight="true" outlineLevel="0" collapsed="false">
      <c r="A378" s="55" t="s">
        <v>236</v>
      </c>
      <c r="B378" s="55"/>
      <c r="C378" s="55"/>
      <c r="D378" s="55"/>
      <c r="E378" s="55"/>
      <c r="F378" s="55"/>
      <c r="G378" s="55"/>
      <c r="H378" s="41"/>
      <c r="I378" s="42"/>
    </row>
    <row r="379" s="43" customFormat="true" ht="14.25" hidden="false" customHeight="false" outlineLevel="0" collapsed="false">
      <c r="A379" s="15" t="n">
        <v>1</v>
      </c>
      <c r="B379" s="16"/>
      <c r="C379" s="17" t="s">
        <v>237</v>
      </c>
      <c r="D379" s="18" t="s">
        <v>238</v>
      </c>
      <c r="E379" s="19" t="n">
        <v>0.228</v>
      </c>
      <c r="F379" s="20"/>
      <c r="G379" s="21" t="n">
        <f aca="false">E379*F379</f>
        <v>0</v>
      </c>
      <c r="H379" s="41"/>
      <c r="I379" s="42"/>
    </row>
    <row r="380" s="43" customFormat="true" ht="14.25" hidden="false" customHeight="false" outlineLevel="0" collapsed="false">
      <c r="A380" s="15" t="n">
        <v>2</v>
      </c>
      <c r="B380" s="16"/>
      <c r="C380" s="17" t="s">
        <v>239</v>
      </c>
      <c r="D380" s="18" t="s">
        <v>188</v>
      </c>
      <c r="E380" s="19" t="n">
        <v>63.2</v>
      </c>
      <c r="F380" s="20"/>
      <c r="G380" s="21" t="n">
        <f aca="false">E380*F380</f>
        <v>0</v>
      </c>
      <c r="H380" s="41"/>
      <c r="I380" s="42"/>
    </row>
    <row r="381" s="43" customFormat="true" ht="14.25" hidden="false" customHeight="false" outlineLevel="0" collapsed="false">
      <c r="A381" s="15" t="n">
        <v>3</v>
      </c>
      <c r="B381" s="16"/>
      <c r="C381" s="17" t="s">
        <v>240</v>
      </c>
      <c r="D381" s="18" t="s">
        <v>188</v>
      </c>
      <c r="E381" s="19" t="n">
        <v>24.89</v>
      </c>
      <c r="F381" s="20"/>
      <c r="G381" s="21" t="n">
        <f aca="false">E381*F381</f>
        <v>0</v>
      </c>
      <c r="H381" s="41"/>
      <c r="I381" s="42"/>
    </row>
    <row r="382" s="43" customFormat="true" ht="23.85" hidden="false" customHeight="false" outlineLevel="0" collapsed="false">
      <c r="A382" s="15" t="n">
        <v>4</v>
      </c>
      <c r="B382" s="16"/>
      <c r="C382" s="17" t="s">
        <v>241</v>
      </c>
      <c r="D382" s="18" t="s">
        <v>17</v>
      </c>
      <c r="E382" s="19" t="n">
        <v>60.3</v>
      </c>
      <c r="F382" s="20"/>
      <c r="G382" s="21" t="n">
        <f aca="false">E382*F382</f>
        <v>0</v>
      </c>
      <c r="H382" s="41"/>
      <c r="I382" s="42"/>
    </row>
    <row r="383" s="43" customFormat="true" ht="23.85" hidden="false" customHeight="false" outlineLevel="0" collapsed="false">
      <c r="A383" s="15" t="n">
        <v>5</v>
      </c>
      <c r="B383" s="16"/>
      <c r="C383" s="17" t="s">
        <v>242</v>
      </c>
      <c r="D383" s="18" t="s">
        <v>17</v>
      </c>
      <c r="E383" s="19" t="n">
        <v>10.6</v>
      </c>
      <c r="F383" s="20"/>
      <c r="G383" s="21" t="n">
        <f aca="false">E383*F383</f>
        <v>0</v>
      </c>
      <c r="H383" s="41"/>
      <c r="I383" s="42"/>
    </row>
    <row r="384" s="43" customFormat="true" ht="14.25" hidden="false" customHeight="false" outlineLevel="0" collapsed="false">
      <c r="A384" s="15" t="n">
        <v>6</v>
      </c>
      <c r="B384" s="16"/>
      <c r="C384" s="17" t="s">
        <v>243</v>
      </c>
      <c r="D384" s="18" t="s">
        <v>35</v>
      </c>
      <c r="E384" s="19" t="n">
        <v>29.5</v>
      </c>
      <c r="F384" s="20"/>
      <c r="G384" s="21" t="n">
        <f aca="false">E384*F384</f>
        <v>0</v>
      </c>
      <c r="H384" s="41"/>
      <c r="I384" s="42"/>
    </row>
    <row r="385" s="43" customFormat="true" ht="14.25" hidden="false" customHeight="false" outlineLevel="0" collapsed="false">
      <c r="A385" s="15" t="n">
        <v>7</v>
      </c>
      <c r="B385" s="16"/>
      <c r="C385" s="17" t="s">
        <v>244</v>
      </c>
      <c r="D385" s="18" t="s">
        <v>17</v>
      </c>
      <c r="E385" s="19" t="n">
        <v>12.6</v>
      </c>
      <c r="F385" s="20"/>
      <c r="G385" s="21" t="n">
        <f aca="false">E385*F385</f>
        <v>0</v>
      </c>
      <c r="H385" s="41"/>
      <c r="I385" s="42"/>
    </row>
    <row r="386" s="43" customFormat="true" ht="23.85" hidden="false" customHeight="false" outlineLevel="0" collapsed="false">
      <c r="A386" s="15" t="n">
        <v>8</v>
      </c>
      <c r="B386" s="16"/>
      <c r="C386" s="17" t="s">
        <v>245</v>
      </c>
      <c r="D386" s="18" t="s">
        <v>188</v>
      </c>
      <c r="E386" s="19" t="n">
        <v>317</v>
      </c>
      <c r="F386" s="20"/>
      <c r="G386" s="21" t="n">
        <f aca="false">E386*F386</f>
        <v>0</v>
      </c>
      <c r="H386" s="41"/>
      <c r="I386" s="42"/>
    </row>
    <row r="387" s="43" customFormat="true" ht="14.25" hidden="false" customHeight="false" outlineLevel="0" collapsed="false">
      <c r="A387" s="15" t="n">
        <v>9</v>
      </c>
      <c r="B387" s="16"/>
      <c r="C387" s="17" t="s">
        <v>246</v>
      </c>
      <c r="D387" s="18" t="s">
        <v>17</v>
      </c>
      <c r="E387" s="19" t="n">
        <v>3.9</v>
      </c>
      <c r="F387" s="20"/>
      <c r="G387" s="21" t="n">
        <f aca="false">E387*F387</f>
        <v>0</v>
      </c>
      <c r="H387" s="41"/>
      <c r="I387" s="42"/>
    </row>
    <row r="388" s="43" customFormat="true" ht="14.25" hidden="false" customHeight="false" outlineLevel="0" collapsed="false">
      <c r="A388" s="15" t="n">
        <v>10</v>
      </c>
      <c r="B388" s="16"/>
      <c r="C388" s="17" t="s">
        <v>247</v>
      </c>
      <c r="D388" s="18" t="s">
        <v>17</v>
      </c>
      <c r="E388" s="19" t="n">
        <v>20.6</v>
      </c>
      <c r="F388" s="20"/>
      <c r="G388" s="21" t="n">
        <f aca="false">E388*F388</f>
        <v>0</v>
      </c>
      <c r="H388" s="41"/>
      <c r="I388" s="42"/>
    </row>
    <row r="389" s="43" customFormat="true" ht="14.25" hidden="false" customHeight="false" outlineLevel="0" collapsed="false">
      <c r="A389" s="15" t="n">
        <v>11</v>
      </c>
      <c r="B389" s="16"/>
      <c r="C389" s="17" t="s">
        <v>248</v>
      </c>
      <c r="D389" s="18" t="s">
        <v>35</v>
      </c>
      <c r="E389" s="19" t="n">
        <v>54</v>
      </c>
      <c r="F389" s="20"/>
      <c r="G389" s="21" t="n">
        <f aca="false">E389*F389</f>
        <v>0</v>
      </c>
      <c r="H389" s="41"/>
      <c r="I389" s="42"/>
    </row>
    <row r="390" s="43" customFormat="true" ht="14.25" hidden="false" customHeight="false" outlineLevel="0" collapsed="false">
      <c r="A390" s="15" t="n">
        <v>12</v>
      </c>
      <c r="B390" s="16"/>
      <c r="C390" s="17" t="s">
        <v>249</v>
      </c>
      <c r="D390" s="18" t="s">
        <v>17</v>
      </c>
      <c r="E390" s="19" t="n">
        <v>360</v>
      </c>
      <c r="F390" s="20"/>
      <c r="G390" s="21" t="n">
        <f aca="false">E390*F390</f>
        <v>0</v>
      </c>
      <c r="H390" s="41"/>
      <c r="I390" s="42"/>
    </row>
    <row r="391" s="43" customFormat="true" ht="14.25" hidden="false" customHeight="false" outlineLevel="0" collapsed="false">
      <c r="A391" s="15" t="n">
        <v>13</v>
      </c>
      <c r="B391" s="16"/>
      <c r="C391" s="17" t="s">
        <v>250</v>
      </c>
      <c r="D391" s="18" t="s">
        <v>17</v>
      </c>
      <c r="E391" s="19" t="n">
        <v>360</v>
      </c>
      <c r="F391" s="20"/>
      <c r="G391" s="21" t="n">
        <f aca="false">E391*F391</f>
        <v>0</v>
      </c>
      <c r="H391" s="41"/>
      <c r="I391" s="42"/>
    </row>
    <row r="392" s="43" customFormat="true" ht="14.25" hidden="false" customHeight="true" outlineLevel="0" collapsed="false">
      <c r="A392" s="55" t="s">
        <v>251</v>
      </c>
      <c r="B392" s="55"/>
      <c r="C392" s="55"/>
      <c r="D392" s="55"/>
      <c r="E392" s="55"/>
      <c r="F392" s="55"/>
      <c r="G392" s="55"/>
      <c r="H392" s="41"/>
      <c r="I392" s="42"/>
    </row>
    <row r="393" s="43" customFormat="true" ht="14.25" hidden="false" customHeight="false" outlineLevel="0" collapsed="false">
      <c r="A393" s="15" t="n">
        <v>1</v>
      </c>
      <c r="B393" s="16"/>
      <c r="C393" s="17" t="s">
        <v>252</v>
      </c>
      <c r="D393" s="18" t="s">
        <v>253</v>
      </c>
      <c r="E393" s="56" t="n">
        <v>0.2</v>
      </c>
      <c r="F393" s="20"/>
      <c r="G393" s="21" t="n">
        <f aca="false">E393*F393</f>
        <v>0</v>
      </c>
      <c r="H393" s="41"/>
      <c r="I393" s="42"/>
    </row>
    <row r="394" s="43" customFormat="true" ht="14.25" hidden="false" customHeight="false" outlineLevel="0" collapsed="false">
      <c r="A394" s="15" t="n">
        <v>2</v>
      </c>
      <c r="B394" s="16"/>
      <c r="C394" s="17" t="s">
        <v>254</v>
      </c>
      <c r="D394" s="18" t="s">
        <v>17</v>
      </c>
      <c r="E394" s="19" t="n">
        <v>10</v>
      </c>
      <c r="F394" s="20"/>
      <c r="G394" s="21" t="n">
        <f aca="false">E394*F394</f>
        <v>0</v>
      </c>
      <c r="H394" s="41"/>
      <c r="I394" s="42"/>
    </row>
    <row r="395" s="43" customFormat="true" ht="14.25" hidden="false" customHeight="false" outlineLevel="0" collapsed="false">
      <c r="A395" s="15" t="n">
        <v>3</v>
      </c>
      <c r="B395" s="16"/>
      <c r="C395" s="17" t="s">
        <v>255</v>
      </c>
      <c r="D395" s="18" t="s">
        <v>17</v>
      </c>
      <c r="E395" s="19" t="n">
        <v>10</v>
      </c>
      <c r="F395" s="20"/>
      <c r="G395" s="21" t="n">
        <f aca="false">E395*F395</f>
        <v>0</v>
      </c>
      <c r="H395" s="41"/>
      <c r="I395" s="42"/>
    </row>
    <row r="396" s="43" customFormat="true" ht="14.25" hidden="false" customHeight="false" outlineLevel="0" collapsed="false">
      <c r="A396" s="15" t="n">
        <v>4</v>
      </c>
      <c r="B396" s="16"/>
      <c r="C396" s="17" t="s">
        <v>256</v>
      </c>
      <c r="D396" s="18" t="s">
        <v>17</v>
      </c>
      <c r="E396" s="19" t="n">
        <v>10</v>
      </c>
      <c r="F396" s="20"/>
      <c r="G396" s="21" t="n">
        <f aca="false">E396*F396</f>
        <v>0</v>
      </c>
      <c r="H396" s="41"/>
      <c r="I396" s="42"/>
    </row>
    <row r="397" s="43" customFormat="true" ht="14.25" hidden="false" customHeight="false" outlineLevel="0" collapsed="false">
      <c r="A397" s="15" t="n">
        <v>5</v>
      </c>
      <c r="B397" s="16"/>
      <c r="C397" s="17" t="s">
        <v>257</v>
      </c>
      <c r="D397" s="18" t="s">
        <v>17</v>
      </c>
      <c r="E397" s="19" t="n">
        <v>97.1</v>
      </c>
      <c r="F397" s="20"/>
      <c r="G397" s="21" t="n">
        <f aca="false">E397*F397</f>
        <v>0</v>
      </c>
      <c r="H397" s="41"/>
      <c r="I397" s="42"/>
    </row>
    <row r="398" s="43" customFormat="true" ht="14.25" hidden="false" customHeight="false" outlineLevel="0" collapsed="false">
      <c r="A398" s="15" t="n">
        <v>6</v>
      </c>
      <c r="B398" s="16"/>
      <c r="C398" s="17" t="s">
        <v>42</v>
      </c>
      <c r="D398" s="18" t="s">
        <v>17</v>
      </c>
      <c r="E398" s="19" t="n">
        <v>15.9</v>
      </c>
      <c r="F398" s="20"/>
      <c r="G398" s="21" t="n">
        <f aca="false">E398*F398</f>
        <v>0</v>
      </c>
      <c r="H398" s="41"/>
      <c r="I398" s="42"/>
    </row>
    <row r="399" s="43" customFormat="true" ht="14.25" hidden="false" customHeight="false" outlineLevel="0" collapsed="false">
      <c r="A399" s="15" t="n">
        <v>7</v>
      </c>
      <c r="B399" s="16"/>
      <c r="C399" s="17" t="s">
        <v>243</v>
      </c>
      <c r="D399" s="18" t="s">
        <v>35</v>
      </c>
      <c r="E399" s="19" t="n">
        <v>43.7</v>
      </c>
      <c r="F399" s="20"/>
      <c r="G399" s="21" t="n">
        <f aca="false">E399*F399</f>
        <v>0</v>
      </c>
      <c r="H399" s="41"/>
      <c r="I399" s="42"/>
    </row>
    <row r="400" s="43" customFormat="true" ht="14.25" hidden="false" customHeight="false" outlineLevel="0" collapsed="false">
      <c r="A400" s="15" t="n">
        <v>8</v>
      </c>
      <c r="B400" s="16"/>
      <c r="C400" s="17" t="s">
        <v>244</v>
      </c>
      <c r="D400" s="18" t="s">
        <v>17</v>
      </c>
      <c r="E400" s="19" t="n">
        <v>24</v>
      </c>
      <c r="F400" s="20"/>
      <c r="G400" s="21" t="n">
        <f aca="false">E400*F400</f>
        <v>0</v>
      </c>
      <c r="H400" s="41"/>
      <c r="I400" s="42"/>
    </row>
    <row r="401" s="43" customFormat="true" ht="23.85" hidden="false" customHeight="false" outlineLevel="0" collapsed="false">
      <c r="A401" s="15" t="n">
        <v>9</v>
      </c>
      <c r="B401" s="16"/>
      <c r="C401" s="17" t="s">
        <v>245</v>
      </c>
      <c r="D401" s="18" t="s">
        <v>188</v>
      </c>
      <c r="E401" s="19" t="n">
        <v>533</v>
      </c>
      <c r="F401" s="20"/>
      <c r="G401" s="21" t="n">
        <f aca="false">E401*F401</f>
        <v>0</v>
      </c>
      <c r="H401" s="41"/>
      <c r="I401" s="42"/>
    </row>
    <row r="402" s="43" customFormat="true" ht="14.25" hidden="false" customHeight="false" outlineLevel="0" collapsed="false">
      <c r="A402" s="15" t="n">
        <v>10</v>
      </c>
      <c r="B402" s="16"/>
      <c r="C402" s="17" t="s">
        <v>246</v>
      </c>
      <c r="D402" s="18" t="s">
        <v>17</v>
      </c>
      <c r="E402" s="19" t="n">
        <v>5.8</v>
      </c>
      <c r="F402" s="20"/>
      <c r="G402" s="21" t="n">
        <f aca="false">E402*F402</f>
        <v>0</v>
      </c>
      <c r="H402" s="41"/>
      <c r="I402" s="42"/>
    </row>
    <row r="403" s="43" customFormat="true" ht="14.25" hidden="false" customHeight="false" outlineLevel="0" collapsed="false">
      <c r="A403" s="15" t="n">
        <v>11</v>
      </c>
      <c r="B403" s="16"/>
      <c r="C403" s="17" t="s">
        <v>247</v>
      </c>
      <c r="D403" s="18" t="s">
        <v>17</v>
      </c>
      <c r="E403" s="19" t="n">
        <v>30.8</v>
      </c>
      <c r="F403" s="20"/>
      <c r="G403" s="21" t="n">
        <f aca="false">E403*F403</f>
        <v>0</v>
      </c>
      <c r="H403" s="41"/>
      <c r="I403" s="42"/>
    </row>
    <row r="404" s="43" customFormat="true" ht="14.25" hidden="false" customHeight="false" outlineLevel="0" collapsed="false">
      <c r="A404" s="15" t="n">
        <v>12</v>
      </c>
      <c r="B404" s="16"/>
      <c r="C404" s="17" t="s">
        <v>248</v>
      </c>
      <c r="D404" s="18" t="s">
        <v>35</v>
      </c>
      <c r="E404" s="19" t="n">
        <v>81</v>
      </c>
      <c r="F404" s="20"/>
      <c r="G404" s="21" t="n">
        <f aca="false">E404*F404</f>
        <v>0</v>
      </c>
      <c r="H404" s="41"/>
      <c r="I404" s="42"/>
    </row>
    <row r="405" s="43" customFormat="true" ht="14.25" hidden="false" customHeight="true" outlineLevel="0" collapsed="false">
      <c r="A405" s="55" t="s">
        <v>258</v>
      </c>
      <c r="B405" s="55"/>
      <c r="C405" s="55"/>
      <c r="D405" s="55"/>
      <c r="E405" s="55"/>
      <c r="F405" s="55"/>
      <c r="G405" s="55"/>
      <c r="H405" s="41"/>
      <c r="I405" s="42"/>
    </row>
    <row r="406" s="43" customFormat="true" ht="23.85" hidden="false" customHeight="false" outlineLevel="0" collapsed="false">
      <c r="A406" s="15" t="n">
        <v>1</v>
      </c>
      <c r="B406" s="16"/>
      <c r="C406" s="17" t="s">
        <v>241</v>
      </c>
      <c r="D406" s="18" t="s">
        <v>17</v>
      </c>
      <c r="E406" s="19" t="n">
        <v>1.8</v>
      </c>
      <c r="F406" s="20"/>
      <c r="G406" s="21" t="n">
        <f aca="false">E406*F406</f>
        <v>0</v>
      </c>
      <c r="H406" s="41"/>
      <c r="I406" s="42"/>
    </row>
    <row r="407" s="43" customFormat="true" ht="14.25" hidden="false" customHeight="false" outlineLevel="0" collapsed="false">
      <c r="A407" s="15" t="n">
        <v>2</v>
      </c>
      <c r="B407" s="16"/>
      <c r="C407" s="17" t="s">
        <v>42</v>
      </c>
      <c r="D407" s="18" t="s">
        <v>17</v>
      </c>
      <c r="E407" s="19" t="n">
        <v>0.9</v>
      </c>
      <c r="F407" s="20"/>
      <c r="G407" s="21" t="n">
        <f aca="false">E407*F407</f>
        <v>0</v>
      </c>
      <c r="H407" s="41"/>
      <c r="I407" s="42"/>
    </row>
    <row r="408" s="43" customFormat="true" ht="14.25" hidden="false" customHeight="false" outlineLevel="0" collapsed="false">
      <c r="A408" s="15" t="n">
        <v>3</v>
      </c>
      <c r="B408" s="16"/>
      <c r="C408" s="17" t="s">
        <v>259</v>
      </c>
      <c r="D408" s="18" t="s">
        <v>35</v>
      </c>
      <c r="E408" s="19" t="n">
        <v>4.6</v>
      </c>
      <c r="F408" s="20"/>
      <c r="G408" s="21" t="n">
        <f aca="false">E408*F408</f>
        <v>0</v>
      </c>
      <c r="H408" s="41"/>
      <c r="I408" s="42"/>
    </row>
    <row r="409" s="43" customFormat="true" ht="14.25" hidden="false" customHeight="false" outlineLevel="0" collapsed="false">
      <c r="A409" s="15" t="n">
        <v>4</v>
      </c>
      <c r="B409" s="16"/>
      <c r="C409" s="17" t="s">
        <v>244</v>
      </c>
      <c r="D409" s="18" t="s">
        <v>17</v>
      </c>
      <c r="E409" s="19" t="n">
        <v>0.8</v>
      </c>
      <c r="F409" s="20"/>
      <c r="G409" s="21" t="n">
        <f aca="false">E409*F409</f>
        <v>0</v>
      </c>
      <c r="H409" s="41"/>
      <c r="I409" s="42"/>
    </row>
    <row r="410" s="43" customFormat="true" ht="14.25" hidden="false" customHeight="false" outlineLevel="0" collapsed="false">
      <c r="A410" s="15" t="n">
        <v>5</v>
      </c>
      <c r="B410" s="16"/>
      <c r="C410" s="17" t="s">
        <v>260</v>
      </c>
      <c r="D410" s="18" t="s">
        <v>188</v>
      </c>
      <c r="E410" s="19" t="n">
        <v>0.5</v>
      </c>
      <c r="F410" s="20"/>
      <c r="G410" s="21" t="n">
        <f aca="false">E410*F410</f>
        <v>0</v>
      </c>
      <c r="H410" s="41"/>
      <c r="I410" s="42"/>
    </row>
    <row r="411" s="43" customFormat="true" ht="14.25" hidden="false" customHeight="true" outlineLevel="0" collapsed="false">
      <c r="A411" s="55" t="s">
        <v>261</v>
      </c>
      <c r="B411" s="55"/>
      <c r="C411" s="55"/>
      <c r="D411" s="55"/>
      <c r="E411" s="55"/>
      <c r="F411" s="55"/>
      <c r="G411" s="55"/>
      <c r="H411" s="41"/>
      <c r="I411" s="42"/>
    </row>
    <row r="412" s="43" customFormat="true" ht="23.85" hidden="false" customHeight="false" outlineLevel="0" collapsed="false">
      <c r="A412" s="15" t="n">
        <v>1</v>
      </c>
      <c r="B412" s="16"/>
      <c r="C412" s="17" t="s">
        <v>180</v>
      </c>
      <c r="D412" s="18" t="s">
        <v>17</v>
      </c>
      <c r="E412" s="19" t="n">
        <v>51.2</v>
      </c>
      <c r="F412" s="20"/>
      <c r="G412" s="21" t="n">
        <f aca="false">E412*F412</f>
        <v>0</v>
      </c>
      <c r="H412" s="41"/>
      <c r="I412" s="42"/>
    </row>
    <row r="413" s="43" customFormat="true" ht="23.85" hidden="false" customHeight="false" outlineLevel="0" collapsed="false">
      <c r="A413" s="15" t="n">
        <v>2</v>
      </c>
      <c r="B413" s="16"/>
      <c r="C413" s="17" t="s">
        <v>262</v>
      </c>
      <c r="D413" s="18" t="s">
        <v>17</v>
      </c>
      <c r="E413" s="19" t="n">
        <v>12.8</v>
      </c>
      <c r="F413" s="20"/>
      <c r="G413" s="21" t="n">
        <f aca="false">E413*F413</f>
        <v>0</v>
      </c>
      <c r="H413" s="41"/>
      <c r="I413" s="42"/>
    </row>
    <row r="414" s="43" customFormat="true" ht="23.85" hidden="false" customHeight="false" outlineLevel="0" collapsed="false">
      <c r="A414" s="15" t="n">
        <v>3</v>
      </c>
      <c r="B414" s="16"/>
      <c r="C414" s="17" t="s">
        <v>41</v>
      </c>
      <c r="D414" s="18" t="s">
        <v>17</v>
      </c>
      <c r="E414" s="19" t="n">
        <v>46.7</v>
      </c>
      <c r="F414" s="20"/>
      <c r="G414" s="21" t="n">
        <f aca="false">E414*F414</f>
        <v>0</v>
      </c>
      <c r="H414" s="41"/>
      <c r="I414" s="42"/>
    </row>
    <row r="415" s="43" customFormat="true" ht="14.25" hidden="false" customHeight="false" outlineLevel="0" collapsed="false">
      <c r="A415" s="15" t="n">
        <v>4</v>
      </c>
      <c r="B415" s="16"/>
      <c r="C415" s="17" t="s">
        <v>42</v>
      </c>
      <c r="D415" s="18" t="s">
        <v>17</v>
      </c>
      <c r="E415" s="19" t="n">
        <v>11.7</v>
      </c>
      <c r="F415" s="20"/>
      <c r="G415" s="21" t="n">
        <f aca="false">E415*F415</f>
        <v>0</v>
      </c>
      <c r="H415" s="41"/>
      <c r="I415" s="42"/>
    </row>
    <row r="416" s="43" customFormat="true" ht="23.85" hidden="false" customHeight="false" outlineLevel="0" collapsed="false">
      <c r="A416" s="15" t="n">
        <v>5</v>
      </c>
      <c r="B416" s="16"/>
      <c r="C416" s="17" t="s">
        <v>263</v>
      </c>
      <c r="D416" s="18" t="s">
        <v>17</v>
      </c>
      <c r="E416" s="19" t="n">
        <v>3.8</v>
      </c>
      <c r="F416" s="20"/>
      <c r="G416" s="21" t="n">
        <f aca="false">E416*F416</f>
        <v>0</v>
      </c>
      <c r="H416" s="41"/>
      <c r="I416" s="42"/>
    </row>
    <row r="417" s="43" customFormat="true" ht="23.85" hidden="false" customHeight="false" outlineLevel="0" collapsed="false">
      <c r="A417" s="15" t="n">
        <v>6</v>
      </c>
      <c r="B417" s="16"/>
      <c r="C417" s="17" t="s">
        <v>264</v>
      </c>
      <c r="D417" s="18" t="s">
        <v>17</v>
      </c>
      <c r="E417" s="19" t="n">
        <v>0.8</v>
      </c>
      <c r="F417" s="20"/>
      <c r="G417" s="21" t="n">
        <f aca="false">E417*F417</f>
        <v>0</v>
      </c>
      <c r="H417" s="41"/>
      <c r="I417" s="42"/>
    </row>
    <row r="418" s="43" customFormat="true" ht="23.85" hidden="false" customHeight="false" outlineLevel="0" collapsed="false">
      <c r="A418" s="15" t="n">
        <v>7</v>
      </c>
      <c r="B418" s="16"/>
      <c r="C418" s="17" t="s">
        <v>43</v>
      </c>
      <c r="D418" s="18" t="s">
        <v>17</v>
      </c>
      <c r="E418" s="19" t="n">
        <v>4.6</v>
      </c>
      <c r="F418" s="20"/>
      <c r="G418" s="21" t="n">
        <f aca="false">E418*F418</f>
        <v>0</v>
      </c>
      <c r="H418" s="41"/>
      <c r="I418" s="42"/>
    </row>
    <row r="419" s="43" customFormat="true" ht="23.85" hidden="false" customHeight="false" outlineLevel="0" collapsed="false">
      <c r="A419" s="15" t="n">
        <v>8</v>
      </c>
      <c r="B419" s="16"/>
      <c r="C419" s="17" t="s">
        <v>265</v>
      </c>
      <c r="D419" s="18" t="s">
        <v>20</v>
      </c>
      <c r="E419" s="19" t="n">
        <v>15</v>
      </c>
      <c r="F419" s="20"/>
      <c r="G419" s="21" t="n">
        <f aca="false">E419*F419</f>
        <v>0</v>
      </c>
      <c r="H419" s="41"/>
      <c r="I419" s="42"/>
    </row>
    <row r="420" s="43" customFormat="true" ht="14.25" hidden="false" customHeight="false" outlineLevel="0" collapsed="false">
      <c r="A420" s="15" t="n">
        <v>9</v>
      </c>
      <c r="B420" s="16"/>
      <c r="C420" s="17" t="s">
        <v>66</v>
      </c>
      <c r="D420" s="18" t="s">
        <v>20</v>
      </c>
      <c r="E420" s="19" t="n">
        <v>15</v>
      </c>
      <c r="F420" s="20"/>
      <c r="G420" s="21" t="n">
        <f aca="false">E420*F420</f>
        <v>0</v>
      </c>
      <c r="H420" s="41"/>
      <c r="I420" s="42"/>
    </row>
    <row r="421" s="43" customFormat="true" ht="17.9" hidden="false" customHeight="true" outlineLevel="0" collapsed="false">
      <c r="A421" s="12" t="s">
        <v>30</v>
      </c>
      <c r="B421" s="12"/>
      <c r="C421" s="22" t="s">
        <v>31</v>
      </c>
      <c r="D421" s="22"/>
      <c r="E421" s="22"/>
      <c r="F421" s="22"/>
      <c r="G421" s="22"/>
      <c r="H421" s="41"/>
      <c r="I421" s="42"/>
    </row>
    <row r="422" s="35" customFormat="true" ht="14.25" hidden="false" customHeight="true" outlineLevel="0" collapsed="false">
      <c r="A422" s="57" t="s">
        <v>266</v>
      </c>
      <c r="B422" s="57"/>
      <c r="C422" s="57"/>
      <c r="D422" s="57"/>
      <c r="E422" s="57"/>
      <c r="F422" s="57"/>
      <c r="G422" s="57"/>
      <c r="H422" s="34"/>
      <c r="I422" s="58"/>
    </row>
    <row r="423" s="35" customFormat="true" ht="23.85" hidden="false" customHeight="false" outlineLevel="0" collapsed="false">
      <c r="A423" s="23" t="n">
        <v>1</v>
      </c>
      <c r="B423" s="24"/>
      <c r="C423" s="25" t="s">
        <v>197</v>
      </c>
      <c r="D423" s="26" t="s">
        <v>35</v>
      </c>
      <c r="E423" s="27" t="n">
        <v>37</v>
      </c>
      <c r="F423" s="20"/>
      <c r="G423" s="29" t="n">
        <f aca="false">E423*F423</f>
        <v>0</v>
      </c>
      <c r="H423" s="34"/>
      <c r="I423" s="58"/>
    </row>
    <row r="424" s="35" customFormat="true" ht="14.25" hidden="false" customHeight="false" outlineLevel="0" collapsed="false">
      <c r="A424" s="23" t="n">
        <v>2</v>
      </c>
      <c r="B424" s="24"/>
      <c r="C424" s="25" t="s">
        <v>198</v>
      </c>
      <c r="D424" s="26" t="s">
        <v>35</v>
      </c>
      <c r="E424" s="27" t="n">
        <v>38.5</v>
      </c>
      <c r="F424" s="20"/>
      <c r="G424" s="29" t="n">
        <f aca="false">E424*F424</f>
        <v>0</v>
      </c>
      <c r="H424" s="34"/>
      <c r="I424" s="58"/>
    </row>
    <row r="425" s="35" customFormat="true" ht="14.25" hidden="false" customHeight="false" outlineLevel="0" collapsed="false">
      <c r="A425" s="23" t="n">
        <v>3</v>
      </c>
      <c r="B425" s="24"/>
      <c r="C425" s="25" t="s">
        <v>202</v>
      </c>
      <c r="D425" s="26" t="s">
        <v>68</v>
      </c>
      <c r="E425" s="48" t="n">
        <v>12</v>
      </c>
      <c r="F425" s="20"/>
      <c r="G425" s="29" t="n">
        <f aca="false">E425*F425</f>
        <v>0</v>
      </c>
      <c r="H425" s="34"/>
      <c r="I425" s="58"/>
    </row>
    <row r="426" s="35" customFormat="true" ht="14.25" hidden="false" customHeight="false" outlineLevel="0" collapsed="false">
      <c r="A426" s="23" t="n">
        <v>4</v>
      </c>
      <c r="B426" s="24"/>
      <c r="C426" s="25" t="s">
        <v>72</v>
      </c>
      <c r="D426" s="26" t="s">
        <v>68</v>
      </c>
      <c r="E426" s="48" t="n">
        <v>2</v>
      </c>
      <c r="F426" s="20"/>
      <c r="G426" s="29" t="n">
        <f aca="false">E426*F426</f>
        <v>0</v>
      </c>
      <c r="H426" s="34"/>
      <c r="I426" s="58"/>
    </row>
    <row r="427" s="35" customFormat="true" ht="14.25" hidden="false" customHeight="false" outlineLevel="0" collapsed="false">
      <c r="A427" s="23" t="n">
        <v>5</v>
      </c>
      <c r="B427" s="24"/>
      <c r="C427" s="25" t="s">
        <v>77</v>
      </c>
      <c r="D427" s="26" t="s">
        <v>68</v>
      </c>
      <c r="E427" s="48" t="n">
        <v>4</v>
      </c>
      <c r="F427" s="20"/>
      <c r="G427" s="29" t="n">
        <f aca="false">E427*F427</f>
        <v>0</v>
      </c>
      <c r="H427" s="34"/>
      <c r="I427" s="58"/>
    </row>
    <row r="428" s="35" customFormat="true" ht="14.25" hidden="false" customHeight="false" outlineLevel="0" collapsed="false">
      <c r="A428" s="23" t="n">
        <v>6</v>
      </c>
      <c r="B428" s="24"/>
      <c r="C428" s="25" t="s">
        <v>212</v>
      </c>
      <c r="D428" s="26" t="s">
        <v>68</v>
      </c>
      <c r="E428" s="48" t="n">
        <v>1</v>
      </c>
      <c r="F428" s="20"/>
      <c r="G428" s="29" t="n">
        <f aca="false">E428*F428</f>
        <v>0</v>
      </c>
      <c r="H428" s="34"/>
      <c r="I428" s="58"/>
    </row>
    <row r="429" s="35" customFormat="true" ht="14.25" hidden="false" customHeight="true" outlineLevel="0" collapsed="false">
      <c r="A429" s="57" t="s">
        <v>267</v>
      </c>
      <c r="B429" s="57"/>
      <c r="C429" s="57"/>
      <c r="D429" s="57"/>
      <c r="E429" s="57"/>
      <c r="F429" s="57"/>
      <c r="G429" s="57"/>
      <c r="H429" s="34"/>
      <c r="I429" s="58"/>
    </row>
    <row r="430" s="35" customFormat="true" ht="23.85" hidden="false" customHeight="false" outlineLevel="0" collapsed="false">
      <c r="A430" s="23" t="n">
        <v>1</v>
      </c>
      <c r="B430" s="24"/>
      <c r="C430" s="25" t="s">
        <v>180</v>
      </c>
      <c r="D430" s="26" t="s">
        <v>17</v>
      </c>
      <c r="E430" s="27" t="n">
        <v>4.4</v>
      </c>
      <c r="F430" s="20"/>
      <c r="G430" s="29" t="n">
        <f aca="false">E430*F430</f>
        <v>0</v>
      </c>
      <c r="H430" s="34"/>
      <c r="I430" s="58"/>
    </row>
    <row r="431" s="35" customFormat="true" ht="14.25" hidden="false" customHeight="false" outlineLevel="0" collapsed="false">
      <c r="A431" s="23" t="n">
        <v>2</v>
      </c>
      <c r="B431" s="24"/>
      <c r="C431" s="25" t="s">
        <v>181</v>
      </c>
      <c r="D431" s="26" t="s">
        <v>17</v>
      </c>
      <c r="E431" s="27" t="n">
        <v>1.1</v>
      </c>
      <c r="F431" s="20"/>
      <c r="G431" s="29" t="n">
        <f aca="false">E431*F431</f>
        <v>0</v>
      </c>
      <c r="H431" s="34"/>
      <c r="I431" s="58"/>
    </row>
    <row r="432" s="35" customFormat="true" ht="14.25" hidden="false" customHeight="false" outlineLevel="0" collapsed="false">
      <c r="A432" s="23" t="n">
        <v>3</v>
      </c>
      <c r="B432" s="24"/>
      <c r="C432" s="25" t="s">
        <v>182</v>
      </c>
      <c r="D432" s="26" t="s">
        <v>17</v>
      </c>
      <c r="E432" s="27" t="n">
        <v>1.68</v>
      </c>
      <c r="F432" s="20"/>
      <c r="G432" s="29" t="n">
        <f aca="false">E432*F432</f>
        <v>0</v>
      </c>
      <c r="H432" s="34"/>
      <c r="I432" s="58"/>
    </row>
    <row r="433" s="35" customFormat="true" ht="23.85" hidden="false" customHeight="false" outlineLevel="0" collapsed="false">
      <c r="A433" s="23" t="n">
        <v>4</v>
      </c>
      <c r="B433" s="24"/>
      <c r="C433" s="25" t="s">
        <v>41</v>
      </c>
      <c r="D433" s="26" t="s">
        <v>17</v>
      </c>
      <c r="E433" s="27" t="n">
        <v>0.96</v>
      </c>
      <c r="F433" s="20"/>
      <c r="G433" s="29" t="n">
        <f aca="false">E433*F433</f>
        <v>0</v>
      </c>
      <c r="H433" s="34"/>
      <c r="I433" s="58"/>
    </row>
    <row r="434" s="35" customFormat="true" ht="23.85" hidden="false" customHeight="false" outlineLevel="0" collapsed="false">
      <c r="A434" s="23" t="n">
        <v>5</v>
      </c>
      <c r="B434" s="24"/>
      <c r="C434" s="25" t="s">
        <v>43</v>
      </c>
      <c r="D434" s="26" t="s">
        <v>17</v>
      </c>
      <c r="E434" s="27" t="n">
        <v>4</v>
      </c>
      <c r="F434" s="20"/>
      <c r="G434" s="29" t="n">
        <f aca="false">E434*F434</f>
        <v>0</v>
      </c>
      <c r="H434" s="34"/>
      <c r="I434" s="58"/>
    </row>
    <row r="435" s="35" customFormat="true" ht="14.25" hidden="false" customHeight="false" outlineLevel="0" collapsed="false">
      <c r="A435" s="23" t="n">
        <v>6</v>
      </c>
      <c r="B435" s="24"/>
      <c r="C435" s="25" t="s">
        <v>183</v>
      </c>
      <c r="D435" s="26" t="s">
        <v>35</v>
      </c>
      <c r="E435" s="27" t="n">
        <v>0.5</v>
      </c>
      <c r="F435" s="20"/>
      <c r="G435" s="29" t="n">
        <f aca="false">E435*F435</f>
        <v>0</v>
      </c>
      <c r="H435" s="34"/>
      <c r="I435" s="58"/>
    </row>
    <row r="436" s="35" customFormat="true" ht="14.25" hidden="false" customHeight="false" outlineLevel="0" collapsed="false">
      <c r="A436" s="23" t="n">
        <v>7</v>
      </c>
      <c r="B436" s="24"/>
      <c r="C436" s="25" t="s">
        <v>184</v>
      </c>
      <c r="D436" s="26" t="s">
        <v>35</v>
      </c>
      <c r="E436" s="27" t="n">
        <v>0.7</v>
      </c>
      <c r="F436" s="20"/>
      <c r="G436" s="29" t="n">
        <f aca="false">E436*F436</f>
        <v>0</v>
      </c>
      <c r="H436" s="34"/>
      <c r="I436" s="58"/>
    </row>
    <row r="437" s="35" customFormat="true" ht="23.85" hidden="false" customHeight="false" outlineLevel="0" collapsed="false">
      <c r="A437" s="23" t="n">
        <v>8</v>
      </c>
      <c r="B437" s="24"/>
      <c r="C437" s="25" t="s">
        <v>189</v>
      </c>
      <c r="D437" s="26" t="s">
        <v>188</v>
      </c>
      <c r="E437" s="27" t="n">
        <v>22.14</v>
      </c>
      <c r="F437" s="20"/>
      <c r="G437" s="29" t="n">
        <f aca="false">E437*F437</f>
        <v>0</v>
      </c>
      <c r="H437" s="34"/>
      <c r="I437" s="58"/>
    </row>
    <row r="438" s="35" customFormat="true" ht="14.25" hidden="false" customHeight="false" outlineLevel="0" collapsed="false">
      <c r="A438" s="23" t="n">
        <v>9</v>
      </c>
      <c r="B438" s="24"/>
      <c r="C438" s="25" t="s">
        <v>190</v>
      </c>
      <c r="D438" s="26" t="s">
        <v>17</v>
      </c>
      <c r="E438" s="27" t="n">
        <v>0.2</v>
      </c>
      <c r="F438" s="20"/>
      <c r="G438" s="29" t="n">
        <f aca="false">E438*F438</f>
        <v>0</v>
      </c>
      <c r="H438" s="34"/>
      <c r="I438" s="58"/>
    </row>
    <row r="439" s="35" customFormat="true" ht="14.25" hidden="false" customHeight="false" outlineLevel="0" collapsed="false">
      <c r="A439" s="23" t="n">
        <v>10</v>
      </c>
      <c r="B439" s="24"/>
      <c r="C439" s="25" t="s">
        <v>191</v>
      </c>
      <c r="D439" s="26" t="s">
        <v>17</v>
      </c>
      <c r="E439" s="27" t="n">
        <v>0.25</v>
      </c>
      <c r="F439" s="20"/>
      <c r="G439" s="29" t="n">
        <f aca="false">E439*F439</f>
        <v>0</v>
      </c>
      <c r="H439" s="34"/>
      <c r="I439" s="58"/>
    </row>
    <row r="440" s="35" customFormat="true" ht="14.25" hidden="false" customHeight="false" outlineLevel="0" collapsed="false">
      <c r="A440" s="23" t="n">
        <v>11</v>
      </c>
      <c r="B440" s="24"/>
      <c r="C440" s="25" t="s">
        <v>215</v>
      </c>
      <c r="D440" s="26" t="s">
        <v>17</v>
      </c>
      <c r="E440" s="27" t="n">
        <v>0.45</v>
      </c>
      <c r="F440" s="20"/>
      <c r="G440" s="29" t="n">
        <f aca="false">E440*F440</f>
        <v>0</v>
      </c>
      <c r="H440" s="34"/>
      <c r="I440" s="58"/>
    </row>
    <row r="441" s="35" customFormat="true" ht="14.25" hidden="false" customHeight="false" outlineLevel="0" collapsed="false">
      <c r="A441" s="23" t="n">
        <v>12</v>
      </c>
      <c r="B441" s="24"/>
      <c r="C441" s="25" t="s">
        <v>195</v>
      </c>
      <c r="D441" s="26" t="s">
        <v>15</v>
      </c>
      <c r="E441" s="27" t="n">
        <v>0.05</v>
      </c>
      <c r="F441" s="20"/>
      <c r="G441" s="29" t="n">
        <f aca="false">E441*F441</f>
        <v>0</v>
      </c>
      <c r="H441" s="34"/>
      <c r="I441" s="58"/>
    </row>
    <row r="442" s="35" customFormat="true" ht="23.85" hidden="false" customHeight="false" outlineLevel="0" collapsed="false">
      <c r="A442" s="23" t="n">
        <v>13</v>
      </c>
      <c r="B442" s="24"/>
      <c r="C442" s="25" t="s">
        <v>197</v>
      </c>
      <c r="D442" s="26" t="s">
        <v>35</v>
      </c>
      <c r="E442" s="27" t="n">
        <v>5.3</v>
      </c>
      <c r="F442" s="20"/>
      <c r="G442" s="29" t="n">
        <f aca="false">E442*F442</f>
        <v>0</v>
      </c>
      <c r="H442" s="34"/>
      <c r="I442" s="58"/>
    </row>
    <row r="443" s="35" customFormat="true" ht="14.25" hidden="false" customHeight="false" outlineLevel="0" collapsed="false">
      <c r="A443" s="23" t="n">
        <v>14</v>
      </c>
      <c r="B443" s="24"/>
      <c r="C443" s="25" t="s">
        <v>198</v>
      </c>
      <c r="D443" s="26" t="s">
        <v>35</v>
      </c>
      <c r="E443" s="27" t="n">
        <v>4.4</v>
      </c>
      <c r="F443" s="20"/>
      <c r="G443" s="29" t="n">
        <f aca="false">E443*F443</f>
        <v>0</v>
      </c>
      <c r="H443" s="34"/>
      <c r="I443" s="58"/>
    </row>
    <row r="444" s="35" customFormat="true" ht="14.25" hidden="false" customHeight="false" outlineLevel="0" collapsed="false">
      <c r="A444" s="23" t="n">
        <v>15</v>
      </c>
      <c r="B444" s="24"/>
      <c r="C444" s="25" t="s">
        <v>216</v>
      </c>
      <c r="D444" s="26" t="s">
        <v>68</v>
      </c>
      <c r="E444" s="27" t="n">
        <v>2</v>
      </c>
      <c r="F444" s="20"/>
      <c r="G444" s="29" t="n">
        <f aca="false">E444*F444</f>
        <v>0</v>
      </c>
      <c r="H444" s="34"/>
      <c r="I444" s="58"/>
    </row>
    <row r="445" s="35" customFormat="true" ht="14.25" hidden="false" customHeight="false" outlineLevel="0" collapsed="false">
      <c r="A445" s="23" t="n">
        <v>16</v>
      </c>
      <c r="B445" s="24"/>
      <c r="C445" s="25" t="s">
        <v>199</v>
      </c>
      <c r="D445" s="26" t="s">
        <v>35</v>
      </c>
      <c r="E445" s="27" t="n">
        <v>1</v>
      </c>
      <c r="F445" s="20"/>
      <c r="G445" s="29" t="n">
        <f aca="false">E445*F445</f>
        <v>0</v>
      </c>
      <c r="H445" s="34"/>
      <c r="I445" s="58"/>
    </row>
    <row r="446" s="35" customFormat="true" ht="14.25" hidden="false" customHeight="false" outlineLevel="0" collapsed="false">
      <c r="A446" s="23" t="n">
        <v>17</v>
      </c>
      <c r="B446" s="24"/>
      <c r="C446" s="25" t="s">
        <v>200</v>
      </c>
      <c r="D446" s="26" t="s">
        <v>35</v>
      </c>
      <c r="E446" s="27" t="n">
        <v>1</v>
      </c>
      <c r="F446" s="20"/>
      <c r="G446" s="29" t="n">
        <f aca="false">E446*F446</f>
        <v>0</v>
      </c>
      <c r="H446" s="34"/>
      <c r="I446" s="58"/>
    </row>
    <row r="447" s="35" customFormat="true" ht="14.25" hidden="false" customHeight="false" outlineLevel="0" collapsed="false">
      <c r="A447" s="23" t="n">
        <v>18</v>
      </c>
      <c r="B447" s="24"/>
      <c r="C447" s="25" t="s">
        <v>201</v>
      </c>
      <c r="D447" s="26" t="s">
        <v>35</v>
      </c>
      <c r="E447" s="27" t="n">
        <v>1</v>
      </c>
      <c r="F447" s="20"/>
      <c r="G447" s="29" t="n">
        <f aca="false">E447*F447</f>
        <v>0</v>
      </c>
      <c r="H447" s="34"/>
      <c r="I447" s="58"/>
    </row>
    <row r="448" s="35" customFormat="true" ht="14.25" hidden="false" customHeight="false" outlineLevel="0" collapsed="false">
      <c r="A448" s="23" t="n">
        <v>19</v>
      </c>
      <c r="B448" s="24"/>
      <c r="C448" s="25" t="s">
        <v>202</v>
      </c>
      <c r="D448" s="26" t="s">
        <v>68</v>
      </c>
      <c r="E448" s="27" t="n">
        <v>4</v>
      </c>
      <c r="F448" s="20"/>
      <c r="G448" s="29" t="n">
        <f aca="false">E448*F448</f>
        <v>0</v>
      </c>
      <c r="H448" s="34"/>
      <c r="I448" s="58"/>
    </row>
    <row r="449" s="35" customFormat="true" ht="14.25" hidden="false" customHeight="false" outlineLevel="0" collapsed="false">
      <c r="A449" s="23" t="n">
        <v>20</v>
      </c>
      <c r="B449" s="24"/>
      <c r="C449" s="25" t="s">
        <v>217</v>
      </c>
      <c r="D449" s="26" t="s">
        <v>188</v>
      </c>
      <c r="E449" s="27" t="n">
        <v>3</v>
      </c>
      <c r="F449" s="20"/>
      <c r="G449" s="29" t="n">
        <f aca="false">E449*F449</f>
        <v>0</v>
      </c>
      <c r="H449" s="34"/>
      <c r="I449" s="58"/>
    </row>
    <row r="450" s="35" customFormat="true" ht="14.25" hidden="false" customHeight="false" outlineLevel="0" collapsed="false">
      <c r="A450" s="23" t="n">
        <v>21</v>
      </c>
      <c r="B450" s="24"/>
      <c r="C450" s="25" t="s">
        <v>218</v>
      </c>
      <c r="D450" s="26" t="s">
        <v>214</v>
      </c>
      <c r="E450" s="27" t="n">
        <v>0.7</v>
      </c>
      <c r="F450" s="20"/>
      <c r="G450" s="29" t="n">
        <f aca="false">E450*F450</f>
        <v>0</v>
      </c>
      <c r="H450" s="34"/>
      <c r="I450" s="58"/>
    </row>
    <row r="451" s="35" customFormat="true" ht="14.25" hidden="false" customHeight="false" outlineLevel="0" collapsed="false">
      <c r="A451" s="23" t="n">
        <v>22</v>
      </c>
      <c r="B451" s="24"/>
      <c r="C451" s="25" t="s">
        <v>204</v>
      </c>
      <c r="D451" s="26" t="s">
        <v>17</v>
      </c>
      <c r="E451" s="27" t="n">
        <v>0.125</v>
      </c>
      <c r="F451" s="20"/>
      <c r="G451" s="29" t="n">
        <f aca="false">E451*F451</f>
        <v>0</v>
      </c>
      <c r="H451" s="34"/>
      <c r="I451" s="58"/>
    </row>
    <row r="452" s="35" customFormat="true" ht="14.25" hidden="false" customHeight="false" outlineLevel="0" collapsed="false">
      <c r="A452" s="23" t="n">
        <v>23</v>
      </c>
      <c r="B452" s="24"/>
      <c r="C452" s="25" t="s">
        <v>205</v>
      </c>
      <c r="D452" s="26" t="s">
        <v>20</v>
      </c>
      <c r="E452" s="27" t="n">
        <v>1</v>
      </c>
      <c r="F452" s="20"/>
      <c r="G452" s="29" t="n">
        <f aca="false">E452*F452</f>
        <v>0</v>
      </c>
      <c r="H452" s="34"/>
      <c r="I452" s="58"/>
    </row>
    <row r="453" s="35" customFormat="true" ht="14.25" hidden="false" customHeight="false" outlineLevel="0" collapsed="false">
      <c r="A453" s="23" t="n">
        <v>24</v>
      </c>
      <c r="B453" s="24"/>
      <c r="C453" s="25" t="s">
        <v>92</v>
      </c>
      <c r="D453" s="26" t="s">
        <v>68</v>
      </c>
      <c r="E453" s="48" t="n">
        <v>1</v>
      </c>
      <c r="F453" s="20"/>
      <c r="G453" s="29" t="n">
        <f aca="false">E453*F453</f>
        <v>0</v>
      </c>
      <c r="H453" s="34"/>
      <c r="I453" s="58"/>
    </row>
    <row r="454" s="35" customFormat="true" ht="14.25" hidden="false" customHeight="false" outlineLevel="0" collapsed="false">
      <c r="A454" s="23" t="n">
        <v>25</v>
      </c>
      <c r="B454" s="24"/>
      <c r="C454" s="25" t="s">
        <v>219</v>
      </c>
      <c r="D454" s="26" t="s">
        <v>68</v>
      </c>
      <c r="E454" s="48" t="n">
        <v>2</v>
      </c>
      <c r="F454" s="20"/>
      <c r="G454" s="29" t="n">
        <f aca="false">E454*F454</f>
        <v>0</v>
      </c>
      <c r="H454" s="34"/>
      <c r="I454" s="58"/>
    </row>
    <row r="455" s="35" customFormat="true" ht="14.25" hidden="false" customHeight="false" outlineLevel="0" collapsed="false">
      <c r="A455" s="23" t="n">
        <v>26</v>
      </c>
      <c r="B455" s="24"/>
      <c r="C455" s="25" t="s">
        <v>76</v>
      </c>
      <c r="D455" s="26" t="s">
        <v>68</v>
      </c>
      <c r="E455" s="48" t="n">
        <v>2</v>
      </c>
      <c r="F455" s="20"/>
      <c r="G455" s="29" t="n">
        <f aca="false">E455*F455</f>
        <v>0</v>
      </c>
      <c r="H455" s="34"/>
      <c r="I455" s="58"/>
    </row>
    <row r="456" s="35" customFormat="true" ht="14.25" hidden="false" customHeight="false" outlineLevel="0" collapsed="false">
      <c r="A456" s="23" t="n">
        <v>27</v>
      </c>
      <c r="B456" s="24"/>
      <c r="C456" s="25" t="s">
        <v>81</v>
      </c>
      <c r="D456" s="26" t="s">
        <v>68</v>
      </c>
      <c r="E456" s="48" t="n">
        <v>2</v>
      </c>
      <c r="F456" s="20"/>
      <c r="G456" s="29" t="n">
        <f aca="false">E456*F456</f>
        <v>0</v>
      </c>
      <c r="H456" s="34"/>
      <c r="I456" s="58"/>
    </row>
    <row r="457" s="35" customFormat="true" ht="14.25" hidden="false" customHeight="false" outlineLevel="0" collapsed="false">
      <c r="A457" s="23" t="n">
        <v>28</v>
      </c>
      <c r="B457" s="24"/>
      <c r="C457" s="25" t="s">
        <v>88</v>
      </c>
      <c r="D457" s="26" t="s">
        <v>68</v>
      </c>
      <c r="E457" s="48" t="n">
        <v>1</v>
      </c>
      <c r="F457" s="20"/>
      <c r="G457" s="29" t="n">
        <f aca="false">E457*F457</f>
        <v>0</v>
      </c>
      <c r="H457" s="34"/>
      <c r="I457" s="58"/>
    </row>
    <row r="458" s="35" customFormat="true" ht="23.85" hidden="false" customHeight="false" outlineLevel="0" collapsed="false">
      <c r="A458" s="23" t="n">
        <v>29</v>
      </c>
      <c r="B458" s="24"/>
      <c r="C458" s="25" t="s">
        <v>220</v>
      </c>
      <c r="D458" s="26" t="s">
        <v>68</v>
      </c>
      <c r="E458" s="48" t="n">
        <v>1</v>
      </c>
      <c r="F458" s="20"/>
      <c r="G458" s="29" t="n">
        <f aca="false">E458*F458</f>
        <v>0</v>
      </c>
      <c r="H458" s="34"/>
      <c r="I458" s="58"/>
    </row>
    <row r="459" s="35" customFormat="true" ht="14.25" hidden="false" customHeight="false" outlineLevel="0" collapsed="false">
      <c r="A459" s="23" t="n">
        <v>30</v>
      </c>
      <c r="B459" s="24"/>
      <c r="C459" s="25" t="s">
        <v>221</v>
      </c>
      <c r="D459" s="26" t="s">
        <v>20</v>
      </c>
      <c r="E459" s="27" t="n">
        <v>2</v>
      </c>
      <c r="F459" s="20"/>
      <c r="G459" s="29" t="n">
        <f aca="false">E459*F459</f>
        <v>0</v>
      </c>
      <c r="H459" s="34"/>
      <c r="I459" s="58"/>
    </row>
    <row r="460" s="35" customFormat="true" ht="14.25" hidden="false" customHeight="true" outlineLevel="0" collapsed="false">
      <c r="A460" s="57" t="s">
        <v>268</v>
      </c>
      <c r="B460" s="57"/>
      <c r="C460" s="57"/>
      <c r="D460" s="57"/>
      <c r="E460" s="57"/>
      <c r="F460" s="57"/>
      <c r="G460" s="57"/>
      <c r="H460" s="34"/>
      <c r="I460" s="58"/>
    </row>
    <row r="461" s="35" customFormat="true" ht="23.85" hidden="false" customHeight="false" outlineLevel="0" collapsed="false">
      <c r="A461" s="23" t="n">
        <v>1</v>
      </c>
      <c r="B461" s="24"/>
      <c r="C461" s="25" t="s">
        <v>180</v>
      </c>
      <c r="D461" s="26" t="s">
        <v>17</v>
      </c>
      <c r="E461" s="27" t="n">
        <v>1.9</v>
      </c>
      <c r="F461" s="20"/>
      <c r="G461" s="29" t="n">
        <f aca="false">E461*F461</f>
        <v>0</v>
      </c>
      <c r="H461" s="34"/>
      <c r="I461" s="58"/>
    </row>
    <row r="462" s="35" customFormat="true" ht="14.25" hidden="false" customHeight="false" outlineLevel="0" collapsed="false">
      <c r="A462" s="23" t="n">
        <v>2</v>
      </c>
      <c r="B462" s="24"/>
      <c r="C462" s="25" t="s">
        <v>181</v>
      </c>
      <c r="D462" s="26" t="s">
        <v>17</v>
      </c>
      <c r="E462" s="27" t="n">
        <v>0.5</v>
      </c>
      <c r="F462" s="20"/>
      <c r="G462" s="29" t="n">
        <f aca="false">E462*F462</f>
        <v>0</v>
      </c>
      <c r="H462" s="34"/>
      <c r="I462" s="58"/>
    </row>
    <row r="463" s="35" customFormat="true" ht="23.85" hidden="false" customHeight="false" outlineLevel="0" collapsed="false">
      <c r="A463" s="23" t="n">
        <v>3</v>
      </c>
      <c r="B463" s="24"/>
      <c r="C463" s="25" t="s">
        <v>29</v>
      </c>
      <c r="D463" s="26" t="s">
        <v>17</v>
      </c>
      <c r="E463" s="27" t="n">
        <v>2.28</v>
      </c>
      <c r="F463" s="20"/>
      <c r="G463" s="29" t="n">
        <f aca="false">E463*F463</f>
        <v>0</v>
      </c>
      <c r="H463" s="34"/>
      <c r="I463" s="58"/>
    </row>
    <row r="464" s="35" customFormat="true" ht="23.85" hidden="false" customHeight="false" outlineLevel="0" collapsed="false">
      <c r="A464" s="23" t="n">
        <v>4</v>
      </c>
      <c r="B464" s="24"/>
      <c r="C464" s="25" t="s">
        <v>41</v>
      </c>
      <c r="D464" s="26" t="s">
        <v>17</v>
      </c>
      <c r="E464" s="27" t="n">
        <v>2.28</v>
      </c>
      <c r="F464" s="20"/>
      <c r="G464" s="29" t="n">
        <f aca="false">E464*F464</f>
        <v>0</v>
      </c>
      <c r="H464" s="34"/>
      <c r="I464" s="58"/>
    </row>
    <row r="465" s="35" customFormat="true" ht="23.85" hidden="false" customHeight="false" outlineLevel="0" collapsed="false">
      <c r="A465" s="23" t="n">
        <v>5</v>
      </c>
      <c r="B465" s="24"/>
      <c r="C465" s="25" t="s">
        <v>43</v>
      </c>
      <c r="D465" s="26" t="s">
        <v>17</v>
      </c>
      <c r="E465" s="27" t="n">
        <v>2.4</v>
      </c>
      <c r="F465" s="20"/>
      <c r="G465" s="29" t="n">
        <f aca="false">E465*F465</f>
        <v>0</v>
      </c>
      <c r="H465" s="34"/>
      <c r="I465" s="58"/>
    </row>
    <row r="466" s="35" customFormat="true" ht="23.85" hidden="false" customHeight="false" outlineLevel="0" collapsed="false">
      <c r="A466" s="23" t="n">
        <v>6</v>
      </c>
      <c r="B466" s="24"/>
      <c r="C466" s="25" t="s">
        <v>197</v>
      </c>
      <c r="D466" s="26" t="s">
        <v>35</v>
      </c>
      <c r="E466" s="27" t="n">
        <v>7.7</v>
      </c>
      <c r="F466" s="20"/>
      <c r="G466" s="29" t="n">
        <f aca="false">E466*F466</f>
        <v>0</v>
      </c>
      <c r="H466" s="34"/>
      <c r="I466" s="58"/>
    </row>
    <row r="467" s="35" customFormat="true" ht="14.25" hidden="false" customHeight="false" outlineLevel="0" collapsed="false">
      <c r="A467" s="23" t="n">
        <v>7</v>
      </c>
      <c r="B467" s="24"/>
      <c r="C467" s="25" t="s">
        <v>198</v>
      </c>
      <c r="D467" s="26" t="s">
        <v>35</v>
      </c>
      <c r="E467" s="27" t="n">
        <v>6</v>
      </c>
      <c r="F467" s="20"/>
      <c r="G467" s="29" t="n">
        <f aca="false">E467*F467</f>
        <v>0</v>
      </c>
      <c r="H467" s="34"/>
      <c r="I467" s="58"/>
    </row>
    <row r="468" s="35" customFormat="true" ht="14.25" hidden="false" customHeight="false" outlineLevel="0" collapsed="false">
      <c r="A468" s="23" t="n">
        <v>8</v>
      </c>
      <c r="B468" s="24"/>
      <c r="C468" s="25" t="s">
        <v>223</v>
      </c>
      <c r="D468" s="26" t="s">
        <v>15</v>
      </c>
      <c r="E468" s="27" t="n">
        <v>0.05</v>
      </c>
      <c r="F468" s="20"/>
      <c r="G468" s="29" t="n">
        <f aca="false">E468*F468</f>
        <v>0</v>
      </c>
      <c r="H468" s="34"/>
      <c r="I468" s="58"/>
    </row>
    <row r="469" s="35" customFormat="true" ht="14.25" hidden="false" customHeight="false" outlineLevel="0" collapsed="false">
      <c r="A469" s="23" t="n">
        <v>9</v>
      </c>
      <c r="B469" s="24"/>
      <c r="C469" s="25" t="s">
        <v>199</v>
      </c>
      <c r="D469" s="26" t="s">
        <v>35</v>
      </c>
      <c r="E469" s="27" t="n">
        <v>1</v>
      </c>
      <c r="F469" s="20"/>
      <c r="G469" s="29" t="n">
        <f aca="false">E469*F469</f>
        <v>0</v>
      </c>
      <c r="H469" s="34"/>
      <c r="I469" s="58"/>
    </row>
    <row r="470" s="35" customFormat="true" ht="14.25" hidden="false" customHeight="false" outlineLevel="0" collapsed="false">
      <c r="A470" s="23" t="n">
        <v>10</v>
      </c>
      <c r="B470" s="24"/>
      <c r="C470" s="25" t="s">
        <v>224</v>
      </c>
      <c r="D470" s="26" t="s">
        <v>35</v>
      </c>
      <c r="E470" s="27" t="n">
        <v>1</v>
      </c>
      <c r="F470" s="20"/>
      <c r="G470" s="29" t="n">
        <f aca="false">E470*F470</f>
        <v>0</v>
      </c>
      <c r="H470" s="34"/>
      <c r="I470" s="58"/>
    </row>
    <row r="471" s="35" customFormat="true" ht="14.25" hidden="false" customHeight="false" outlineLevel="0" collapsed="false">
      <c r="A471" s="23" t="n">
        <v>11</v>
      </c>
      <c r="B471" s="24"/>
      <c r="C471" s="25" t="s">
        <v>201</v>
      </c>
      <c r="D471" s="26" t="s">
        <v>35</v>
      </c>
      <c r="E471" s="27" t="n">
        <v>1</v>
      </c>
      <c r="F471" s="20"/>
      <c r="G471" s="29" t="n">
        <f aca="false">E471*F471</f>
        <v>0</v>
      </c>
      <c r="H471" s="34"/>
      <c r="I471" s="58"/>
    </row>
    <row r="472" s="35" customFormat="true" ht="14.25" hidden="false" customHeight="false" outlineLevel="0" collapsed="false">
      <c r="A472" s="23" t="n">
        <v>12</v>
      </c>
      <c r="B472" s="24"/>
      <c r="C472" s="25" t="s">
        <v>202</v>
      </c>
      <c r="D472" s="26" t="s">
        <v>68</v>
      </c>
      <c r="E472" s="27" t="n">
        <v>4</v>
      </c>
      <c r="F472" s="20"/>
      <c r="G472" s="29" t="n">
        <f aca="false">E472*F472</f>
        <v>0</v>
      </c>
      <c r="H472" s="34"/>
      <c r="I472" s="58"/>
    </row>
    <row r="473" s="35" customFormat="true" ht="14.25" hidden="false" customHeight="false" outlineLevel="0" collapsed="false">
      <c r="A473" s="23" t="n">
        <v>13</v>
      </c>
      <c r="B473" s="24"/>
      <c r="C473" s="25" t="s">
        <v>217</v>
      </c>
      <c r="D473" s="26" t="s">
        <v>188</v>
      </c>
      <c r="E473" s="27" t="n">
        <v>3</v>
      </c>
      <c r="F473" s="20"/>
      <c r="G473" s="29" t="n">
        <f aca="false">E473*F473</f>
        <v>0</v>
      </c>
      <c r="H473" s="34"/>
      <c r="I473" s="58"/>
    </row>
    <row r="474" s="35" customFormat="true" ht="14.25" hidden="false" customHeight="false" outlineLevel="0" collapsed="false">
      <c r="A474" s="23" t="n">
        <v>14</v>
      </c>
      <c r="B474" s="24"/>
      <c r="C474" s="25" t="s">
        <v>218</v>
      </c>
      <c r="D474" s="26" t="s">
        <v>214</v>
      </c>
      <c r="E474" s="27" t="n">
        <v>0.7</v>
      </c>
      <c r="F474" s="20"/>
      <c r="G474" s="29" t="n">
        <f aca="false">E474*F474</f>
        <v>0</v>
      </c>
      <c r="H474" s="34"/>
      <c r="I474" s="58"/>
    </row>
    <row r="475" s="35" customFormat="true" ht="14.25" hidden="false" customHeight="false" outlineLevel="0" collapsed="false">
      <c r="A475" s="23" t="n">
        <v>15</v>
      </c>
      <c r="B475" s="24"/>
      <c r="C475" s="25" t="s">
        <v>225</v>
      </c>
      <c r="D475" s="26" t="s">
        <v>20</v>
      </c>
      <c r="E475" s="27" t="n">
        <v>0.8</v>
      </c>
      <c r="F475" s="20"/>
      <c r="G475" s="29" t="n">
        <f aca="false">E475*F475</f>
        <v>0</v>
      </c>
      <c r="H475" s="34"/>
      <c r="I475" s="58"/>
    </row>
    <row r="476" s="35" customFormat="true" ht="14.25" hidden="false" customHeight="false" outlineLevel="0" collapsed="false">
      <c r="A476" s="23" t="n">
        <v>16</v>
      </c>
      <c r="B476" s="24"/>
      <c r="C476" s="25" t="s">
        <v>226</v>
      </c>
      <c r="D476" s="26" t="s">
        <v>68</v>
      </c>
      <c r="E476" s="48" t="n">
        <v>1</v>
      </c>
      <c r="F476" s="20"/>
      <c r="G476" s="29" t="n">
        <f aca="false">E476*F476</f>
        <v>0</v>
      </c>
      <c r="H476" s="34"/>
      <c r="I476" s="58"/>
    </row>
    <row r="477" s="35" customFormat="true" ht="14.25" hidden="false" customHeight="false" outlineLevel="0" collapsed="false">
      <c r="A477" s="23" t="n">
        <v>17</v>
      </c>
      <c r="B477" s="24"/>
      <c r="C477" s="25" t="s">
        <v>92</v>
      </c>
      <c r="D477" s="26" t="s">
        <v>68</v>
      </c>
      <c r="E477" s="48" t="n">
        <v>1</v>
      </c>
      <c r="F477" s="20"/>
      <c r="G477" s="29" t="n">
        <f aca="false">E477*F477</f>
        <v>0</v>
      </c>
      <c r="H477" s="34"/>
      <c r="I477" s="58"/>
    </row>
    <row r="478" s="35" customFormat="true" ht="14.25" hidden="false" customHeight="false" outlineLevel="0" collapsed="false">
      <c r="A478" s="23" t="n">
        <v>18</v>
      </c>
      <c r="B478" s="24"/>
      <c r="C478" s="25" t="s">
        <v>219</v>
      </c>
      <c r="D478" s="26" t="s">
        <v>68</v>
      </c>
      <c r="E478" s="48" t="n">
        <v>2</v>
      </c>
      <c r="F478" s="20"/>
      <c r="G478" s="29" t="n">
        <f aca="false">E478*F478</f>
        <v>0</v>
      </c>
      <c r="H478" s="34"/>
      <c r="I478" s="58"/>
    </row>
    <row r="479" s="35" customFormat="true" ht="14.25" hidden="false" customHeight="false" outlineLevel="0" collapsed="false">
      <c r="A479" s="23" t="n">
        <v>19</v>
      </c>
      <c r="B479" s="24"/>
      <c r="C479" s="25" t="s">
        <v>76</v>
      </c>
      <c r="D479" s="26" t="s">
        <v>68</v>
      </c>
      <c r="E479" s="48" t="n">
        <v>2</v>
      </c>
      <c r="F479" s="20"/>
      <c r="G479" s="29" t="n">
        <f aca="false">E479*F479</f>
        <v>0</v>
      </c>
      <c r="H479" s="34"/>
      <c r="I479" s="58"/>
    </row>
    <row r="480" s="35" customFormat="true" ht="14.25" hidden="false" customHeight="false" outlineLevel="0" collapsed="false">
      <c r="A480" s="23" t="n">
        <v>20</v>
      </c>
      <c r="B480" s="24"/>
      <c r="C480" s="25" t="s">
        <v>81</v>
      </c>
      <c r="D480" s="26" t="s">
        <v>68</v>
      </c>
      <c r="E480" s="48" t="n">
        <v>2</v>
      </c>
      <c r="F480" s="20"/>
      <c r="G480" s="29" t="n">
        <f aca="false">E480*F480</f>
        <v>0</v>
      </c>
      <c r="H480" s="34"/>
      <c r="I480" s="58"/>
    </row>
    <row r="481" s="35" customFormat="true" ht="14.25" hidden="false" customHeight="false" outlineLevel="0" collapsed="false">
      <c r="A481" s="23" t="n">
        <v>21</v>
      </c>
      <c r="B481" s="24"/>
      <c r="C481" s="25" t="s">
        <v>88</v>
      </c>
      <c r="D481" s="26" t="s">
        <v>68</v>
      </c>
      <c r="E481" s="48" t="n">
        <v>1</v>
      </c>
      <c r="F481" s="20"/>
      <c r="G481" s="29" t="n">
        <f aca="false">E481*F481</f>
        <v>0</v>
      </c>
      <c r="H481" s="34"/>
      <c r="I481" s="58"/>
    </row>
    <row r="482" s="35" customFormat="true" ht="23.85" hidden="false" customHeight="false" outlineLevel="0" collapsed="false">
      <c r="A482" s="23" t="n">
        <v>22</v>
      </c>
      <c r="B482" s="24"/>
      <c r="C482" s="25" t="s">
        <v>220</v>
      </c>
      <c r="D482" s="26" t="s">
        <v>68</v>
      </c>
      <c r="E482" s="48" t="n">
        <v>1</v>
      </c>
      <c r="F482" s="20"/>
      <c r="G482" s="29" t="n">
        <f aca="false">E482*F482</f>
        <v>0</v>
      </c>
      <c r="H482" s="34"/>
      <c r="I482" s="58"/>
    </row>
    <row r="483" s="35" customFormat="true" ht="14.25" hidden="false" customHeight="false" outlineLevel="0" collapsed="false">
      <c r="A483" s="23" t="n">
        <v>23</v>
      </c>
      <c r="B483" s="24"/>
      <c r="C483" s="25" t="s">
        <v>221</v>
      </c>
      <c r="D483" s="26" t="s">
        <v>20</v>
      </c>
      <c r="E483" s="27" t="n">
        <v>2</v>
      </c>
      <c r="F483" s="20"/>
      <c r="G483" s="29" t="n">
        <f aca="false">E483*F483</f>
        <v>0</v>
      </c>
      <c r="H483" s="34"/>
      <c r="I483" s="58"/>
    </row>
    <row r="484" s="35" customFormat="true" ht="14.25" hidden="false" customHeight="true" outlineLevel="0" collapsed="false">
      <c r="A484" s="57" t="s">
        <v>269</v>
      </c>
      <c r="B484" s="57"/>
      <c r="C484" s="57"/>
      <c r="D484" s="57"/>
      <c r="E484" s="57"/>
      <c r="F484" s="57"/>
      <c r="G484" s="57"/>
      <c r="H484" s="34"/>
      <c r="I484" s="58"/>
    </row>
    <row r="485" s="35" customFormat="true" ht="23.85" hidden="false" customHeight="false" outlineLevel="0" collapsed="false">
      <c r="A485" s="23" t="n">
        <v>1</v>
      </c>
      <c r="B485" s="24"/>
      <c r="C485" s="25" t="s">
        <v>180</v>
      </c>
      <c r="D485" s="26" t="s">
        <v>17</v>
      </c>
      <c r="E485" s="27" t="n">
        <v>9.1</v>
      </c>
      <c r="F485" s="20"/>
      <c r="G485" s="29" t="n">
        <f aca="false">E485*F485</f>
        <v>0</v>
      </c>
      <c r="H485" s="34"/>
      <c r="I485" s="58"/>
    </row>
    <row r="486" s="35" customFormat="true" ht="14.25" hidden="false" customHeight="false" outlineLevel="0" collapsed="false">
      <c r="A486" s="23" t="n">
        <v>2</v>
      </c>
      <c r="B486" s="24"/>
      <c r="C486" s="25" t="s">
        <v>181</v>
      </c>
      <c r="D486" s="26" t="s">
        <v>17</v>
      </c>
      <c r="E486" s="27" t="n">
        <v>2.3</v>
      </c>
      <c r="F486" s="20"/>
      <c r="G486" s="29" t="n">
        <f aca="false">E486*F486</f>
        <v>0</v>
      </c>
      <c r="H486" s="34"/>
      <c r="I486" s="58"/>
    </row>
    <row r="487" s="35" customFormat="true" ht="14.25" hidden="false" customHeight="false" outlineLevel="0" collapsed="false">
      <c r="A487" s="23" t="n">
        <v>3</v>
      </c>
      <c r="B487" s="24"/>
      <c r="C487" s="25" t="s">
        <v>182</v>
      </c>
      <c r="D487" s="26" t="s">
        <v>17</v>
      </c>
      <c r="E487" s="27" t="n">
        <v>3.8</v>
      </c>
      <c r="F487" s="20"/>
      <c r="G487" s="29" t="n">
        <f aca="false">E487*F487</f>
        <v>0</v>
      </c>
      <c r="H487" s="34"/>
      <c r="I487" s="58"/>
    </row>
    <row r="488" s="35" customFormat="true" ht="23.85" hidden="false" customHeight="false" outlineLevel="0" collapsed="false">
      <c r="A488" s="23" t="n">
        <v>4</v>
      </c>
      <c r="B488" s="24"/>
      <c r="C488" s="25" t="s">
        <v>41</v>
      </c>
      <c r="D488" s="26" t="s">
        <v>17</v>
      </c>
      <c r="E488" s="27" t="n">
        <v>9.9</v>
      </c>
      <c r="F488" s="20"/>
      <c r="G488" s="29" t="n">
        <f aca="false">E488*F488</f>
        <v>0</v>
      </c>
      <c r="H488" s="34"/>
      <c r="I488" s="58"/>
    </row>
    <row r="489" s="35" customFormat="true" ht="14.25" hidden="false" customHeight="false" outlineLevel="0" collapsed="false">
      <c r="A489" s="23" t="n">
        <v>5</v>
      </c>
      <c r="B489" s="24"/>
      <c r="C489" s="25" t="s">
        <v>42</v>
      </c>
      <c r="D489" s="26" t="s">
        <v>17</v>
      </c>
      <c r="E489" s="27" t="n">
        <v>1.5</v>
      </c>
      <c r="F489" s="20"/>
      <c r="G489" s="29" t="n">
        <f aca="false">E489*F489</f>
        <v>0</v>
      </c>
      <c r="H489" s="34"/>
      <c r="I489" s="58"/>
    </row>
    <row r="490" s="35" customFormat="true" ht="23.85" hidden="false" customHeight="false" outlineLevel="0" collapsed="false">
      <c r="A490" s="23" t="n">
        <v>6</v>
      </c>
      <c r="B490" s="24"/>
      <c r="C490" s="25" t="s">
        <v>43</v>
      </c>
      <c r="D490" s="26" t="s">
        <v>17</v>
      </c>
      <c r="E490" s="27" t="n">
        <v>7.6</v>
      </c>
      <c r="F490" s="20"/>
      <c r="G490" s="29" t="n">
        <f aca="false">E490*F490</f>
        <v>0</v>
      </c>
      <c r="H490" s="34"/>
      <c r="I490" s="58"/>
    </row>
    <row r="491" s="35" customFormat="true" ht="14.25" hidden="false" customHeight="false" outlineLevel="0" collapsed="false">
      <c r="A491" s="23" t="n">
        <v>7</v>
      </c>
      <c r="B491" s="24"/>
      <c r="C491" s="25" t="s">
        <v>183</v>
      </c>
      <c r="D491" s="26" t="s">
        <v>35</v>
      </c>
      <c r="E491" s="27" t="n">
        <v>0.5</v>
      </c>
      <c r="F491" s="20"/>
      <c r="G491" s="29" t="n">
        <f aca="false">E491*F491</f>
        <v>0</v>
      </c>
      <c r="H491" s="34"/>
      <c r="I491" s="58"/>
    </row>
    <row r="492" s="35" customFormat="true" ht="14.25" hidden="false" customHeight="false" outlineLevel="0" collapsed="false">
      <c r="A492" s="23" t="n">
        <v>8</v>
      </c>
      <c r="B492" s="24"/>
      <c r="C492" s="25" t="s">
        <v>184</v>
      </c>
      <c r="D492" s="26" t="s">
        <v>35</v>
      </c>
      <c r="E492" s="27" t="n">
        <v>0.9</v>
      </c>
      <c r="F492" s="20"/>
      <c r="G492" s="29" t="n">
        <f aca="false">E492*F492</f>
        <v>0</v>
      </c>
      <c r="H492" s="34"/>
      <c r="I492" s="58"/>
    </row>
    <row r="493" s="35" customFormat="true" ht="14.25" hidden="false" customHeight="false" outlineLevel="0" collapsed="false">
      <c r="A493" s="23" t="n">
        <v>9</v>
      </c>
      <c r="B493" s="24"/>
      <c r="C493" s="25" t="s">
        <v>186</v>
      </c>
      <c r="D493" s="26" t="s">
        <v>35</v>
      </c>
      <c r="E493" s="27" t="n">
        <v>0.54</v>
      </c>
      <c r="F493" s="20"/>
      <c r="G493" s="29" t="n">
        <f aca="false">E493*F493</f>
        <v>0</v>
      </c>
      <c r="H493" s="34"/>
      <c r="I493" s="58"/>
    </row>
    <row r="494" s="35" customFormat="true" ht="23.85" hidden="false" customHeight="false" outlineLevel="0" collapsed="false">
      <c r="A494" s="23" t="n">
        <v>10</v>
      </c>
      <c r="B494" s="24"/>
      <c r="C494" s="25" t="s">
        <v>189</v>
      </c>
      <c r="D494" s="26" t="s">
        <v>188</v>
      </c>
      <c r="E494" s="27" t="n">
        <v>23.96</v>
      </c>
      <c r="F494" s="20"/>
      <c r="G494" s="29" t="n">
        <f aca="false">E494*F494</f>
        <v>0</v>
      </c>
      <c r="H494" s="34"/>
      <c r="I494" s="58"/>
    </row>
    <row r="495" s="35" customFormat="true" ht="14.25" hidden="false" customHeight="false" outlineLevel="0" collapsed="false">
      <c r="A495" s="23" t="n">
        <v>11</v>
      </c>
      <c r="B495" s="24"/>
      <c r="C495" s="25" t="s">
        <v>190</v>
      </c>
      <c r="D495" s="26" t="s">
        <v>17</v>
      </c>
      <c r="E495" s="27" t="n">
        <v>0.2</v>
      </c>
      <c r="F495" s="20"/>
      <c r="G495" s="29" t="n">
        <f aca="false">E495*F495</f>
        <v>0</v>
      </c>
      <c r="H495" s="34"/>
      <c r="I495" s="58"/>
    </row>
    <row r="496" s="35" customFormat="true" ht="14.25" hidden="false" customHeight="false" outlineLevel="0" collapsed="false">
      <c r="A496" s="23" t="n">
        <v>12</v>
      </c>
      <c r="B496" s="24"/>
      <c r="C496" s="25" t="s">
        <v>191</v>
      </c>
      <c r="D496" s="26" t="s">
        <v>17</v>
      </c>
      <c r="E496" s="27" t="n">
        <v>0.41</v>
      </c>
      <c r="F496" s="20"/>
      <c r="G496" s="29" t="n">
        <f aca="false">E496*F496</f>
        <v>0</v>
      </c>
      <c r="H496" s="34"/>
      <c r="I496" s="58"/>
    </row>
    <row r="497" s="35" customFormat="true" ht="14.25" hidden="false" customHeight="false" outlineLevel="0" collapsed="false">
      <c r="A497" s="23" t="n">
        <v>13</v>
      </c>
      <c r="B497" s="24"/>
      <c r="C497" s="25" t="s">
        <v>193</v>
      </c>
      <c r="D497" s="26" t="s">
        <v>17</v>
      </c>
      <c r="E497" s="27" t="n">
        <v>0.09</v>
      </c>
      <c r="F497" s="20"/>
      <c r="G497" s="29" t="n">
        <f aca="false">E497*F497</f>
        <v>0</v>
      </c>
      <c r="H497" s="34"/>
      <c r="I497" s="58"/>
    </row>
    <row r="498" s="35" customFormat="true" ht="14.25" hidden="false" customHeight="false" outlineLevel="0" collapsed="false">
      <c r="A498" s="23" t="n">
        <v>14</v>
      </c>
      <c r="B498" s="24"/>
      <c r="C498" s="25" t="s">
        <v>215</v>
      </c>
      <c r="D498" s="26" t="s">
        <v>17</v>
      </c>
      <c r="E498" s="27" t="n">
        <v>0.7</v>
      </c>
      <c r="F498" s="20"/>
      <c r="G498" s="29" t="n">
        <f aca="false">E498*F498</f>
        <v>0</v>
      </c>
      <c r="H498" s="34"/>
      <c r="I498" s="58"/>
    </row>
    <row r="499" s="35" customFormat="true" ht="14.25" hidden="false" customHeight="false" outlineLevel="0" collapsed="false">
      <c r="A499" s="23" t="n">
        <v>15</v>
      </c>
      <c r="B499" s="24"/>
      <c r="C499" s="25" t="s">
        <v>195</v>
      </c>
      <c r="D499" s="26" t="s">
        <v>15</v>
      </c>
      <c r="E499" s="27" t="n">
        <v>0.25</v>
      </c>
      <c r="F499" s="20"/>
      <c r="G499" s="29" t="n">
        <f aca="false">E499*F499</f>
        <v>0</v>
      </c>
      <c r="H499" s="34"/>
      <c r="I499" s="58"/>
    </row>
    <row r="500" s="35" customFormat="true" ht="23.85" hidden="false" customHeight="false" outlineLevel="0" collapsed="false">
      <c r="A500" s="23" t="n">
        <v>16</v>
      </c>
      <c r="B500" s="24"/>
      <c r="C500" s="25" t="s">
        <v>197</v>
      </c>
      <c r="D500" s="26" t="s">
        <v>35</v>
      </c>
      <c r="E500" s="27" t="n">
        <v>9</v>
      </c>
      <c r="F500" s="20"/>
      <c r="G500" s="29" t="n">
        <f aca="false">E500*F500</f>
        <v>0</v>
      </c>
      <c r="H500" s="34"/>
      <c r="I500" s="58"/>
    </row>
    <row r="501" s="35" customFormat="true" ht="14.25" hidden="false" customHeight="false" outlineLevel="0" collapsed="false">
      <c r="A501" s="23" t="n">
        <v>17</v>
      </c>
      <c r="B501" s="24"/>
      <c r="C501" s="25" t="s">
        <v>198</v>
      </c>
      <c r="D501" s="26" t="s">
        <v>35</v>
      </c>
      <c r="E501" s="27" t="n">
        <v>7.5</v>
      </c>
      <c r="F501" s="20"/>
      <c r="G501" s="29" t="n">
        <f aca="false">E501*F501</f>
        <v>0</v>
      </c>
      <c r="H501" s="34"/>
      <c r="I501" s="58"/>
    </row>
    <row r="502" s="35" customFormat="true" ht="14.25" hidden="false" customHeight="false" outlineLevel="0" collapsed="false">
      <c r="A502" s="23" t="n">
        <v>18</v>
      </c>
      <c r="B502" s="24"/>
      <c r="C502" s="25" t="s">
        <v>216</v>
      </c>
      <c r="D502" s="26" t="s">
        <v>68</v>
      </c>
      <c r="E502" s="48" t="n">
        <v>4</v>
      </c>
      <c r="F502" s="20"/>
      <c r="G502" s="29" t="n">
        <f aca="false">E502*F502</f>
        <v>0</v>
      </c>
      <c r="H502" s="34"/>
      <c r="I502" s="58"/>
    </row>
    <row r="503" s="35" customFormat="true" ht="14.25" hidden="false" customHeight="false" outlineLevel="0" collapsed="false">
      <c r="A503" s="23" t="n">
        <v>19</v>
      </c>
      <c r="B503" s="24"/>
      <c r="C503" s="25" t="s">
        <v>199</v>
      </c>
      <c r="D503" s="26" t="s">
        <v>35</v>
      </c>
      <c r="E503" s="27" t="n">
        <v>1</v>
      </c>
      <c r="F503" s="20"/>
      <c r="G503" s="29" t="n">
        <f aca="false">E503*F503</f>
        <v>0</v>
      </c>
      <c r="H503" s="34"/>
      <c r="I503" s="58"/>
    </row>
    <row r="504" s="35" customFormat="true" ht="14.25" hidden="false" customHeight="false" outlineLevel="0" collapsed="false">
      <c r="A504" s="23" t="n">
        <v>20</v>
      </c>
      <c r="B504" s="24"/>
      <c r="C504" s="25" t="s">
        <v>202</v>
      </c>
      <c r="D504" s="26" t="s">
        <v>68</v>
      </c>
      <c r="E504" s="48" t="n">
        <v>6</v>
      </c>
      <c r="F504" s="20"/>
      <c r="G504" s="29" t="n">
        <f aca="false">E504*F504</f>
        <v>0</v>
      </c>
      <c r="H504" s="34"/>
      <c r="I504" s="58"/>
    </row>
    <row r="505" s="35" customFormat="true" ht="14.25" hidden="false" customHeight="false" outlineLevel="0" collapsed="false">
      <c r="A505" s="23" t="n">
        <v>21</v>
      </c>
      <c r="B505" s="24"/>
      <c r="C505" s="25" t="s">
        <v>228</v>
      </c>
      <c r="D505" s="26" t="s">
        <v>68</v>
      </c>
      <c r="E505" s="48" t="n">
        <v>1</v>
      </c>
      <c r="F505" s="20"/>
      <c r="G505" s="29" t="n">
        <f aca="false">E505*F505</f>
        <v>0</v>
      </c>
      <c r="H505" s="34"/>
      <c r="I505" s="58"/>
    </row>
    <row r="506" s="35" customFormat="true" ht="14.25" hidden="false" customHeight="false" outlineLevel="0" collapsed="false">
      <c r="A506" s="23" t="n">
        <v>22</v>
      </c>
      <c r="B506" s="24"/>
      <c r="C506" s="25" t="s">
        <v>229</v>
      </c>
      <c r="D506" s="26" t="s">
        <v>68</v>
      </c>
      <c r="E506" s="48" t="n">
        <v>1</v>
      </c>
      <c r="F506" s="20"/>
      <c r="G506" s="29" t="n">
        <f aca="false">E506*F506</f>
        <v>0</v>
      </c>
      <c r="H506" s="34"/>
      <c r="I506" s="58"/>
    </row>
    <row r="507" s="35" customFormat="true" ht="14.25" hidden="false" customHeight="false" outlineLevel="0" collapsed="false">
      <c r="A507" s="23" t="n">
        <v>23</v>
      </c>
      <c r="B507" s="24"/>
      <c r="C507" s="25" t="s">
        <v>230</v>
      </c>
      <c r="D507" s="26" t="s">
        <v>20</v>
      </c>
      <c r="E507" s="27" t="n">
        <v>2</v>
      </c>
      <c r="F507" s="20"/>
      <c r="G507" s="29" t="n">
        <f aca="false">E507*F507</f>
        <v>0</v>
      </c>
      <c r="H507" s="34"/>
      <c r="I507" s="58"/>
    </row>
    <row r="508" s="35" customFormat="true" ht="14.25" hidden="false" customHeight="false" outlineLevel="0" collapsed="false">
      <c r="A508" s="23" t="n">
        <v>24</v>
      </c>
      <c r="B508" s="24"/>
      <c r="C508" s="25" t="s">
        <v>270</v>
      </c>
      <c r="D508" s="26" t="s">
        <v>68</v>
      </c>
      <c r="E508" s="48" t="n">
        <v>1</v>
      </c>
      <c r="F508" s="20"/>
      <c r="G508" s="29" t="n">
        <f aca="false">E508*F508</f>
        <v>0</v>
      </c>
      <c r="H508" s="34"/>
      <c r="I508" s="58"/>
    </row>
    <row r="509" s="35" customFormat="true" ht="14.25" hidden="false" customHeight="false" outlineLevel="0" collapsed="false">
      <c r="A509" s="23" t="n">
        <v>25</v>
      </c>
      <c r="B509" s="24"/>
      <c r="C509" s="25" t="s">
        <v>271</v>
      </c>
      <c r="D509" s="26" t="s">
        <v>68</v>
      </c>
      <c r="E509" s="48" t="n">
        <v>2</v>
      </c>
      <c r="F509" s="20"/>
      <c r="G509" s="29" t="n">
        <f aca="false">E509*F509</f>
        <v>0</v>
      </c>
      <c r="H509" s="34"/>
      <c r="I509" s="58"/>
    </row>
    <row r="510" s="35" customFormat="true" ht="14.25" hidden="false" customHeight="false" outlineLevel="0" collapsed="false">
      <c r="A510" s="23" t="n">
        <v>26</v>
      </c>
      <c r="B510" s="24"/>
      <c r="C510" s="25" t="s">
        <v>272</v>
      </c>
      <c r="D510" s="26" t="s">
        <v>68</v>
      </c>
      <c r="E510" s="48" t="n">
        <v>2</v>
      </c>
      <c r="F510" s="20"/>
      <c r="G510" s="29" t="n">
        <f aca="false">E510*F510</f>
        <v>0</v>
      </c>
      <c r="H510" s="34"/>
      <c r="I510" s="58"/>
    </row>
    <row r="511" s="35" customFormat="true" ht="14.25" hidden="false" customHeight="false" outlineLevel="0" collapsed="false">
      <c r="A511" s="23" t="n">
        <v>27</v>
      </c>
      <c r="B511" s="24"/>
      <c r="C511" s="25" t="s">
        <v>273</v>
      </c>
      <c r="D511" s="26" t="s">
        <v>68</v>
      </c>
      <c r="E511" s="48" t="n">
        <v>1</v>
      </c>
      <c r="F511" s="20"/>
      <c r="G511" s="29" t="n">
        <f aca="false">E511*F511</f>
        <v>0</v>
      </c>
      <c r="H511" s="34"/>
      <c r="I511" s="58"/>
    </row>
    <row r="512" s="35" customFormat="true" ht="14.25" hidden="false" customHeight="false" outlineLevel="0" collapsed="false">
      <c r="A512" s="23" t="n">
        <v>28</v>
      </c>
      <c r="B512" s="24"/>
      <c r="C512" s="25" t="s">
        <v>274</v>
      </c>
      <c r="D512" s="26" t="s">
        <v>68</v>
      </c>
      <c r="E512" s="48" t="n">
        <v>1</v>
      </c>
      <c r="F512" s="20"/>
      <c r="G512" s="29" t="n">
        <f aca="false">E512*F512</f>
        <v>0</v>
      </c>
      <c r="H512" s="34"/>
      <c r="I512" s="58"/>
    </row>
    <row r="513" s="35" customFormat="true" ht="14.25" hidden="false" customHeight="false" outlineLevel="0" collapsed="false">
      <c r="A513" s="23" t="n">
        <v>29</v>
      </c>
      <c r="B513" s="24"/>
      <c r="C513" s="25" t="s">
        <v>210</v>
      </c>
      <c r="D513" s="26" t="s">
        <v>68</v>
      </c>
      <c r="E513" s="48" t="n">
        <v>2</v>
      </c>
      <c r="F513" s="20"/>
      <c r="G513" s="29" t="n">
        <f aca="false">E513*F513</f>
        <v>0</v>
      </c>
      <c r="H513" s="34"/>
      <c r="I513" s="58"/>
    </row>
    <row r="514" s="35" customFormat="true" ht="14.25" hidden="false" customHeight="false" outlineLevel="0" collapsed="false">
      <c r="A514" s="23" t="n">
        <v>30</v>
      </c>
      <c r="B514" s="24"/>
      <c r="C514" s="25" t="s">
        <v>275</v>
      </c>
      <c r="D514" s="26" t="s">
        <v>20</v>
      </c>
      <c r="E514" s="27" t="n">
        <v>1</v>
      </c>
      <c r="F514" s="20"/>
      <c r="G514" s="29" t="n">
        <f aca="false">E514*F514</f>
        <v>0</v>
      </c>
      <c r="H514" s="34"/>
      <c r="I514" s="58"/>
    </row>
    <row r="515" s="35" customFormat="true" ht="14.25" hidden="false" customHeight="true" outlineLevel="0" collapsed="false">
      <c r="A515" s="57" t="s">
        <v>276</v>
      </c>
      <c r="B515" s="57"/>
      <c r="C515" s="57"/>
      <c r="D515" s="57"/>
      <c r="E515" s="57"/>
      <c r="F515" s="57"/>
      <c r="G515" s="57"/>
      <c r="H515" s="34"/>
      <c r="I515" s="58"/>
    </row>
    <row r="516" s="35" customFormat="true" ht="23.85" hidden="false" customHeight="false" outlineLevel="0" collapsed="false">
      <c r="A516" s="23" t="n">
        <v>1</v>
      </c>
      <c r="B516" s="24"/>
      <c r="C516" s="25" t="s">
        <v>180</v>
      </c>
      <c r="D516" s="26" t="s">
        <v>17</v>
      </c>
      <c r="E516" s="27" t="n">
        <v>9.1</v>
      </c>
      <c r="F516" s="20"/>
      <c r="G516" s="29" t="n">
        <f aca="false">E516*F516</f>
        <v>0</v>
      </c>
      <c r="H516" s="34"/>
      <c r="I516" s="58"/>
    </row>
    <row r="517" s="35" customFormat="true" ht="14.25" hidden="false" customHeight="false" outlineLevel="0" collapsed="false">
      <c r="A517" s="23" t="n">
        <v>2</v>
      </c>
      <c r="B517" s="24"/>
      <c r="C517" s="25" t="s">
        <v>181</v>
      </c>
      <c r="D517" s="26" t="s">
        <v>17</v>
      </c>
      <c r="E517" s="27" t="n">
        <v>2.3</v>
      </c>
      <c r="F517" s="20"/>
      <c r="G517" s="29" t="n">
        <f aca="false">E517*F517</f>
        <v>0</v>
      </c>
      <c r="H517" s="34"/>
      <c r="I517" s="58"/>
    </row>
    <row r="518" s="35" customFormat="true" ht="14.25" hidden="false" customHeight="false" outlineLevel="0" collapsed="false">
      <c r="A518" s="23" t="n">
        <v>3</v>
      </c>
      <c r="B518" s="24"/>
      <c r="C518" s="25" t="s">
        <v>182</v>
      </c>
      <c r="D518" s="26" t="s">
        <v>17</v>
      </c>
      <c r="E518" s="27" t="n">
        <v>3.8</v>
      </c>
      <c r="F518" s="20"/>
      <c r="G518" s="29" t="n">
        <f aca="false">E518*F518</f>
        <v>0</v>
      </c>
      <c r="H518" s="34"/>
      <c r="I518" s="58"/>
    </row>
    <row r="519" s="35" customFormat="true" ht="23.85" hidden="false" customHeight="false" outlineLevel="0" collapsed="false">
      <c r="A519" s="23" t="n">
        <v>4</v>
      </c>
      <c r="B519" s="24"/>
      <c r="C519" s="25" t="s">
        <v>41</v>
      </c>
      <c r="D519" s="26" t="s">
        <v>17</v>
      </c>
      <c r="E519" s="27" t="n">
        <v>9.9</v>
      </c>
      <c r="F519" s="20"/>
      <c r="G519" s="29" t="n">
        <f aca="false">E519*F519</f>
        <v>0</v>
      </c>
      <c r="H519" s="34"/>
      <c r="I519" s="58"/>
    </row>
    <row r="520" s="35" customFormat="true" ht="14.25" hidden="false" customHeight="false" outlineLevel="0" collapsed="false">
      <c r="A520" s="23" t="n">
        <v>5</v>
      </c>
      <c r="B520" s="24"/>
      <c r="C520" s="25" t="s">
        <v>42</v>
      </c>
      <c r="D520" s="26" t="s">
        <v>17</v>
      </c>
      <c r="E520" s="27" t="n">
        <v>1.5</v>
      </c>
      <c r="F520" s="20"/>
      <c r="G520" s="29" t="n">
        <f aca="false">E520*F520</f>
        <v>0</v>
      </c>
      <c r="H520" s="34"/>
      <c r="I520" s="58"/>
    </row>
    <row r="521" s="35" customFormat="true" ht="23.85" hidden="false" customHeight="false" outlineLevel="0" collapsed="false">
      <c r="A521" s="23" t="n">
        <v>6</v>
      </c>
      <c r="B521" s="24"/>
      <c r="C521" s="25" t="s">
        <v>43</v>
      </c>
      <c r="D521" s="26" t="s">
        <v>17</v>
      </c>
      <c r="E521" s="27" t="n">
        <v>7.6</v>
      </c>
      <c r="F521" s="20"/>
      <c r="G521" s="29" t="n">
        <f aca="false">E521*F521</f>
        <v>0</v>
      </c>
      <c r="H521" s="34"/>
      <c r="I521" s="58"/>
    </row>
    <row r="522" s="35" customFormat="true" ht="14.25" hidden="false" customHeight="false" outlineLevel="0" collapsed="false">
      <c r="A522" s="23" t="n">
        <v>7</v>
      </c>
      <c r="B522" s="24"/>
      <c r="C522" s="25" t="s">
        <v>183</v>
      </c>
      <c r="D522" s="26" t="s">
        <v>35</v>
      </c>
      <c r="E522" s="27" t="n">
        <v>0.5</v>
      </c>
      <c r="F522" s="20"/>
      <c r="G522" s="29" t="n">
        <f aca="false">E522*F522</f>
        <v>0</v>
      </c>
      <c r="H522" s="34"/>
      <c r="I522" s="58"/>
    </row>
    <row r="523" s="35" customFormat="true" ht="14.25" hidden="false" customHeight="false" outlineLevel="0" collapsed="false">
      <c r="A523" s="23" t="n">
        <v>8</v>
      </c>
      <c r="B523" s="24"/>
      <c r="C523" s="25" t="s">
        <v>184</v>
      </c>
      <c r="D523" s="26" t="s">
        <v>35</v>
      </c>
      <c r="E523" s="27" t="n">
        <v>0.9</v>
      </c>
      <c r="F523" s="20"/>
      <c r="G523" s="29" t="n">
        <f aca="false">E523*F523</f>
        <v>0</v>
      </c>
      <c r="H523" s="34"/>
      <c r="I523" s="58"/>
    </row>
    <row r="524" s="35" customFormat="true" ht="14.25" hidden="false" customHeight="false" outlineLevel="0" collapsed="false">
      <c r="A524" s="23" t="n">
        <v>9</v>
      </c>
      <c r="B524" s="24"/>
      <c r="C524" s="25" t="s">
        <v>186</v>
      </c>
      <c r="D524" s="26" t="s">
        <v>35</v>
      </c>
      <c r="E524" s="27" t="n">
        <v>0.54</v>
      </c>
      <c r="F524" s="20"/>
      <c r="G524" s="29" t="n">
        <f aca="false">E524*F524</f>
        <v>0</v>
      </c>
      <c r="H524" s="34"/>
      <c r="I524" s="58"/>
    </row>
    <row r="525" s="35" customFormat="true" ht="23.85" hidden="false" customHeight="false" outlineLevel="0" collapsed="false">
      <c r="A525" s="23" t="n">
        <v>10</v>
      </c>
      <c r="B525" s="24"/>
      <c r="C525" s="25" t="s">
        <v>189</v>
      </c>
      <c r="D525" s="26" t="s">
        <v>188</v>
      </c>
      <c r="E525" s="27" t="n">
        <v>23.96</v>
      </c>
      <c r="F525" s="20"/>
      <c r="G525" s="29" t="n">
        <f aca="false">E525*F525</f>
        <v>0</v>
      </c>
      <c r="H525" s="34"/>
      <c r="I525" s="58"/>
    </row>
    <row r="526" s="35" customFormat="true" ht="14.25" hidden="false" customHeight="false" outlineLevel="0" collapsed="false">
      <c r="A526" s="23" t="n">
        <v>11</v>
      </c>
      <c r="B526" s="24"/>
      <c r="C526" s="25" t="s">
        <v>190</v>
      </c>
      <c r="D526" s="26" t="s">
        <v>17</v>
      </c>
      <c r="E526" s="27" t="n">
        <v>0.2</v>
      </c>
      <c r="F526" s="20"/>
      <c r="G526" s="29" t="n">
        <f aca="false">E526*F526</f>
        <v>0</v>
      </c>
      <c r="H526" s="34"/>
      <c r="I526" s="58"/>
    </row>
    <row r="527" s="35" customFormat="true" ht="14.25" hidden="false" customHeight="false" outlineLevel="0" collapsed="false">
      <c r="A527" s="23" t="n">
        <v>12</v>
      </c>
      <c r="B527" s="24"/>
      <c r="C527" s="25" t="s">
        <v>191</v>
      </c>
      <c r="D527" s="26" t="s">
        <v>17</v>
      </c>
      <c r="E527" s="27" t="n">
        <v>0.41</v>
      </c>
      <c r="F527" s="20"/>
      <c r="G527" s="29" t="n">
        <f aca="false">E527*F527</f>
        <v>0</v>
      </c>
      <c r="H527" s="34"/>
      <c r="I527" s="58"/>
    </row>
    <row r="528" s="35" customFormat="true" ht="14.25" hidden="false" customHeight="false" outlineLevel="0" collapsed="false">
      <c r="A528" s="23" t="n">
        <v>13</v>
      </c>
      <c r="B528" s="24"/>
      <c r="C528" s="25" t="s">
        <v>193</v>
      </c>
      <c r="D528" s="26" t="s">
        <v>17</v>
      </c>
      <c r="E528" s="27" t="n">
        <v>0.09</v>
      </c>
      <c r="F528" s="20"/>
      <c r="G528" s="29" t="n">
        <f aca="false">E528*F528</f>
        <v>0</v>
      </c>
      <c r="H528" s="34"/>
      <c r="I528" s="58"/>
    </row>
    <row r="529" s="35" customFormat="true" ht="14.25" hidden="false" customHeight="false" outlineLevel="0" collapsed="false">
      <c r="A529" s="23" t="n">
        <v>14</v>
      </c>
      <c r="B529" s="24"/>
      <c r="C529" s="25" t="s">
        <v>215</v>
      </c>
      <c r="D529" s="26" t="s">
        <v>17</v>
      </c>
      <c r="E529" s="27" t="n">
        <v>0.7</v>
      </c>
      <c r="F529" s="20"/>
      <c r="G529" s="29" t="n">
        <f aca="false">E529*F529</f>
        <v>0</v>
      </c>
      <c r="H529" s="34"/>
      <c r="I529" s="58"/>
    </row>
    <row r="530" s="35" customFormat="true" ht="14.25" hidden="false" customHeight="false" outlineLevel="0" collapsed="false">
      <c r="A530" s="23" t="n">
        <v>15</v>
      </c>
      <c r="B530" s="24"/>
      <c r="C530" s="25" t="s">
        <v>195</v>
      </c>
      <c r="D530" s="26" t="s">
        <v>15</v>
      </c>
      <c r="E530" s="27" t="n">
        <v>0.25</v>
      </c>
      <c r="F530" s="20"/>
      <c r="G530" s="29" t="n">
        <f aca="false">E530*F530</f>
        <v>0</v>
      </c>
      <c r="H530" s="34"/>
      <c r="I530" s="58"/>
    </row>
    <row r="531" s="35" customFormat="true" ht="23.85" hidden="false" customHeight="false" outlineLevel="0" collapsed="false">
      <c r="A531" s="23" t="n">
        <v>16</v>
      </c>
      <c r="B531" s="24"/>
      <c r="C531" s="25" t="s">
        <v>197</v>
      </c>
      <c r="D531" s="26" t="s">
        <v>35</v>
      </c>
      <c r="E531" s="27" t="n">
        <v>9</v>
      </c>
      <c r="F531" s="20"/>
      <c r="G531" s="29" t="n">
        <f aca="false">E531*F531</f>
        <v>0</v>
      </c>
      <c r="H531" s="34"/>
      <c r="I531" s="58"/>
    </row>
    <row r="532" s="35" customFormat="true" ht="14.25" hidden="false" customHeight="false" outlineLevel="0" collapsed="false">
      <c r="A532" s="23" t="n">
        <v>17</v>
      </c>
      <c r="B532" s="24"/>
      <c r="C532" s="25" t="s">
        <v>198</v>
      </c>
      <c r="D532" s="26" t="s">
        <v>35</v>
      </c>
      <c r="E532" s="27" t="n">
        <v>7.5</v>
      </c>
      <c r="F532" s="20"/>
      <c r="G532" s="29" t="n">
        <f aca="false">E532*F532</f>
        <v>0</v>
      </c>
      <c r="H532" s="34"/>
      <c r="I532" s="58"/>
    </row>
    <row r="533" s="35" customFormat="true" ht="14.25" hidden="false" customHeight="false" outlineLevel="0" collapsed="false">
      <c r="A533" s="23" t="n">
        <v>18</v>
      </c>
      <c r="B533" s="24"/>
      <c r="C533" s="25" t="s">
        <v>216</v>
      </c>
      <c r="D533" s="26" t="s">
        <v>68</v>
      </c>
      <c r="E533" s="48" t="n">
        <v>4</v>
      </c>
      <c r="F533" s="20"/>
      <c r="G533" s="29" t="n">
        <f aca="false">E533*F533</f>
        <v>0</v>
      </c>
      <c r="H533" s="34"/>
      <c r="I533" s="58"/>
    </row>
    <row r="534" s="35" customFormat="true" ht="14.25" hidden="false" customHeight="false" outlineLevel="0" collapsed="false">
      <c r="A534" s="23" t="n">
        <v>19</v>
      </c>
      <c r="B534" s="24"/>
      <c r="C534" s="25" t="s">
        <v>199</v>
      </c>
      <c r="D534" s="26" t="s">
        <v>35</v>
      </c>
      <c r="E534" s="27" t="n">
        <v>1</v>
      </c>
      <c r="F534" s="20"/>
      <c r="G534" s="29" t="n">
        <f aca="false">E534*F534</f>
        <v>0</v>
      </c>
      <c r="H534" s="34"/>
      <c r="I534" s="58"/>
    </row>
    <row r="535" s="35" customFormat="true" ht="14.25" hidden="false" customHeight="false" outlineLevel="0" collapsed="false">
      <c r="A535" s="23" t="n">
        <v>20</v>
      </c>
      <c r="B535" s="24"/>
      <c r="C535" s="25" t="s">
        <v>202</v>
      </c>
      <c r="D535" s="26" t="s">
        <v>68</v>
      </c>
      <c r="E535" s="48" t="n">
        <v>6</v>
      </c>
      <c r="F535" s="20"/>
      <c r="G535" s="29" t="n">
        <f aca="false">E535*F535</f>
        <v>0</v>
      </c>
      <c r="H535" s="34"/>
      <c r="I535" s="58"/>
    </row>
    <row r="536" s="35" customFormat="true" ht="14.25" hidden="false" customHeight="false" outlineLevel="0" collapsed="false">
      <c r="A536" s="23" t="n">
        <v>21</v>
      </c>
      <c r="B536" s="24"/>
      <c r="C536" s="25" t="s">
        <v>228</v>
      </c>
      <c r="D536" s="26" t="s">
        <v>68</v>
      </c>
      <c r="E536" s="48" t="n">
        <v>1</v>
      </c>
      <c r="F536" s="20"/>
      <c r="G536" s="29" t="n">
        <f aca="false">E536*F536</f>
        <v>0</v>
      </c>
      <c r="H536" s="34"/>
      <c r="I536" s="58"/>
    </row>
    <row r="537" s="35" customFormat="true" ht="14.25" hidden="false" customHeight="false" outlineLevel="0" collapsed="false">
      <c r="A537" s="23" t="n">
        <v>22</v>
      </c>
      <c r="B537" s="24"/>
      <c r="C537" s="25" t="s">
        <v>229</v>
      </c>
      <c r="D537" s="26" t="s">
        <v>68</v>
      </c>
      <c r="E537" s="48" t="n">
        <v>1</v>
      </c>
      <c r="F537" s="20"/>
      <c r="G537" s="29" t="n">
        <f aca="false">E537*F537</f>
        <v>0</v>
      </c>
      <c r="H537" s="34"/>
      <c r="I537" s="58"/>
    </row>
    <row r="538" s="35" customFormat="true" ht="14.25" hidden="false" customHeight="false" outlineLevel="0" collapsed="false">
      <c r="A538" s="23" t="n">
        <v>23</v>
      </c>
      <c r="B538" s="24"/>
      <c r="C538" s="25" t="s">
        <v>230</v>
      </c>
      <c r="D538" s="26" t="s">
        <v>20</v>
      </c>
      <c r="E538" s="27" t="n">
        <v>2</v>
      </c>
      <c r="F538" s="20"/>
      <c r="G538" s="29" t="n">
        <f aca="false">E538*F538</f>
        <v>0</v>
      </c>
      <c r="H538" s="34"/>
      <c r="I538" s="58"/>
    </row>
    <row r="539" s="35" customFormat="true" ht="14.25" hidden="false" customHeight="false" outlineLevel="0" collapsed="false">
      <c r="A539" s="23" t="n">
        <v>24</v>
      </c>
      <c r="B539" s="24"/>
      <c r="C539" s="25" t="s">
        <v>89</v>
      </c>
      <c r="D539" s="26" t="s">
        <v>68</v>
      </c>
      <c r="E539" s="48" t="n">
        <v>1</v>
      </c>
      <c r="F539" s="20"/>
      <c r="G539" s="29" t="n">
        <f aca="false">E539*F539</f>
        <v>0</v>
      </c>
      <c r="H539" s="34"/>
      <c r="I539" s="58"/>
    </row>
    <row r="540" s="35" customFormat="true" ht="14.25" hidden="false" customHeight="false" outlineLevel="0" collapsed="false">
      <c r="A540" s="23" t="n">
        <v>25</v>
      </c>
      <c r="B540" s="24"/>
      <c r="C540" s="25" t="s">
        <v>231</v>
      </c>
      <c r="D540" s="26" t="s">
        <v>68</v>
      </c>
      <c r="E540" s="48" t="n">
        <v>2</v>
      </c>
      <c r="F540" s="20"/>
      <c r="G540" s="29" t="n">
        <f aca="false">E540*F540</f>
        <v>0</v>
      </c>
      <c r="H540" s="34"/>
      <c r="I540" s="58"/>
    </row>
    <row r="541" s="35" customFormat="true" ht="14.25" hidden="false" customHeight="false" outlineLevel="0" collapsed="false">
      <c r="A541" s="23" t="n">
        <v>26</v>
      </c>
      <c r="B541" s="24"/>
      <c r="C541" s="25" t="s">
        <v>232</v>
      </c>
      <c r="D541" s="26" t="s">
        <v>68</v>
      </c>
      <c r="E541" s="48" t="n">
        <v>2</v>
      </c>
      <c r="F541" s="20"/>
      <c r="G541" s="29" t="n">
        <f aca="false">E541*F541</f>
        <v>0</v>
      </c>
      <c r="H541" s="34"/>
      <c r="I541" s="58"/>
    </row>
    <row r="542" s="35" customFormat="true" ht="14.25" hidden="false" customHeight="false" outlineLevel="0" collapsed="false">
      <c r="A542" s="23" t="n">
        <v>27</v>
      </c>
      <c r="B542" s="24"/>
      <c r="C542" s="25" t="s">
        <v>233</v>
      </c>
      <c r="D542" s="26" t="s">
        <v>68</v>
      </c>
      <c r="E542" s="48" t="n">
        <v>1</v>
      </c>
      <c r="F542" s="20"/>
      <c r="G542" s="29" t="n">
        <f aca="false">E542*F542</f>
        <v>0</v>
      </c>
      <c r="H542" s="34"/>
      <c r="I542" s="58"/>
    </row>
    <row r="543" s="35" customFormat="true" ht="14.25" hidden="false" customHeight="false" outlineLevel="0" collapsed="false">
      <c r="A543" s="23" t="n">
        <v>28</v>
      </c>
      <c r="B543" s="24"/>
      <c r="C543" s="25" t="s">
        <v>234</v>
      </c>
      <c r="D543" s="26" t="s">
        <v>68</v>
      </c>
      <c r="E543" s="48" t="n">
        <v>1</v>
      </c>
      <c r="F543" s="20"/>
      <c r="G543" s="29" t="n">
        <f aca="false">E543*F543</f>
        <v>0</v>
      </c>
      <c r="H543" s="34"/>
      <c r="I543" s="58"/>
    </row>
    <row r="544" s="35" customFormat="true" ht="14.25" hidden="false" customHeight="false" outlineLevel="0" collapsed="false">
      <c r="A544" s="23" t="n">
        <v>29</v>
      </c>
      <c r="B544" s="24"/>
      <c r="C544" s="25" t="s">
        <v>210</v>
      </c>
      <c r="D544" s="26" t="s">
        <v>68</v>
      </c>
      <c r="E544" s="48" t="n">
        <v>2</v>
      </c>
      <c r="F544" s="20"/>
      <c r="G544" s="29" t="n">
        <f aca="false">E544*F544</f>
        <v>0</v>
      </c>
      <c r="H544" s="34"/>
      <c r="I544" s="58"/>
    </row>
    <row r="545" s="35" customFormat="true" ht="14.25" hidden="false" customHeight="false" outlineLevel="0" collapsed="false">
      <c r="A545" s="23" t="n">
        <v>30</v>
      </c>
      <c r="B545" s="24"/>
      <c r="C545" s="25" t="s">
        <v>235</v>
      </c>
      <c r="D545" s="26" t="s">
        <v>20</v>
      </c>
      <c r="E545" s="27" t="n">
        <v>1</v>
      </c>
      <c r="F545" s="20"/>
      <c r="G545" s="29" t="n">
        <f aca="false">E545*F545</f>
        <v>0</v>
      </c>
      <c r="H545" s="34"/>
      <c r="I545" s="58"/>
    </row>
    <row r="546" s="35" customFormat="true" ht="14.25" hidden="false" customHeight="true" outlineLevel="0" collapsed="false">
      <c r="A546" s="57" t="s">
        <v>277</v>
      </c>
      <c r="B546" s="57"/>
      <c r="C546" s="57"/>
      <c r="D546" s="57"/>
      <c r="E546" s="57"/>
      <c r="F546" s="57"/>
      <c r="G546" s="57"/>
      <c r="H546" s="34"/>
      <c r="I546" s="58"/>
    </row>
    <row r="547" s="35" customFormat="true" ht="14.25" hidden="false" customHeight="false" outlineLevel="0" collapsed="false">
      <c r="A547" s="23" t="n">
        <v>1</v>
      </c>
      <c r="B547" s="24"/>
      <c r="C547" s="25" t="s">
        <v>237</v>
      </c>
      <c r="D547" s="26" t="s">
        <v>238</v>
      </c>
      <c r="E547" s="27" t="n">
        <v>0.228</v>
      </c>
      <c r="F547" s="20"/>
      <c r="G547" s="29" t="n">
        <f aca="false">E547*F547</f>
        <v>0</v>
      </c>
      <c r="H547" s="34"/>
      <c r="I547" s="58"/>
    </row>
    <row r="548" s="35" customFormat="true" ht="14.25" hidden="false" customHeight="false" outlineLevel="0" collapsed="false">
      <c r="A548" s="23" t="n">
        <v>2</v>
      </c>
      <c r="B548" s="24"/>
      <c r="C548" s="25" t="s">
        <v>278</v>
      </c>
      <c r="D548" s="26" t="s">
        <v>188</v>
      </c>
      <c r="E548" s="27" t="n">
        <v>63.2</v>
      </c>
      <c r="F548" s="20"/>
      <c r="G548" s="29" t="n">
        <f aca="false">E548*F548</f>
        <v>0</v>
      </c>
      <c r="H548" s="34"/>
      <c r="I548" s="58"/>
    </row>
    <row r="549" s="35" customFormat="true" ht="14.25" hidden="false" customHeight="false" outlineLevel="0" collapsed="false">
      <c r="A549" s="23" t="n">
        <v>3</v>
      </c>
      <c r="B549" s="24"/>
      <c r="C549" s="25" t="s">
        <v>240</v>
      </c>
      <c r="D549" s="26" t="s">
        <v>188</v>
      </c>
      <c r="E549" s="27" t="n">
        <v>24.89</v>
      </c>
      <c r="F549" s="20"/>
      <c r="G549" s="29" t="n">
        <f aca="false">E549*F549</f>
        <v>0</v>
      </c>
      <c r="H549" s="34"/>
      <c r="I549" s="58"/>
    </row>
    <row r="550" s="35" customFormat="true" ht="23.85" hidden="false" customHeight="false" outlineLevel="0" collapsed="false">
      <c r="A550" s="23" t="n">
        <v>4</v>
      </c>
      <c r="B550" s="24"/>
      <c r="C550" s="25" t="s">
        <v>241</v>
      </c>
      <c r="D550" s="26" t="s">
        <v>17</v>
      </c>
      <c r="E550" s="27" t="n">
        <v>60.3</v>
      </c>
      <c r="F550" s="20"/>
      <c r="G550" s="29" t="n">
        <f aca="false">E550*F550</f>
        <v>0</v>
      </c>
      <c r="H550" s="34"/>
      <c r="I550" s="58"/>
    </row>
    <row r="551" s="35" customFormat="true" ht="23.85" hidden="false" customHeight="false" outlineLevel="0" collapsed="false">
      <c r="A551" s="23" t="n">
        <v>5</v>
      </c>
      <c r="B551" s="24"/>
      <c r="C551" s="25" t="s">
        <v>242</v>
      </c>
      <c r="D551" s="26" t="s">
        <v>17</v>
      </c>
      <c r="E551" s="27" t="n">
        <v>10.6</v>
      </c>
      <c r="F551" s="20"/>
      <c r="G551" s="29" t="n">
        <f aca="false">E551*F551</f>
        <v>0</v>
      </c>
      <c r="H551" s="34"/>
      <c r="I551" s="58"/>
    </row>
    <row r="552" s="35" customFormat="true" ht="14.25" hidden="false" customHeight="false" outlineLevel="0" collapsed="false">
      <c r="A552" s="23" t="n">
        <v>6</v>
      </c>
      <c r="B552" s="24"/>
      <c r="C552" s="25" t="s">
        <v>243</v>
      </c>
      <c r="D552" s="26" t="s">
        <v>35</v>
      </c>
      <c r="E552" s="27" t="n">
        <v>29.5</v>
      </c>
      <c r="F552" s="20"/>
      <c r="G552" s="29" t="n">
        <f aca="false">E552*F552</f>
        <v>0</v>
      </c>
      <c r="H552" s="34"/>
      <c r="I552" s="58"/>
    </row>
    <row r="553" s="35" customFormat="true" ht="14.25" hidden="false" customHeight="false" outlineLevel="0" collapsed="false">
      <c r="A553" s="23" t="n">
        <v>7</v>
      </c>
      <c r="B553" s="24"/>
      <c r="C553" s="25" t="s">
        <v>244</v>
      </c>
      <c r="D553" s="26" t="s">
        <v>17</v>
      </c>
      <c r="E553" s="27" t="n">
        <v>12.6</v>
      </c>
      <c r="F553" s="20"/>
      <c r="G553" s="29" t="n">
        <f aca="false">E553*F553</f>
        <v>0</v>
      </c>
      <c r="H553" s="34"/>
      <c r="I553" s="58"/>
    </row>
    <row r="554" s="35" customFormat="true" ht="23.85" hidden="false" customHeight="false" outlineLevel="0" collapsed="false">
      <c r="A554" s="23" t="n">
        <v>8</v>
      </c>
      <c r="B554" s="24"/>
      <c r="C554" s="25" t="s">
        <v>245</v>
      </c>
      <c r="D554" s="26" t="s">
        <v>188</v>
      </c>
      <c r="E554" s="27" t="n">
        <v>317</v>
      </c>
      <c r="F554" s="20"/>
      <c r="G554" s="29" t="n">
        <f aca="false">E554*F554</f>
        <v>0</v>
      </c>
      <c r="H554" s="34"/>
      <c r="I554" s="58"/>
    </row>
    <row r="555" s="35" customFormat="true" ht="14.25" hidden="false" customHeight="false" outlineLevel="0" collapsed="false">
      <c r="A555" s="23" t="n">
        <v>9</v>
      </c>
      <c r="B555" s="24"/>
      <c r="C555" s="25" t="s">
        <v>246</v>
      </c>
      <c r="D555" s="26" t="s">
        <v>17</v>
      </c>
      <c r="E555" s="27" t="n">
        <v>3.9</v>
      </c>
      <c r="F555" s="20"/>
      <c r="G555" s="29" t="n">
        <f aca="false">E555*F555</f>
        <v>0</v>
      </c>
      <c r="H555" s="34"/>
      <c r="I555" s="58"/>
    </row>
    <row r="556" s="35" customFormat="true" ht="14.25" hidden="false" customHeight="false" outlineLevel="0" collapsed="false">
      <c r="A556" s="23" t="n">
        <v>10</v>
      </c>
      <c r="B556" s="24"/>
      <c r="C556" s="25" t="s">
        <v>247</v>
      </c>
      <c r="D556" s="26" t="s">
        <v>17</v>
      </c>
      <c r="E556" s="27" t="n">
        <v>20.6</v>
      </c>
      <c r="F556" s="20"/>
      <c r="G556" s="29" t="n">
        <f aca="false">E556*F556</f>
        <v>0</v>
      </c>
      <c r="H556" s="34"/>
      <c r="I556" s="58"/>
    </row>
    <row r="557" s="35" customFormat="true" ht="14.25" hidden="false" customHeight="false" outlineLevel="0" collapsed="false">
      <c r="A557" s="23" t="n">
        <v>11</v>
      </c>
      <c r="B557" s="24"/>
      <c r="C557" s="25" t="s">
        <v>248</v>
      </c>
      <c r="D557" s="26" t="s">
        <v>35</v>
      </c>
      <c r="E557" s="27" t="n">
        <v>54</v>
      </c>
      <c r="F557" s="20"/>
      <c r="G557" s="29" t="n">
        <f aca="false">E557*F557</f>
        <v>0</v>
      </c>
      <c r="H557" s="34"/>
      <c r="I557" s="58"/>
    </row>
    <row r="558" s="35" customFormat="true" ht="14.25" hidden="false" customHeight="false" outlineLevel="0" collapsed="false">
      <c r="A558" s="23" t="n">
        <v>12</v>
      </c>
      <c r="B558" s="24"/>
      <c r="C558" s="25" t="s">
        <v>249</v>
      </c>
      <c r="D558" s="26" t="s">
        <v>17</v>
      </c>
      <c r="E558" s="27" t="n">
        <v>360</v>
      </c>
      <c r="F558" s="20"/>
      <c r="G558" s="29" t="n">
        <f aca="false">E558*F558</f>
        <v>0</v>
      </c>
      <c r="H558" s="34"/>
      <c r="I558" s="58"/>
    </row>
    <row r="559" s="35" customFormat="true" ht="14.25" hidden="false" customHeight="false" outlineLevel="0" collapsed="false">
      <c r="A559" s="23" t="n">
        <v>13</v>
      </c>
      <c r="B559" s="24"/>
      <c r="C559" s="25" t="s">
        <v>250</v>
      </c>
      <c r="D559" s="26" t="s">
        <v>17</v>
      </c>
      <c r="E559" s="27" t="n">
        <v>360</v>
      </c>
      <c r="F559" s="20"/>
      <c r="G559" s="29" t="n">
        <f aca="false">E559*F559</f>
        <v>0</v>
      </c>
      <c r="H559" s="34"/>
      <c r="I559" s="58"/>
    </row>
    <row r="560" s="35" customFormat="true" ht="14.25" hidden="false" customHeight="true" outlineLevel="0" collapsed="false">
      <c r="A560" s="57" t="s">
        <v>279</v>
      </c>
      <c r="B560" s="57"/>
      <c r="C560" s="57"/>
      <c r="D560" s="57"/>
      <c r="E560" s="57"/>
      <c r="F560" s="57"/>
      <c r="G560" s="57"/>
      <c r="H560" s="34"/>
      <c r="I560" s="58"/>
    </row>
    <row r="561" s="35" customFormat="true" ht="14.25" hidden="false" customHeight="false" outlineLevel="0" collapsed="false">
      <c r="A561" s="23" t="n">
        <v>1</v>
      </c>
      <c r="B561" s="24"/>
      <c r="C561" s="25" t="s">
        <v>252</v>
      </c>
      <c r="D561" s="26" t="s">
        <v>253</v>
      </c>
      <c r="E561" s="27" t="n">
        <v>0.2</v>
      </c>
      <c r="F561" s="20"/>
      <c r="G561" s="29" t="n">
        <f aca="false">E561*F561</f>
        <v>0</v>
      </c>
      <c r="H561" s="34"/>
      <c r="I561" s="58"/>
    </row>
    <row r="562" s="35" customFormat="true" ht="14.25" hidden="false" customHeight="false" outlineLevel="0" collapsed="false">
      <c r="A562" s="23" t="n">
        <v>2</v>
      </c>
      <c r="B562" s="24"/>
      <c r="C562" s="25" t="s">
        <v>254</v>
      </c>
      <c r="D562" s="26" t="s">
        <v>17</v>
      </c>
      <c r="E562" s="27" t="n">
        <v>10</v>
      </c>
      <c r="F562" s="20"/>
      <c r="G562" s="29" t="n">
        <f aca="false">E562*F562</f>
        <v>0</v>
      </c>
      <c r="H562" s="34"/>
      <c r="I562" s="58"/>
    </row>
    <row r="563" s="35" customFormat="true" ht="14.25" hidden="false" customHeight="false" outlineLevel="0" collapsed="false">
      <c r="A563" s="23" t="n">
        <v>3</v>
      </c>
      <c r="B563" s="24"/>
      <c r="C563" s="25" t="s">
        <v>255</v>
      </c>
      <c r="D563" s="26" t="s">
        <v>17</v>
      </c>
      <c r="E563" s="27" t="n">
        <v>10</v>
      </c>
      <c r="F563" s="20"/>
      <c r="G563" s="29" t="n">
        <f aca="false">E563*F563</f>
        <v>0</v>
      </c>
      <c r="H563" s="34"/>
      <c r="I563" s="58"/>
    </row>
    <row r="564" s="35" customFormat="true" ht="14.25" hidden="false" customHeight="false" outlineLevel="0" collapsed="false">
      <c r="A564" s="23" t="n">
        <v>4</v>
      </c>
      <c r="B564" s="24"/>
      <c r="C564" s="25" t="s">
        <v>280</v>
      </c>
      <c r="D564" s="26" t="s">
        <v>17</v>
      </c>
      <c r="E564" s="27" t="n">
        <v>10</v>
      </c>
      <c r="F564" s="20"/>
      <c r="G564" s="29" t="n">
        <f aca="false">E564*F564</f>
        <v>0</v>
      </c>
      <c r="H564" s="34"/>
      <c r="I564" s="58"/>
    </row>
    <row r="565" s="35" customFormat="true" ht="14.25" hidden="false" customHeight="false" outlineLevel="0" collapsed="false">
      <c r="A565" s="23" t="n">
        <v>5</v>
      </c>
      <c r="B565" s="24"/>
      <c r="C565" s="25" t="s">
        <v>249</v>
      </c>
      <c r="D565" s="26" t="s">
        <v>17</v>
      </c>
      <c r="E565" s="27" t="n">
        <v>360</v>
      </c>
      <c r="F565" s="20"/>
      <c r="G565" s="29" t="n">
        <f aca="false">E565*F565</f>
        <v>0</v>
      </c>
      <c r="H565" s="34"/>
      <c r="I565" s="58"/>
    </row>
    <row r="566" s="35" customFormat="true" ht="14.25" hidden="false" customHeight="false" outlineLevel="0" collapsed="false">
      <c r="A566" s="23" t="n">
        <v>6</v>
      </c>
      <c r="B566" s="24"/>
      <c r="C566" s="25" t="s">
        <v>250</v>
      </c>
      <c r="D566" s="26" t="s">
        <v>17</v>
      </c>
      <c r="E566" s="27" t="n">
        <v>360</v>
      </c>
      <c r="F566" s="20"/>
      <c r="G566" s="29" t="n">
        <f aca="false">E566*F566</f>
        <v>0</v>
      </c>
      <c r="H566" s="34"/>
      <c r="I566" s="58"/>
    </row>
    <row r="567" s="35" customFormat="true" ht="14.25" hidden="false" customHeight="false" outlineLevel="0" collapsed="false">
      <c r="A567" s="23" t="n">
        <v>7</v>
      </c>
      <c r="B567" s="24"/>
      <c r="C567" s="25" t="s">
        <v>281</v>
      </c>
      <c r="D567" s="26" t="s">
        <v>17</v>
      </c>
      <c r="E567" s="27" t="n">
        <v>10</v>
      </c>
      <c r="F567" s="20"/>
      <c r="G567" s="29" t="n">
        <f aca="false">E567*F567</f>
        <v>0</v>
      </c>
      <c r="H567" s="34"/>
      <c r="I567" s="58"/>
    </row>
    <row r="568" s="35" customFormat="true" ht="14.25" hidden="false" customHeight="false" outlineLevel="0" collapsed="false">
      <c r="A568" s="23" t="n">
        <v>8</v>
      </c>
      <c r="B568" s="24"/>
      <c r="C568" s="25" t="s">
        <v>282</v>
      </c>
      <c r="D568" s="26" t="s">
        <v>35</v>
      </c>
      <c r="E568" s="27" t="n">
        <v>12</v>
      </c>
      <c r="F568" s="20"/>
      <c r="G568" s="29" t="n">
        <f aca="false">E568*F568</f>
        <v>0</v>
      </c>
      <c r="H568" s="34"/>
      <c r="I568" s="58"/>
    </row>
    <row r="569" s="35" customFormat="true" ht="14.25" hidden="false" customHeight="false" outlineLevel="0" collapsed="false">
      <c r="A569" s="23" t="n">
        <v>9</v>
      </c>
      <c r="B569" s="24"/>
      <c r="C569" s="25" t="s">
        <v>283</v>
      </c>
      <c r="D569" s="26" t="s">
        <v>35</v>
      </c>
      <c r="E569" s="27" t="n">
        <v>12</v>
      </c>
      <c r="F569" s="20"/>
      <c r="G569" s="29" t="n">
        <f aca="false">E569*F569</f>
        <v>0</v>
      </c>
      <c r="H569" s="34"/>
      <c r="I569" s="58"/>
    </row>
    <row r="570" s="35" customFormat="true" ht="14.25" hidden="false" customHeight="false" outlineLevel="0" collapsed="false">
      <c r="A570" s="23" t="n">
        <v>10</v>
      </c>
      <c r="B570" s="24"/>
      <c r="C570" s="25" t="s">
        <v>284</v>
      </c>
      <c r="D570" s="26" t="s">
        <v>35</v>
      </c>
      <c r="E570" s="27" t="n">
        <v>3</v>
      </c>
      <c r="F570" s="20"/>
      <c r="G570" s="29" t="n">
        <f aca="false">E570*F570</f>
        <v>0</v>
      </c>
      <c r="H570" s="34"/>
      <c r="I570" s="58"/>
    </row>
    <row r="571" s="35" customFormat="true" ht="23.85" hidden="false" customHeight="false" outlineLevel="0" collapsed="false">
      <c r="A571" s="23" t="n">
        <v>11</v>
      </c>
      <c r="B571" s="24"/>
      <c r="C571" s="25" t="s">
        <v>245</v>
      </c>
      <c r="D571" s="26" t="s">
        <v>188</v>
      </c>
      <c r="E571" s="27" t="n">
        <v>90</v>
      </c>
      <c r="F571" s="20"/>
      <c r="G571" s="29" t="n">
        <f aca="false">E571*F571</f>
        <v>0</v>
      </c>
      <c r="H571" s="34"/>
      <c r="I571" s="58"/>
    </row>
    <row r="572" s="35" customFormat="true" ht="14.25" hidden="false" customHeight="false" outlineLevel="0" collapsed="false">
      <c r="A572" s="23" t="n">
        <v>12</v>
      </c>
      <c r="B572" s="24"/>
      <c r="C572" s="25" t="s">
        <v>285</v>
      </c>
      <c r="D572" s="26" t="s">
        <v>17</v>
      </c>
      <c r="E572" s="27" t="n">
        <v>1.6</v>
      </c>
      <c r="F572" s="20"/>
      <c r="G572" s="29" t="n">
        <f aca="false">E572*F572</f>
        <v>0</v>
      </c>
      <c r="H572" s="34"/>
      <c r="I572" s="58"/>
    </row>
    <row r="573" s="35" customFormat="true" ht="14.25" hidden="false" customHeight="false" outlineLevel="0" collapsed="false">
      <c r="A573" s="23" t="n">
        <v>13</v>
      </c>
      <c r="B573" s="24"/>
      <c r="C573" s="25" t="s">
        <v>247</v>
      </c>
      <c r="D573" s="26" t="s">
        <v>17</v>
      </c>
      <c r="E573" s="27" t="n">
        <v>7</v>
      </c>
      <c r="F573" s="20"/>
      <c r="G573" s="29" t="n">
        <f aca="false">E573*F573</f>
        <v>0</v>
      </c>
      <c r="H573" s="34"/>
      <c r="I573" s="58"/>
    </row>
    <row r="574" s="35" customFormat="true" ht="14.25" hidden="false" customHeight="true" outlineLevel="0" collapsed="false">
      <c r="A574" s="57" t="s">
        <v>286</v>
      </c>
      <c r="B574" s="57"/>
      <c r="C574" s="57"/>
      <c r="D574" s="57"/>
      <c r="E574" s="57"/>
      <c r="F574" s="57"/>
      <c r="G574" s="57"/>
      <c r="H574" s="34"/>
      <c r="I574" s="58"/>
    </row>
    <row r="575" s="35" customFormat="true" ht="14.25" hidden="false" customHeight="false" outlineLevel="0" collapsed="false">
      <c r="A575" s="23" t="n">
        <v>1</v>
      </c>
      <c r="B575" s="24"/>
      <c r="C575" s="25" t="s">
        <v>252</v>
      </c>
      <c r="D575" s="26" t="s">
        <v>287</v>
      </c>
      <c r="E575" s="27" t="n">
        <v>0.2</v>
      </c>
      <c r="F575" s="20"/>
      <c r="G575" s="29" t="n">
        <f aca="false">E575*F575</f>
        <v>0</v>
      </c>
      <c r="H575" s="34"/>
      <c r="I575" s="58"/>
    </row>
    <row r="576" s="35" customFormat="true" ht="14.25" hidden="false" customHeight="false" outlineLevel="0" collapsed="false">
      <c r="A576" s="23" t="n">
        <v>2</v>
      </c>
      <c r="B576" s="24"/>
      <c r="C576" s="25" t="s">
        <v>254</v>
      </c>
      <c r="D576" s="26" t="s">
        <v>17</v>
      </c>
      <c r="E576" s="27" t="n">
        <v>10</v>
      </c>
      <c r="F576" s="20"/>
      <c r="G576" s="29" t="n">
        <f aca="false">E576*F576</f>
        <v>0</v>
      </c>
      <c r="H576" s="34"/>
      <c r="I576" s="58"/>
    </row>
    <row r="577" s="35" customFormat="true" ht="14.25" hidden="false" customHeight="false" outlineLevel="0" collapsed="false">
      <c r="A577" s="23" t="n">
        <v>3</v>
      </c>
      <c r="B577" s="24"/>
      <c r="C577" s="25" t="s">
        <v>255</v>
      </c>
      <c r="D577" s="26" t="s">
        <v>17</v>
      </c>
      <c r="E577" s="27" t="n">
        <v>10</v>
      </c>
      <c r="F577" s="20"/>
      <c r="G577" s="29" t="n">
        <f aca="false">E577*F577</f>
        <v>0</v>
      </c>
      <c r="H577" s="34"/>
      <c r="I577" s="58"/>
    </row>
    <row r="578" s="35" customFormat="true" ht="14.25" hidden="false" customHeight="false" outlineLevel="0" collapsed="false">
      <c r="A578" s="23" t="n">
        <v>4</v>
      </c>
      <c r="B578" s="24"/>
      <c r="C578" s="25" t="s">
        <v>256</v>
      </c>
      <c r="D578" s="26" t="s">
        <v>17</v>
      </c>
      <c r="E578" s="27" t="n">
        <v>10</v>
      </c>
      <c r="F578" s="20"/>
      <c r="G578" s="29" t="n">
        <f aca="false">E578*F578</f>
        <v>0</v>
      </c>
      <c r="H578" s="34"/>
      <c r="I578" s="58"/>
    </row>
    <row r="579" s="35" customFormat="true" ht="14.25" hidden="false" customHeight="false" outlineLevel="0" collapsed="false">
      <c r="A579" s="23" t="n">
        <v>5</v>
      </c>
      <c r="B579" s="24"/>
      <c r="C579" s="25" t="s">
        <v>257</v>
      </c>
      <c r="D579" s="26" t="s">
        <v>17</v>
      </c>
      <c r="E579" s="27" t="n">
        <v>60.3</v>
      </c>
      <c r="F579" s="20"/>
      <c r="G579" s="29" t="n">
        <f aca="false">E579*F579</f>
        <v>0</v>
      </c>
      <c r="H579" s="34"/>
      <c r="I579" s="58"/>
    </row>
    <row r="580" s="35" customFormat="true" ht="14.25" hidden="false" customHeight="false" outlineLevel="0" collapsed="false">
      <c r="A580" s="23" t="n">
        <v>6</v>
      </c>
      <c r="B580" s="24"/>
      <c r="C580" s="25" t="s">
        <v>42</v>
      </c>
      <c r="D580" s="26" t="s">
        <v>17</v>
      </c>
      <c r="E580" s="27" t="n">
        <v>10.6</v>
      </c>
      <c r="F580" s="20"/>
      <c r="G580" s="29" t="n">
        <f aca="false">E580*F580</f>
        <v>0</v>
      </c>
      <c r="H580" s="34"/>
      <c r="I580" s="58"/>
    </row>
    <row r="581" s="35" customFormat="true" ht="14.25" hidden="false" customHeight="false" outlineLevel="0" collapsed="false">
      <c r="A581" s="23" t="n">
        <v>7</v>
      </c>
      <c r="B581" s="24"/>
      <c r="C581" s="25" t="s">
        <v>288</v>
      </c>
      <c r="D581" s="26" t="s">
        <v>35</v>
      </c>
      <c r="E581" s="27" t="n">
        <v>29.5</v>
      </c>
      <c r="F581" s="20"/>
      <c r="G581" s="29" t="n">
        <f aca="false">E581*F581</f>
        <v>0</v>
      </c>
      <c r="H581" s="34"/>
      <c r="I581" s="58"/>
    </row>
    <row r="582" s="35" customFormat="true" ht="14.25" hidden="false" customHeight="false" outlineLevel="0" collapsed="false">
      <c r="A582" s="23" t="n">
        <v>8</v>
      </c>
      <c r="B582" s="24"/>
      <c r="C582" s="25" t="s">
        <v>244</v>
      </c>
      <c r="D582" s="26" t="s">
        <v>17</v>
      </c>
      <c r="E582" s="27" t="n">
        <v>12.6</v>
      </c>
      <c r="F582" s="20"/>
      <c r="G582" s="29" t="n">
        <f aca="false">E582*F582</f>
        <v>0</v>
      </c>
      <c r="H582" s="34"/>
      <c r="I582" s="58"/>
    </row>
    <row r="583" s="35" customFormat="true" ht="23.85" hidden="false" customHeight="false" outlineLevel="0" collapsed="false">
      <c r="A583" s="23" t="n">
        <v>9</v>
      </c>
      <c r="B583" s="24"/>
      <c r="C583" s="25" t="s">
        <v>245</v>
      </c>
      <c r="D583" s="26" t="s">
        <v>188</v>
      </c>
      <c r="E583" s="27" t="n">
        <v>317</v>
      </c>
      <c r="F583" s="20"/>
      <c r="G583" s="29" t="n">
        <f aca="false">E583*F583</f>
        <v>0</v>
      </c>
      <c r="H583" s="34"/>
      <c r="I583" s="58"/>
    </row>
    <row r="584" s="35" customFormat="true" ht="14.25" hidden="false" customHeight="false" outlineLevel="0" collapsed="false">
      <c r="A584" s="23" t="n">
        <v>10</v>
      </c>
      <c r="B584" s="24"/>
      <c r="C584" s="25" t="s">
        <v>246</v>
      </c>
      <c r="D584" s="26" t="s">
        <v>17</v>
      </c>
      <c r="E584" s="27" t="n">
        <v>3.9</v>
      </c>
      <c r="F584" s="20"/>
      <c r="G584" s="29" t="n">
        <f aca="false">E584*F584</f>
        <v>0</v>
      </c>
      <c r="H584" s="34"/>
      <c r="I584" s="58"/>
    </row>
    <row r="585" s="35" customFormat="true" ht="14.25" hidden="false" customHeight="false" outlineLevel="0" collapsed="false">
      <c r="A585" s="23" t="n">
        <v>11</v>
      </c>
      <c r="B585" s="24"/>
      <c r="C585" s="25" t="s">
        <v>247</v>
      </c>
      <c r="D585" s="26" t="s">
        <v>17</v>
      </c>
      <c r="E585" s="27" t="n">
        <v>20.6</v>
      </c>
      <c r="F585" s="20"/>
      <c r="G585" s="29" t="n">
        <f aca="false">E585*F585</f>
        <v>0</v>
      </c>
      <c r="H585" s="34"/>
      <c r="I585" s="58"/>
    </row>
    <row r="586" s="35" customFormat="true" ht="14.25" hidden="false" customHeight="false" outlineLevel="0" collapsed="false">
      <c r="A586" s="23" t="n">
        <v>12</v>
      </c>
      <c r="B586" s="24"/>
      <c r="C586" s="25" t="s">
        <v>248</v>
      </c>
      <c r="D586" s="26" t="s">
        <v>35</v>
      </c>
      <c r="E586" s="27" t="n">
        <v>54</v>
      </c>
      <c r="F586" s="20"/>
      <c r="G586" s="29" t="n">
        <f aca="false">E586*F586</f>
        <v>0</v>
      </c>
      <c r="H586" s="34"/>
      <c r="I586" s="58"/>
    </row>
    <row r="587" s="35" customFormat="true" ht="14.25" hidden="false" customHeight="true" outlineLevel="0" collapsed="false">
      <c r="A587" s="57" t="s">
        <v>289</v>
      </c>
      <c r="B587" s="57"/>
      <c r="C587" s="57"/>
      <c r="D587" s="57"/>
      <c r="E587" s="57"/>
      <c r="F587" s="57"/>
      <c r="G587" s="57"/>
      <c r="H587" s="34"/>
      <c r="I587" s="58"/>
    </row>
    <row r="588" s="35" customFormat="true" ht="14.25" hidden="false" customHeight="false" outlineLevel="0" collapsed="false">
      <c r="A588" s="23" t="n">
        <v>1</v>
      </c>
      <c r="B588" s="24"/>
      <c r="C588" s="25" t="s">
        <v>252</v>
      </c>
      <c r="D588" s="26" t="s">
        <v>253</v>
      </c>
      <c r="E588" s="27" t="n">
        <v>0.2</v>
      </c>
      <c r="F588" s="20"/>
      <c r="G588" s="29" t="n">
        <f aca="false">E588*F588</f>
        <v>0</v>
      </c>
      <c r="H588" s="34"/>
      <c r="I588" s="58"/>
    </row>
    <row r="589" s="35" customFormat="true" ht="14.25" hidden="false" customHeight="false" outlineLevel="0" collapsed="false">
      <c r="A589" s="23" t="n">
        <v>2</v>
      </c>
      <c r="B589" s="24"/>
      <c r="C589" s="25" t="s">
        <v>254</v>
      </c>
      <c r="D589" s="26" t="s">
        <v>17</v>
      </c>
      <c r="E589" s="27" t="n">
        <v>10</v>
      </c>
      <c r="F589" s="20"/>
      <c r="G589" s="29" t="n">
        <f aca="false">E589*F589</f>
        <v>0</v>
      </c>
      <c r="H589" s="34"/>
      <c r="I589" s="58"/>
    </row>
    <row r="590" s="35" customFormat="true" ht="14.25" hidden="false" customHeight="false" outlineLevel="0" collapsed="false">
      <c r="A590" s="23" t="n">
        <v>3</v>
      </c>
      <c r="B590" s="24"/>
      <c r="C590" s="25" t="s">
        <v>255</v>
      </c>
      <c r="D590" s="26" t="s">
        <v>17</v>
      </c>
      <c r="E590" s="27" t="n">
        <v>10</v>
      </c>
      <c r="F590" s="20"/>
      <c r="G590" s="29" t="n">
        <f aca="false">E590*F590</f>
        <v>0</v>
      </c>
      <c r="H590" s="34"/>
      <c r="I590" s="58"/>
    </row>
    <row r="591" s="35" customFormat="true" ht="14.25" hidden="false" customHeight="false" outlineLevel="0" collapsed="false">
      <c r="A591" s="23" t="n">
        <v>4</v>
      </c>
      <c r="B591" s="24"/>
      <c r="C591" s="25" t="s">
        <v>256</v>
      </c>
      <c r="D591" s="26" t="s">
        <v>17</v>
      </c>
      <c r="E591" s="27" t="n">
        <v>10</v>
      </c>
      <c r="F591" s="20"/>
      <c r="G591" s="29" t="n">
        <f aca="false">E591*F591</f>
        <v>0</v>
      </c>
      <c r="H591" s="34"/>
      <c r="I591" s="58"/>
    </row>
    <row r="592" s="35" customFormat="true" ht="14.25" hidden="false" customHeight="false" outlineLevel="0" collapsed="false">
      <c r="A592" s="23" t="n">
        <v>5</v>
      </c>
      <c r="B592" s="24"/>
      <c r="C592" s="25" t="s">
        <v>257</v>
      </c>
      <c r="D592" s="26" t="s">
        <v>17</v>
      </c>
      <c r="E592" s="27" t="n">
        <v>10</v>
      </c>
      <c r="F592" s="20"/>
      <c r="G592" s="29" t="n">
        <f aca="false">E592*F592</f>
        <v>0</v>
      </c>
      <c r="H592" s="34"/>
      <c r="I592" s="58"/>
    </row>
    <row r="593" s="35" customFormat="true" ht="14.25" hidden="false" customHeight="false" outlineLevel="0" collapsed="false">
      <c r="A593" s="23" t="n">
        <v>6</v>
      </c>
      <c r="B593" s="24"/>
      <c r="C593" s="25" t="s">
        <v>282</v>
      </c>
      <c r="D593" s="26" t="s">
        <v>35</v>
      </c>
      <c r="E593" s="27" t="n">
        <v>12</v>
      </c>
      <c r="F593" s="20"/>
      <c r="G593" s="29" t="n">
        <f aca="false">E593*F593</f>
        <v>0</v>
      </c>
      <c r="H593" s="34"/>
      <c r="I593" s="58"/>
    </row>
    <row r="594" s="35" customFormat="true" ht="14.25" hidden="false" customHeight="false" outlineLevel="0" collapsed="false">
      <c r="A594" s="23" t="n">
        <v>7</v>
      </c>
      <c r="B594" s="24"/>
      <c r="C594" s="25" t="s">
        <v>283</v>
      </c>
      <c r="D594" s="26" t="s">
        <v>35</v>
      </c>
      <c r="E594" s="27" t="n">
        <v>12</v>
      </c>
      <c r="F594" s="20"/>
      <c r="G594" s="29" t="n">
        <f aca="false">E594*F594</f>
        <v>0</v>
      </c>
      <c r="H594" s="34"/>
      <c r="I594" s="58"/>
    </row>
    <row r="595" s="35" customFormat="true" ht="14.25" hidden="false" customHeight="false" outlineLevel="0" collapsed="false">
      <c r="A595" s="23" t="n">
        <v>8</v>
      </c>
      <c r="B595" s="24"/>
      <c r="C595" s="25" t="s">
        <v>243</v>
      </c>
      <c r="D595" s="26" t="s">
        <v>35</v>
      </c>
      <c r="E595" s="27" t="n">
        <v>3</v>
      </c>
      <c r="F595" s="20"/>
      <c r="G595" s="29" t="n">
        <f aca="false">E595*F595</f>
        <v>0</v>
      </c>
      <c r="H595" s="34"/>
      <c r="I595" s="58"/>
    </row>
    <row r="596" s="35" customFormat="true" ht="23.85" hidden="false" customHeight="false" outlineLevel="0" collapsed="false">
      <c r="A596" s="23" t="n">
        <v>9</v>
      </c>
      <c r="B596" s="24"/>
      <c r="C596" s="25" t="s">
        <v>245</v>
      </c>
      <c r="D596" s="26" t="s">
        <v>188</v>
      </c>
      <c r="E596" s="27" t="n">
        <v>90</v>
      </c>
      <c r="F596" s="20"/>
      <c r="G596" s="29" t="n">
        <f aca="false">E596*F596</f>
        <v>0</v>
      </c>
      <c r="H596" s="34"/>
      <c r="I596" s="58"/>
    </row>
    <row r="597" s="35" customFormat="true" ht="14.25" hidden="false" customHeight="false" outlineLevel="0" collapsed="false">
      <c r="A597" s="23" t="n">
        <v>10</v>
      </c>
      <c r="B597" s="24"/>
      <c r="C597" s="25" t="s">
        <v>285</v>
      </c>
      <c r="D597" s="26" t="s">
        <v>17</v>
      </c>
      <c r="E597" s="27" t="n">
        <v>1.6</v>
      </c>
      <c r="F597" s="20"/>
      <c r="G597" s="29" t="n">
        <f aca="false">E597*F597</f>
        <v>0</v>
      </c>
      <c r="H597" s="34"/>
      <c r="I597" s="58"/>
    </row>
    <row r="598" s="35" customFormat="true" ht="14.25" hidden="false" customHeight="false" outlineLevel="0" collapsed="false">
      <c r="A598" s="23" t="n">
        <v>11</v>
      </c>
      <c r="B598" s="24"/>
      <c r="C598" s="25" t="s">
        <v>247</v>
      </c>
      <c r="D598" s="26" t="s">
        <v>17</v>
      </c>
      <c r="E598" s="27" t="n">
        <v>7</v>
      </c>
      <c r="F598" s="20"/>
      <c r="G598" s="29" t="n">
        <f aca="false">E598*F598</f>
        <v>0</v>
      </c>
      <c r="H598" s="34"/>
      <c r="I598" s="58"/>
    </row>
    <row r="599" s="35" customFormat="true" ht="14.25" hidden="false" customHeight="true" outlineLevel="0" collapsed="false">
      <c r="A599" s="57" t="s">
        <v>290</v>
      </c>
      <c r="B599" s="57"/>
      <c r="C599" s="57"/>
      <c r="D599" s="57"/>
      <c r="E599" s="57"/>
      <c r="F599" s="57"/>
      <c r="G599" s="57"/>
      <c r="H599" s="34"/>
      <c r="I599" s="58"/>
    </row>
    <row r="600" s="35" customFormat="true" ht="23.85" hidden="false" customHeight="false" outlineLevel="0" collapsed="false">
      <c r="A600" s="23" t="n">
        <v>1</v>
      </c>
      <c r="B600" s="24"/>
      <c r="C600" s="25" t="s">
        <v>241</v>
      </c>
      <c r="D600" s="26" t="s">
        <v>17</v>
      </c>
      <c r="E600" s="27" t="n">
        <v>1.8</v>
      </c>
      <c r="F600" s="20"/>
      <c r="G600" s="29" t="n">
        <f aca="false">E600*F600</f>
        <v>0</v>
      </c>
      <c r="H600" s="34"/>
      <c r="I600" s="58"/>
    </row>
    <row r="601" s="35" customFormat="true" ht="14.25" hidden="false" customHeight="false" outlineLevel="0" collapsed="false">
      <c r="A601" s="23" t="n">
        <v>2</v>
      </c>
      <c r="B601" s="24"/>
      <c r="C601" s="25" t="s">
        <v>42</v>
      </c>
      <c r="D601" s="26" t="s">
        <v>17</v>
      </c>
      <c r="E601" s="27" t="n">
        <v>0.9</v>
      </c>
      <c r="F601" s="20"/>
      <c r="G601" s="29" t="n">
        <f aca="false">E601*F601</f>
        <v>0</v>
      </c>
      <c r="H601" s="34"/>
      <c r="I601" s="58"/>
    </row>
    <row r="602" s="35" customFormat="true" ht="14.25" hidden="false" customHeight="false" outlineLevel="0" collapsed="false">
      <c r="A602" s="23" t="n">
        <v>3</v>
      </c>
      <c r="B602" s="24"/>
      <c r="C602" s="25" t="s">
        <v>259</v>
      </c>
      <c r="D602" s="26" t="s">
        <v>35</v>
      </c>
      <c r="E602" s="27" t="n">
        <v>4.6</v>
      </c>
      <c r="F602" s="20"/>
      <c r="G602" s="29" t="n">
        <f aca="false">E602*F602</f>
        <v>0</v>
      </c>
      <c r="H602" s="34"/>
      <c r="I602" s="58"/>
    </row>
    <row r="603" s="35" customFormat="true" ht="14.25" hidden="false" customHeight="false" outlineLevel="0" collapsed="false">
      <c r="A603" s="23" t="n">
        <v>4</v>
      </c>
      <c r="B603" s="24"/>
      <c r="C603" s="25" t="s">
        <v>244</v>
      </c>
      <c r="D603" s="26" t="s">
        <v>17</v>
      </c>
      <c r="E603" s="27" t="n">
        <v>0.8</v>
      </c>
      <c r="F603" s="20"/>
      <c r="G603" s="29" t="n">
        <f aca="false">E603*F603</f>
        <v>0</v>
      </c>
      <c r="H603" s="34"/>
      <c r="I603" s="58"/>
    </row>
    <row r="604" s="35" customFormat="true" ht="14.25" hidden="false" customHeight="false" outlineLevel="0" collapsed="false">
      <c r="A604" s="23" t="n">
        <v>5</v>
      </c>
      <c r="B604" s="24"/>
      <c r="C604" s="25" t="s">
        <v>260</v>
      </c>
      <c r="D604" s="26" t="s">
        <v>188</v>
      </c>
      <c r="E604" s="27" t="n">
        <v>0.5</v>
      </c>
      <c r="F604" s="20"/>
      <c r="G604" s="29" t="n">
        <f aca="false">E604*F604</f>
        <v>0</v>
      </c>
      <c r="H604" s="34"/>
      <c r="I604" s="58"/>
    </row>
    <row r="605" s="35" customFormat="true" ht="14.25" hidden="false" customHeight="true" outlineLevel="0" collapsed="false">
      <c r="A605" s="57" t="s">
        <v>291</v>
      </c>
      <c r="B605" s="57"/>
      <c r="C605" s="57"/>
      <c r="D605" s="57"/>
      <c r="E605" s="57"/>
      <c r="F605" s="57"/>
      <c r="G605" s="57"/>
      <c r="H605" s="34"/>
      <c r="I605" s="58"/>
    </row>
    <row r="606" s="35" customFormat="true" ht="23.85" hidden="false" customHeight="false" outlineLevel="0" collapsed="false">
      <c r="A606" s="23" t="n">
        <v>1</v>
      </c>
      <c r="B606" s="24"/>
      <c r="C606" s="25" t="s">
        <v>180</v>
      </c>
      <c r="D606" s="26" t="s">
        <v>17</v>
      </c>
      <c r="E606" s="27" t="n">
        <v>51.2</v>
      </c>
      <c r="F606" s="20"/>
      <c r="G606" s="29" t="n">
        <f aca="false">E606*F606</f>
        <v>0</v>
      </c>
      <c r="H606" s="34"/>
      <c r="I606" s="58"/>
    </row>
    <row r="607" s="35" customFormat="true" ht="23.85" hidden="false" customHeight="false" outlineLevel="0" collapsed="false">
      <c r="A607" s="23" t="n">
        <v>2</v>
      </c>
      <c r="B607" s="24"/>
      <c r="C607" s="25" t="s">
        <v>262</v>
      </c>
      <c r="D607" s="26" t="s">
        <v>17</v>
      </c>
      <c r="E607" s="27" t="n">
        <v>12.8</v>
      </c>
      <c r="F607" s="20"/>
      <c r="G607" s="29" t="n">
        <f aca="false">E607*F607</f>
        <v>0</v>
      </c>
      <c r="H607" s="34"/>
      <c r="I607" s="58"/>
    </row>
    <row r="608" s="35" customFormat="true" ht="23.85" hidden="false" customHeight="false" outlineLevel="0" collapsed="false">
      <c r="A608" s="23" t="n">
        <v>3</v>
      </c>
      <c r="B608" s="24"/>
      <c r="C608" s="25" t="s">
        <v>41</v>
      </c>
      <c r="D608" s="26" t="s">
        <v>17</v>
      </c>
      <c r="E608" s="27" t="n">
        <v>46.7</v>
      </c>
      <c r="F608" s="20"/>
      <c r="G608" s="29" t="n">
        <f aca="false">E608*F608</f>
        <v>0</v>
      </c>
      <c r="H608" s="34"/>
      <c r="I608" s="58"/>
    </row>
    <row r="609" s="35" customFormat="true" ht="14.25" hidden="false" customHeight="false" outlineLevel="0" collapsed="false">
      <c r="A609" s="23" t="n">
        <v>4</v>
      </c>
      <c r="B609" s="24"/>
      <c r="C609" s="25" t="s">
        <v>42</v>
      </c>
      <c r="D609" s="26" t="s">
        <v>17</v>
      </c>
      <c r="E609" s="27" t="n">
        <v>11.7</v>
      </c>
      <c r="F609" s="20"/>
      <c r="G609" s="29" t="n">
        <f aca="false">E609*F609</f>
        <v>0</v>
      </c>
      <c r="H609" s="34"/>
      <c r="I609" s="58"/>
    </row>
    <row r="610" s="35" customFormat="true" ht="23.85" hidden="false" customHeight="false" outlineLevel="0" collapsed="false">
      <c r="A610" s="23" t="n">
        <v>5</v>
      </c>
      <c r="B610" s="24"/>
      <c r="C610" s="25" t="s">
        <v>263</v>
      </c>
      <c r="D610" s="26" t="s">
        <v>17</v>
      </c>
      <c r="E610" s="27" t="n">
        <v>3.8</v>
      </c>
      <c r="F610" s="20"/>
      <c r="G610" s="29" t="n">
        <f aca="false">E610*F610</f>
        <v>0</v>
      </c>
      <c r="H610" s="34"/>
      <c r="I610" s="58"/>
    </row>
    <row r="611" s="35" customFormat="true" ht="23.85" hidden="false" customHeight="false" outlineLevel="0" collapsed="false">
      <c r="A611" s="23" t="n">
        <v>6</v>
      </c>
      <c r="B611" s="24"/>
      <c r="C611" s="25" t="s">
        <v>264</v>
      </c>
      <c r="D611" s="26" t="s">
        <v>17</v>
      </c>
      <c r="E611" s="27" t="n">
        <v>0.8</v>
      </c>
      <c r="F611" s="20"/>
      <c r="G611" s="29" t="n">
        <f aca="false">E611*F611</f>
        <v>0</v>
      </c>
      <c r="H611" s="34"/>
      <c r="I611" s="58"/>
    </row>
    <row r="612" s="35" customFormat="true" ht="23.85" hidden="false" customHeight="false" outlineLevel="0" collapsed="false">
      <c r="A612" s="23" t="n">
        <v>7</v>
      </c>
      <c r="B612" s="24"/>
      <c r="C612" s="25" t="s">
        <v>43</v>
      </c>
      <c r="D612" s="26" t="s">
        <v>17</v>
      </c>
      <c r="E612" s="27" t="n">
        <v>4.6</v>
      </c>
      <c r="F612" s="20"/>
      <c r="G612" s="29" t="n">
        <f aca="false">E612*F612</f>
        <v>0</v>
      </c>
      <c r="H612" s="34"/>
      <c r="I612" s="58"/>
    </row>
    <row r="613" s="35" customFormat="true" ht="23.85" hidden="false" customHeight="false" outlineLevel="0" collapsed="false">
      <c r="A613" s="23" t="n">
        <v>8</v>
      </c>
      <c r="B613" s="24"/>
      <c r="C613" s="25" t="s">
        <v>265</v>
      </c>
      <c r="D613" s="26" t="s">
        <v>20</v>
      </c>
      <c r="E613" s="27" t="n">
        <v>15</v>
      </c>
      <c r="F613" s="20"/>
      <c r="G613" s="29" t="n">
        <f aca="false">E613*F613</f>
        <v>0</v>
      </c>
      <c r="H613" s="34"/>
      <c r="I613" s="58"/>
    </row>
    <row r="614" s="35" customFormat="true" ht="14.25" hidden="false" customHeight="false" outlineLevel="0" collapsed="false">
      <c r="A614" s="23" t="n">
        <v>9</v>
      </c>
      <c r="B614" s="24"/>
      <c r="C614" s="25" t="s">
        <v>66</v>
      </c>
      <c r="D614" s="26" t="s">
        <v>20</v>
      </c>
      <c r="E614" s="27" t="n">
        <v>15</v>
      </c>
      <c r="F614" s="20"/>
      <c r="G614" s="29" t="n">
        <f aca="false">E614*F614</f>
        <v>0</v>
      </c>
      <c r="H614" s="34"/>
      <c r="I614" s="58"/>
    </row>
    <row r="615" s="43" customFormat="true" ht="17.9" hidden="false" customHeight="true" outlineLevel="0" collapsed="false">
      <c r="A615" s="12" t="s">
        <v>36</v>
      </c>
      <c r="B615" s="12"/>
      <c r="C615" s="30" t="s">
        <v>37</v>
      </c>
      <c r="D615" s="54"/>
      <c r="E615" s="59"/>
      <c r="F615" s="54"/>
      <c r="G615" s="54"/>
      <c r="H615" s="41"/>
    </row>
    <row r="616" s="35" customFormat="true" ht="14.25" hidden="false" customHeight="true" outlineLevel="0" collapsed="false">
      <c r="A616" s="57" t="s">
        <v>292</v>
      </c>
      <c r="B616" s="57"/>
      <c r="C616" s="57"/>
      <c r="D616" s="57"/>
      <c r="E616" s="57"/>
      <c r="F616" s="57"/>
      <c r="G616" s="57"/>
      <c r="H616" s="34"/>
    </row>
    <row r="617" s="35" customFormat="true" ht="23.85" hidden="false" customHeight="false" outlineLevel="0" collapsed="false">
      <c r="A617" s="23" t="n">
        <v>1</v>
      </c>
      <c r="B617" s="24"/>
      <c r="C617" s="25" t="s">
        <v>180</v>
      </c>
      <c r="D617" s="26" t="s">
        <v>17</v>
      </c>
      <c r="E617" s="27" t="n">
        <v>1.9</v>
      </c>
      <c r="F617" s="20"/>
      <c r="G617" s="29" t="n">
        <f aca="false">E617*F617</f>
        <v>0</v>
      </c>
      <c r="H617" s="34"/>
    </row>
    <row r="618" s="35" customFormat="true" ht="14.25" hidden="false" customHeight="false" outlineLevel="0" collapsed="false">
      <c r="A618" s="23" t="n">
        <v>2</v>
      </c>
      <c r="B618" s="24"/>
      <c r="C618" s="25" t="s">
        <v>181</v>
      </c>
      <c r="D618" s="26" t="s">
        <v>17</v>
      </c>
      <c r="E618" s="27" t="n">
        <v>0.5</v>
      </c>
      <c r="F618" s="20"/>
      <c r="G618" s="29" t="n">
        <f aca="false">E618*F618</f>
        <v>0</v>
      </c>
      <c r="H618" s="34"/>
    </row>
    <row r="619" s="35" customFormat="true" ht="23.85" hidden="false" customHeight="false" outlineLevel="0" collapsed="false">
      <c r="A619" s="23" t="n">
        <v>3</v>
      </c>
      <c r="B619" s="24"/>
      <c r="C619" s="25" t="s">
        <v>29</v>
      </c>
      <c r="D619" s="26" t="s">
        <v>17</v>
      </c>
      <c r="E619" s="27" t="n">
        <v>2.28</v>
      </c>
      <c r="F619" s="20"/>
      <c r="G619" s="29" t="n">
        <f aca="false">E619*F619</f>
        <v>0</v>
      </c>
      <c r="H619" s="34"/>
    </row>
    <row r="620" s="35" customFormat="true" ht="23.85" hidden="false" customHeight="false" outlineLevel="0" collapsed="false">
      <c r="A620" s="23" t="n">
        <v>4</v>
      </c>
      <c r="B620" s="24"/>
      <c r="C620" s="25" t="s">
        <v>41</v>
      </c>
      <c r="D620" s="26" t="s">
        <v>17</v>
      </c>
      <c r="E620" s="27" t="n">
        <v>2.28</v>
      </c>
      <c r="F620" s="20"/>
      <c r="G620" s="29" t="n">
        <f aca="false">E620*F620</f>
        <v>0</v>
      </c>
      <c r="H620" s="34"/>
    </row>
    <row r="621" s="35" customFormat="true" ht="23.85" hidden="false" customHeight="false" outlineLevel="0" collapsed="false">
      <c r="A621" s="23" t="n">
        <v>5</v>
      </c>
      <c r="B621" s="24"/>
      <c r="C621" s="25" t="s">
        <v>43</v>
      </c>
      <c r="D621" s="26" t="s">
        <v>17</v>
      </c>
      <c r="E621" s="27" t="n">
        <v>2.4</v>
      </c>
      <c r="F621" s="20"/>
      <c r="G621" s="29" t="n">
        <f aca="false">E621*F621</f>
        <v>0</v>
      </c>
      <c r="H621" s="34"/>
    </row>
    <row r="622" s="35" customFormat="true" ht="23.85" hidden="false" customHeight="false" outlineLevel="0" collapsed="false">
      <c r="A622" s="23" t="n">
        <v>6</v>
      </c>
      <c r="B622" s="24"/>
      <c r="C622" s="25" t="s">
        <v>197</v>
      </c>
      <c r="D622" s="26" t="s">
        <v>35</v>
      </c>
      <c r="E622" s="27" t="n">
        <v>7.7</v>
      </c>
      <c r="F622" s="20"/>
      <c r="G622" s="29" t="n">
        <f aca="false">E622*F622</f>
        <v>0</v>
      </c>
      <c r="H622" s="34"/>
    </row>
    <row r="623" s="35" customFormat="true" ht="14.25" hidden="false" customHeight="false" outlineLevel="0" collapsed="false">
      <c r="A623" s="23" t="n">
        <v>7</v>
      </c>
      <c r="B623" s="24"/>
      <c r="C623" s="25" t="s">
        <v>198</v>
      </c>
      <c r="D623" s="26" t="s">
        <v>35</v>
      </c>
      <c r="E623" s="27" t="n">
        <v>6</v>
      </c>
      <c r="F623" s="20"/>
      <c r="G623" s="29" t="n">
        <f aca="false">E623*F623</f>
        <v>0</v>
      </c>
      <c r="H623" s="34"/>
    </row>
    <row r="624" s="35" customFormat="true" ht="14.25" hidden="false" customHeight="false" outlineLevel="0" collapsed="false">
      <c r="A624" s="23" t="n">
        <v>8</v>
      </c>
      <c r="B624" s="24"/>
      <c r="C624" s="25" t="s">
        <v>223</v>
      </c>
      <c r="D624" s="26" t="s">
        <v>15</v>
      </c>
      <c r="E624" s="27" t="n">
        <v>0.05</v>
      </c>
      <c r="F624" s="20"/>
      <c r="G624" s="29" t="n">
        <f aca="false">E624*F624</f>
        <v>0</v>
      </c>
      <c r="H624" s="34"/>
    </row>
    <row r="625" s="35" customFormat="true" ht="14.25" hidden="false" customHeight="false" outlineLevel="0" collapsed="false">
      <c r="A625" s="23" t="n">
        <v>9</v>
      </c>
      <c r="B625" s="24"/>
      <c r="C625" s="25" t="s">
        <v>199</v>
      </c>
      <c r="D625" s="26" t="s">
        <v>35</v>
      </c>
      <c r="E625" s="27" t="n">
        <v>1</v>
      </c>
      <c r="F625" s="20"/>
      <c r="G625" s="29" t="n">
        <f aca="false">E625*F625</f>
        <v>0</v>
      </c>
      <c r="H625" s="34"/>
    </row>
    <row r="626" s="35" customFormat="true" ht="14.25" hidden="false" customHeight="false" outlineLevel="0" collapsed="false">
      <c r="A626" s="23" t="n">
        <v>10</v>
      </c>
      <c r="B626" s="24"/>
      <c r="C626" s="25" t="s">
        <v>224</v>
      </c>
      <c r="D626" s="26" t="s">
        <v>35</v>
      </c>
      <c r="E626" s="27" t="n">
        <v>1</v>
      </c>
      <c r="F626" s="20"/>
      <c r="G626" s="29" t="n">
        <f aca="false">E626*F626</f>
        <v>0</v>
      </c>
      <c r="H626" s="34"/>
    </row>
    <row r="627" s="35" customFormat="true" ht="14.25" hidden="false" customHeight="false" outlineLevel="0" collapsed="false">
      <c r="A627" s="23" t="n">
        <v>11</v>
      </c>
      <c r="B627" s="24"/>
      <c r="C627" s="25" t="s">
        <v>201</v>
      </c>
      <c r="D627" s="26" t="s">
        <v>35</v>
      </c>
      <c r="E627" s="27" t="n">
        <v>1</v>
      </c>
      <c r="F627" s="20"/>
      <c r="G627" s="29" t="n">
        <f aca="false">E627*F627</f>
        <v>0</v>
      </c>
      <c r="H627" s="34"/>
    </row>
    <row r="628" s="35" customFormat="true" ht="14.25" hidden="false" customHeight="false" outlineLevel="0" collapsed="false">
      <c r="A628" s="23" t="n">
        <v>12</v>
      </c>
      <c r="B628" s="24"/>
      <c r="C628" s="25" t="s">
        <v>202</v>
      </c>
      <c r="D628" s="26" t="s">
        <v>68</v>
      </c>
      <c r="E628" s="48" t="n">
        <v>4</v>
      </c>
      <c r="F628" s="20"/>
      <c r="G628" s="29" t="n">
        <f aca="false">E628*F628</f>
        <v>0</v>
      </c>
      <c r="H628" s="34"/>
    </row>
    <row r="629" s="35" customFormat="true" ht="14.25" hidden="false" customHeight="false" outlineLevel="0" collapsed="false">
      <c r="A629" s="23" t="n">
        <v>13</v>
      </c>
      <c r="B629" s="24"/>
      <c r="C629" s="25" t="s">
        <v>217</v>
      </c>
      <c r="D629" s="26" t="s">
        <v>188</v>
      </c>
      <c r="E629" s="27" t="n">
        <v>3</v>
      </c>
      <c r="F629" s="20"/>
      <c r="G629" s="29" t="n">
        <f aca="false">E629*F629</f>
        <v>0</v>
      </c>
      <c r="H629" s="34"/>
    </row>
    <row r="630" s="35" customFormat="true" ht="14.25" hidden="false" customHeight="false" outlineLevel="0" collapsed="false">
      <c r="A630" s="23" t="n">
        <v>14</v>
      </c>
      <c r="B630" s="24"/>
      <c r="C630" s="25" t="s">
        <v>218</v>
      </c>
      <c r="D630" s="26" t="s">
        <v>35</v>
      </c>
      <c r="E630" s="27" t="n">
        <v>0.7</v>
      </c>
      <c r="F630" s="20"/>
      <c r="G630" s="29" t="n">
        <f aca="false">E630*F630</f>
        <v>0</v>
      </c>
      <c r="H630" s="34"/>
    </row>
    <row r="631" s="35" customFormat="true" ht="14.25" hidden="false" customHeight="false" outlineLevel="0" collapsed="false">
      <c r="A631" s="23" t="n">
        <v>15</v>
      </c>
      <c r="B631" s="24"/>
      <c r="C631" s="25" t="s">
        <v>225</v>
      </c>
      <c r="D631" s="26" t="s">
        <v>20</v>
      </c>
      <c r="E631" s="27" t="n">
        <v>0.8</v>
      </c>
      <c r="F631" s="20"/>
      <c r="G631" s="29" t="n">
        <f aca="false">E631*F631</f>
        <v>0</v>
      </c>
      <c r="H631" s="34"/>
    </row>
    <row r="632" s="35" customFormat="true" ht="14.25" hidden="false" customHeight="false" outlineLevel="0" collapsed="false">
      <c r="A632" s="23" t="n">
        <v>16</v>
      </c>
      <c r="B632" s="24"/>
      <c r="C632" s="25" t="s">
        <v>226</v>
      </c>
      <c r="D632" s="26" t="s">
        <v>68</v>
      </c>
      <c r="E632" s="48" t="n">
        <v>1</v>
      </c>
      <c r="F632" s="20"/>
      <c r="G632" s="29" t="n">
        <f aca="false">E632*F632</f>
        <v>0</v>
      </c>
      <c r="H632" s="34"/>
    </row>
    <row r="633" s="35" customFormat="true" ht="14.25" hidden="false" customHeight="false" outlineLevel="0" collapsed="false">
      <c r="A633" s="23" t="n">
        <v>17</v>
      </c>
      <c r="B633" s="24"/>
      <c r="C633" s="25" t="s">
        <v>92</v>
      </c>
      <c r="D633" s="26" t="s">
        <v>68</v>
      </c>
      <c r="E633" s="48" t="n">
        <v>1</v>
      </c>
      <c r="F633" s="20"/>
      <c r="G633" s="29" t="n">
        <f aca="false">E633*F633</f>
        <v>0</v>
      </c>
      <c r="H633" s="34"/>
    </row>
    <row r="634" s="35" customFormat="true" ht="14.25" hidden="false" customHeight="false" outlineLevel="0" collapsed="false">
      <c r="A634" s="23" t="n">
        <v>18</v>
      </c>
      <c r="B634" s="24"/>
      <c r="C634" s="25" t="s">
        <v>219</v>
      </c>
      <c r="D634" s="26" t="s">
        <v>68</v>
      </c>
      <c r="E634" s="48" t="n">
        <v>2</v>
      </c>
      <c r="F634" s="20"/>
      <c r="G634" s="29" t="n">
        <f aca="false">E634*F634</f>
        <v>0</v>
      </c>
      <c r="H634" s="34"/>
    </row>
    <row r="635" s="35" customFormat="true" ht="14.25" hidden="false" customHeight="false" outlineLevel="0" collapsed="false">
      <c r="A635" s="23" t="n">
        <v>19</v>
      </c>
      <c r="B635" s="24"/>
      <c r="C635" s="25" t="s">
        <v>76</v>
      </c>
      <c r="D635" s="26" t="s">
        <v>68</v>
      </c>
      <c r="E635" s="48" t="n">
        <v>2</v>
      </c>
      <c r="F635" s="20"/>
      <c r="G635" s="29" t="n">
        <f aca="false">E635*F635</f>
        <v>0</v>
      </c>
      <c r="H635" s="34"/>
    </row>
    <row r="636" s="35" customFormat="true" ht="14.25" hidden="false" customHeight="false" outlineLevel="0" collapsed="false">
      <c r="A636" s="23" t="n">
        <v>20</v>
      </c>
      <c r="B636" s="24"/>
      <c r="C636" s="25" t="s">
        <v>81</v>
      </c>
      <c r="D636" s="26" t="s">
        <v>68</v>
      </c>
      <c r="E636" s="48" t="n">
        <v>2</v>
      </c>
      <c r="F636" s="20"/>
      <c r="G636" s="29" t="n">
        <f aca="false">E636*F636</f>
        <v>0</v>
      </c>
      <c r="H636" s="34"/>
    </row>
    <row r="637" s="35" customFormat="true" ht="14.25" hidden="false" customHeight="false" outlineLevel="0" collapsed="false">
      <c r="A637" s="23" t="n">
        <v>21</v>
      </c>
      <c r="B637" s="24"/>
      <c r="C637" s="25" t="s">
        <v>88</v>
      </c>
      <c r="D637" s="26" t="s">
        <v>68</v>
      </c>
      <c r="E637" s="48" t="n">
        <v>1</v>
      </c>
      <c r="F637" s="20"/>
      <c r="G637" s="29" t="n">
        <f aca="false">E637*F637</f>
        <v>0</v>
      </c>
      <c r="H637" s="34"/>
    </row>
    <row r="638" s="35" customFormat="true" ht="23.85" hidden="false" customHeight="false" outlineLevel="0" collapsed="false">
      <c r="A638" s="23" t="n">
        <v>22</v>
      </c>
      <c r="B638" s="24"/>
      <c r="C638" s="25" t="s">
        <v>220</v>
      </c>
      <c r="D638" s="26" t="s">
        <v>68</v>
      </c>
      <c r="E638" s="48" t="n">
        <v>1</v>
      </c>
      <c r="F638" s="20"/>
      <c r="G638" s="29" t="n">
        <f aca="false">E638*F638</f>
        <v>0</v>
      </c>
      <c r="H638" s="34"/>
    </row>
    <row r="639" s="35" customFormat="true" ht="14.25" hidden="false" customHeight="false" outlineLevel="0" collapsed="false">
      <c r="A639" s="23" t="n">
        <v>23</v>
      </c>
      <c r="B639" s="24"/>
      <c r="C639" s="25" t="s">
        <v>221</v>
      </c>
      <c r="D639" s="26" t="s">
        <v>20</v>
      </c>
      <c r="E639" s="27" t="n">
        <v>2</v>
      </c>
      <c r="F639" s="20"/>
      <c r="G639" s="29" t="n">
        <f aca="false">E639*F639</f>
        <v>0</v>
      </c>
      <c r="H639" s="34"/>
    </row>
    <row r="640" s="35" customFormat="true" ht="14.25" hidden="false" customHeight="true" outlineLevel="0" collapsed="false">
      <c r="A640" s="57" t="s">
        <v>276</v>
      </c>
      <c r="B640" s="57"/>
      <c r="C640" s="57"/>
      <c r="D640" s="57"/>
      <c r="E640" s="57"/>
      <c r="F640" s="57"/>
      <c r="G640" s="57"/>
      <c r="H640" s="34"/>
    </row>
    <row r="641" s="35" customFormat="true" ht="23.85" hidden="false" customHeight="false" outlineLevel="0" collapsed="false">
      <c r="A641" s="23" t="n">
        <v>1</v>
      </c>
      <c r="B641" s="24"/>
      <c r="C641" s="25" t="s">
        <v>180</v>
      </c>
      <c r="D641" s="26" t="s">
        <v>17</v>
      </c>
      <c r="E641" s="27" t="n">
        <v>9.1</v>
      </c>
      <c r="F641" s="20"/>
      <c r="G641" s="29" t="n">
        <f aca="false">E641*F641</f>
        <v>0</v>
      </c>
      <c r="H641" s="34"/>
    </row>
    <row r="642" s="35" customFormat="true" ht="14.25" hidden="false" customHeight="false" outlineLevel="0" collapsed="false">
      <c r="A642" s="23" t="n">
        <v>2</v>
      </c>
      <c r="B642" s="24"/>
      <c r="C642" s="25" t="s">
        <v>181</v>
      </c>
      <c r="D642" s="26" t="s">
        <v>17</v>
      </c>
      <c r="E642" s="27" t="n">
        <v>2.3</v>
      </c>
      <c r="F642" s="20"/>
      <c r="G642" s="29" t="n">
        <f aca="false">E642*F642</f>
        <v>0</v>
      </c>
      <c r="H642" s="34"/>
    </row>
    <row r="643" s="35" customFormat="true" ht="14.25" hidden="false" customHeight="false" outlineLevel="0" collapsed="false">
      <c r="A643" s="23" t="n">
        <v>3</v>
      </c>
      <c r="B643" s="24"/>
      <c r="C643" s="25" t="s">
        <v>182</v>
      </c>
      <c r="D643" s="26" t="s">
        <v>17</v>
      </c>
      <c r="E643" s="27" t="n">
        <v>3.8</v>
      </c>
      <c r="F643" s="20"/>
      <c r="G643" s="29" t="n">
        <f aca="false">E643*F643</f>
        <v>0</v>
      </c>
      <c r="H643" s="34"/>
    </row>
    <row r="644" s="35" customFormat="true" ht="23.85" hidden="false" customHeight="false" outlineLevel="0" collapsed="false">
      <c r="A644" s="23" t="n">
        <v>4</v>
      </c>
      <c r="B644" s="24"/>
      <c r="C644" s="25" t="s">
        <v>41</v>
      </c>
      <c r="D644" s="26" t="s">
        <v>17</v>
      </c>
      <c r="E644" s="27" t="n">
        <v>9.9</v>
      </c>
      <c r="F644" s="20"/>
      <c r="G644" s="29" t="n">
        <f aca="false">E644*F644</f>
        <v>0</v>
      </c>
      <c r="H644" s="34"/>
    </row>
    <row r="645" s="35" customFormat="true" ht="14.25" hidden="false" customHeight="false" outlineLevel="0" collapsed="false">
      <c r="A645" s="23" t="n">
        <v>5</v>
      </c>
      <c r="B645" s="24"/>
      <c r="C645" s="25" t="s">
        <v>42</v>
      </c>
      <c r="D645" s="26" t="s">
        <v>17</v>
      </c>
      <c r="E645" s="27" t="n">
        <v>1.5</v>
      </c>
      <c r="F645" s="20"/>
      <c r="G645" s="29" t="n">
        <f aca="false">E645*F645</f>
        <v>0</v>
      </c>
      <c r="H645" s="34"/>
    </row>
    <row r="646" s="35" customFormat="true" ht="23.85" hidden="false" customHeight="false" outlineLevel="0" collapsed="false">
      <c r="A646" s="23" t="n">
        <v>6</v>
      </c>
      <c r="B646" s="24"/>
      <c r="C646" s="25" t="s">
        <v>43</v>
      </c>
      <c r="D646" s="26" t="s">
        <v>17</v>
      </c>
      <c r="E646" s="27" t="n">
        <v>7.6</v>
      </c>
      <c r="F646" s="20"/>
      <c r="G646" s="29" t="n">
        <f aca="false">E646*F646</f>
        <v>0</v>
      </c>
      <c r="H646" s="34"/>
    </row>
    <row r="647" s="35" customFormat="true" ht="14.25" hidden="false" customHeight="false" outlineLevel="0" collapsed="false">
      <c r="A647" s="23" t="n">
        <v>7</v>
      </c>
      <c r="B647" s="24"/>
      <c r="C647" s="25" t="s">
        <v>183</v>
      </c>
      <c r="D647" s="26" t="s">
        <v>35</v>
      </c>
      <c r="E647" s="27" t="n">
        <v>0.5</v>
      </c>
      <c r="F647" s="20"/>
      <c r="G647" s="29" t="n">
        <f aca="false">E647*F647</f>
        <v>0</v>
      </c>
      <c r="H647" s="34"/>
    </row>
    <row r="648" s="35" customFormat="true" ht="14.25" hidden="false" customHeight="false" outlineLevel="0" collapsed="false">
      <c r="A648" s="23" t="n">
        <v>8</v>
      </c>
      <c r="B648" s="24"/>
      <c r="C648" s="25" t="s">
        <v>184</v>
      </c>
      <c r="D648" s="26" t="s">
        <v>35</v>
      </c>
      <c r="E648" s="27" t="n">
        <v>0.9</v>
      </c>
      <c r="F648" s="20"/>
      <c r="G648" s="29" t="n">
        <f aca="false">E648*F648</f>
        <v>0</v>
      </c>
      <c r="H648" s="34"/>
    </row>
    <row r="649" s="35" customFormat="true" ht="14.25" hidden="false" customHeight="false" outlineLevel="0" collapsed="false">
      <c r="A649" s="23" t="n">
        <v>9</v>
      </c>
      <c r="B649" s="24"/>
      <c r="C649" s="25" t="s">
        <v>186</v>
      </c>
      <c r="D649" s="26" t="s">
        <v>35</v>
      </c>
      <c r="E649" s="27" t="n">
        <v>0.54</v>
      </c>
      <c r="F649" s="20"/>
      <c r="G649" s="29" t="n">
        <f aca="false">E649*F649</f>
        <v>0</v>
      </c>
      <c r="H649" s="34"/>
    </row>
    <row r="650" s="35" customFormat="true" ht="23.85" hidden="false" customHeight="false" outlineLevel="0" collapsed="false">
      <c r="A650" s="23" t="n">
        <v>10</v>
      </c>
      <c r="B650" s="24"/>
      <c r="C650" s="25" t="s">
        <v>189</v>
      </c>
      <c r="D650" s="26" t="s">
        <v>188</v>
      </c>
      <c r="E650" s="27" t="n">
        <v>23.96</v>
      </c>
      <c r="F650" s="20"/>
      <c r="G650" s="29" t="n">
        <f aca="false">E650*F650</f>
        <v>0</v>
      </c>
      <c r="H650" s="34"/>
    </row>
    <row r="651" s="35" customFormat="true" ht="14.25" hidden="false" customHeight="false" outlineLevel="0" collapsed="false">
      <c r="A651" s="23" t="n">
        <v>11</v>
      </c>
      <c r="B651" s="24"/>
      <c r="C651" s="25" t="s">
        <v>190</v>
      </c>
      <c r="D651" s="26" t="s">
        <v>17</v>
      </c>
      <c r="E651" s="27" t="n">
        <v>0.2</v>
      </c>
      <c r="F651" s="20"/>
      <c r="G651" s="29" t="n">
        <f aca="false">E651*F651</f>
        <v>0</v>
      </c>
      <c r="H651" s="34"/>
    </row>
    <row r="652" s="35" customFormat="true" ht="14.25" hidden="false" customHeight="false" outlineLevel="0" collapsed="false">
      <c r="A652" s="23" t="n">
        <v>12</v>
      </c>
      <c r="B652" s="24"/>
      <c r="C652" s="25" t="s">
        <v>191</v>
      </c>
      <c r="D652" s="26" t="s">
        <v>17</v>
      </c>
      <c r="E652" s="27" t="n">
        <v>0.41</v>
      </c>
      <c r="F652" s="20"/>
      <c r="G652" s="29" t="n">
        <f aca="false">E652*F652</f>
        <v>0</v>
      </c>
      <c r="H652" s="34"/>
    </row>
    <row r="653" s="35" customFormat="true" ht="14.25" hidden="false" customHeight="false" outlineLevel="0" collapsed="false">
      <c r="A653" s="23" t="n">
        <v>13</v>
      </c>
      <c r="B653" s="24"/>
      <c r="C653" s="25" t="s">
        <v>193</v>
      </c>
      <c r="D653" s="26" t="s">
        <v>17</v>
      </c>
      <c r="E653" s="27" t="n">
        <v>0.09</v>
      </c>
      <c r="F653" s="20"/>
      <c r="G653" s="29" t="n">
        <f aca="false">E653*F653</f>
        <v>0</v>
      </c>
      <c r="H653" s="34"/>
    </row>
    <row r="654" s="35" customFormat="true" ht="14.25" hidden="false" customHeight="false" outlineLevel="0" collapsed="false">
      <c r="A654" s="23" t="n">
        <v>14</v>
      </c>
      <c r="B654" s="24"/>
      <c r="C654" s="25" t="s">
        <v>215</v>
      </c>
      <c r="D654" s="26" t="s">
        <v>17</v>
      </c>
      <c r="E654" s="27" t="n">
        <v>0.7</v>
      </c>
      <c r="F654" s="20"/>
      <c r="G654" s="29" t="n">
        <f aca="false">E654*F654</f>
        <v>0</v>
      </c>
      <c r="H654" s="34"/>
    </row>
    <row r="655" s="35" customFormat="true" ht="14.25" hidden="false" customHeight="false" outlineLevel="0" collapsed="false">
      <c r="A655" s="23" t="n">
        <v>15</v>
      </c>
      <c r="B655" s="24"/>
      <c r="C655" s="25" t="s">
        <v>195</v>
      </c>
      <c r="D655" s="26" t="s">
        <v>15</v>
      </c>
      <c r="E655" s="27" t="n">
        <v>0.25</v>
      </c>
      <c r="F655" s="20"/>
      <c r="G655" s="29" t="n">
        <f aca="false">E655*F655</f>
        <v>0</v>
      </c>
      <c r="H655" s="34"/>
    </row>
    <row r="656" s="35" customFormat="true" ht="23.85" hidden="false" customHeight="false" outlineLevel="0" collapsed="false">
      <c r="A656" s="23" t="n">
        <v>16</v>
      </c>
      <c r="B656" s="24"/>
      <c r="C656" s="25" t="s">
        <v>197</v>
      </c>
      <c r="D656" s="26" t="s">
        <v>35</v>
      </c>
      <c r="E656" s="27" t="n">
        <v>9</v>
      </c>
      <c r="F656" s="20"/>
      <c r="G656" s="29" t="n">
        <f aca="false">E656*F656</f>
        <v>0</v>
      </c>
      <c r="H656" s="34"/>
    </row>
    <row r="657" s="35" customFormat="true" ht="14.25" hidden="false" customHeight="false" outlineLevel="0" collapsed="false">
      <c r="A657" s="23" t="n">
        <v>17</v>
      </c>
      <c r="B657" s="24"/>
      <c r="C657" s="25" t="s">
        <v>198</v>
      </c>
      <c r="D657" s="26" t="s">
        <v>35</v>
      </c>
      <c r="E657" s="27" t="n">
        <v>7.5</v>
      </c>
      <c r="F657" s="20"/>
      <c r="G657" s="29" t="n">
        <f aca="false">E657*F657</f>
        <v>0</v>
      </c>
      <c r="H657" s="34"/>
    </row>
    <row r="658" s="35" customFormat="true" ht="14.25" hidden="false" customHeight="false" outlineLevel="0" collapsed="false">
      <c r="A658" s="23" t="n">
        <v>18</v>
      </c>
      <c r="B658" s="24"/>
      <c r="C658" s="25" t="s">
        <v>216</v>
      </c>
      <c r="D658" s="26" t="s">
        <v>68</v>
      </c>
      <c r="E658" s="48" t="n">
        <v>4</v>
      </c>
      <c r="F658" s="20"/>
      <c r="G658" s="29" t="n">
        <f aca="false">E658*F658</f>
        <v>0</v>
      </c>
      <c r="H658" s="34"/>
    </row>
    <row r="659" s="35" customFormat="true" ht="14.25" hidden="false" customHeight="false" outlineLevel="0" collapsed="false">
      <c r="A659" s="23" t="n">
        <v>19</v>
      </c>
      <c r="B659" s="24"/>
      <c r="C659" s="25" t="s">
        <v>199</v>
      </c>
      <c r="D659" s="26" t="s">
        <v>214</v>
      </c>
      <c r="E659" s="27" t="n">
        <v>1</v>
      </c>
      <c r="F659" s="20"/>
      <c r="G659" s="29" t="n">
        <f aca="false">E659*F659</f>
        <v>0</v>
      </c>
      <c r="H659" s="34"/>
    </row>
    <row r="660" s="35" customFormat="true" ht="14.25" hidden="false" customHeight="false" outlineLevel="0" collapsed="false">
      <c r="A660" s="23" t="n">
        <v>20</v>
      </c>
      <c r="B660" s="24"/>
      <c r="C660" s="25" t="s">
        <v>202</v>
      </c>
      <c r="D660" s="26" t="s">
        <v>68</v>
      </c>
      <c r="E660" s="48" t="n">
        <v>6</v>
      </c>
      <c r="F660" s="20"/>
      <c r="G660" s="29" t="n">
        <f aca="false">E660*F660</f>
        <v>0</v>
      </c>
      <c r="H660" s="34"/>
    </row>
    <row r="661" s="35" customFormat="true" ht="14.25" hidden="false" customHeight="false" outlineLevel="0" collapsed="false">
      <c r="A661" s="23" t="n">
        <v>21</v>
      </c>
      <c r="B661" s="24"/>
      <c r="C661" s="25" t="s">
        <v>228</v>
      </c>
      <c r="D661" s="26" t="s">
        <v>68</v>
      </c>
      <c r="E661" s="48" t="n">
        <v>1</v>
      </c>
      <c r="F661" s="20"/>
      <c r="G661" s="29" t="n">
        <f aca="false">E661*F661</f>
        <v>0</v>
      </c>
      <c r="H661" s="34"/>
    </row>
    <row r="662" s="35" customFormat="true" ht="14.25" hidden="false" customHeight="false" outlineLevel="0" collapsed="false">
      <c r="A662" s="23" t="n">
        <v>22</v>
      </c>
      <c r="B662" s="24"/>
      <c r="C662" s="25" t="s">
        <v>229</v>
      </c>
      <c r="D662" s="26" t="s">
        <v>68</v>
      </c>
      <c r="E662" s="48" t="n">
        <v>1</v>
      </c>
      <c r="F662" s="20"/>
      <c r="G662" s="29" t="n">
        <f aca="false">E662*F662</f>
        <v>0</v>
      </c>
      <c r="H662" s="34"/>
    </row>
    <row r="663" s="35" customFormat="true" ht="14.25" hidden="false" customHeight="false" outlineLevel="0" collapsed="false">
      <c r="A663" s="23" t="n">
        <v>23</v>
      </c>
      <c r="B663" s="24"/>
      <c r="C663" s="25" t="s">
        <v>230</v>
      </c>
      <c r="D663" s="26" t="s">
        <v>20</v>
      </c>
      <c r="E663" s="27" t="n">
        <v>2</v>
      </c>
      <c r="F663" s="20"/>
      <c r="G663" s="29" t="n">
        <f aca="false">E663*F663</f>
        <v>0</v>
      </c>
      <c r="H663" s="34"/>
    </row>
    <row r="664" s="35" customFormat="true" ht="14.25" hidden="false" customHeight="false" outlineLevel="0" collapsed="false">
      <c r="A664" s="23" t="n">
        <v>24</v>
      </c>
      <c r="B664" s="24"/>
      <c r="C664" s="25" t="s">
        <v>89</v>
      </c>
      <c r="D664" s="26" t="s">
        <v>68</v>
      </c>
      <c r="E664" s="48" t="n">
        <v>1</v>
      </c>
      <c r="F664" s="20"/>
      <c r="G664" s="29" t="n">
        <f aca="false">E664*F664</f>
        <v>0</v>
      </c>
      <c r="H664" s="34"/>
    </row>
    <row r="665" s="35" customFormat="true" ht="14.25" hidden="false" customHeight="false" outlineLevel="0" collapsed="false">
      <c r="A665" s="23" t="n">
        <v>25</v>
      </c>
      <c r="B665" s="24"/>
      <c r="C665" s="25" t="s">
        <v>231</v>
      </c>
      <c r="D665" s="26" t="s">
        <v>68</v>
      </c>
      <c r="E665" s="48" t="n">
        <v>2</v>
      </c>
      <c r="F665" s="20"/>
      <c r="G665" s="29" t="n">
        <f aca="false">E665*F665</f>
        <v>0</v>
      </c>
      <c r="H665" s="34"/>
    </row>
    <row r="666" s="35" customFormat="true" ht="14.25" hidden="false" customHeight="false" outlineLevel="0" collapsed="false">
      <c r="A666" s="23" t="n">
        <v>26</v>
      </c>
      <c r="B666" s="24"/>
      <c r="C666" s="25" t="s">
        <v>232</v>
      </c>
      <c r="D666" s="26" t="s">
        <v>68</v>
      </c>
      <c r="E666" s="48" t="n">
        <v>2</v>
      </c>
      <c r="F666" s="20"/>
      <c r="G666" s="29" t="n">
        <f aca="false">E666*F666</f>
        <v>0</v>
      </c>
      <c r="H666" s="34"/>
    </row>
    <row r="667" s="35" customFormat="true" ht="14.25" hidden="false" customHeight="false" outlineLevel="0" collapsed="false">
      <c r="A667" s="23" t="n">
        <v>27</v>
      </c>
      <c r="B667" s="24"/>
      <c r="C667" s="25" t="s">
        <v>233</v>
      </c>
      <c r="D667" s="26" t="s">
        <v>68</v>
      </c>
      <c r="E667" s="48" t="n">
        <v>1</v>
      </c>
      <c r="F667" s="20"/>
      <c r="G667" s="29" t="n">
        <f aca="false">E667*F667</f>
        <v>0</v>
      </c>
      <c r="H667" s="34"/>
    </row>
    <row r="668" s="35" customFormat="true" ht="14.25" hidden="false" customHeight="false" outlineLevel="0" collapsed="false">
      <c r="A668" s="23" t="n">
        <v>28</v>
      </c>
      <c r="B668" s="24"/>
      <c r="C668" s="25" t="s">
        <v>234</v>
      </c>
      <c r="D668" s="26" t="s">
        <v>68</v>
      </c>
      <c r="E668" s="48" t="n">
        <v>1</v>
      </c>
      <c r="F668" s="20"/>
      <c r="G668" s="29" t="n">
        <f aca="false">E668*F668</f>
        <v>0</v>
      </c>
      <c r="H668" s="34"/>
    </row>
    <row r="669" s="35" customFormat="true" ht="14.25" hidden="false" customHeight="false" outlineLevel="0" collapsed="false">
      <c r="A669" s="23" t="n">
        <v>29</v>
      </c>
      <c r="B669" s="24"/>
      <c r="C669" s="25" t="s">
        <v>210</v>
      </c>
      <c r="D669" s="26" t="s">
        <v>68</v>
      </c>
      <c r="E669" s="48" t="n">
        <v>2</v>
      </c>
      <c r="F669" s="20"/>
      <c r="G669" s="29" t="n">
        <f aca="false">E669*F669</f>
        <v>0</v>
      </c>
      <c r="H669" s="34"/>
    </row>
    <row r="670" s="35" customFormat="true" ht="14.25" hidden="false" customHeight="false" outlineLevel="0" collapsed="false">
      <c r="A670" s="23" t="n">
        <v>30</v>
      </c>
      <c r="B670" s="24"/>
      <c r="C670" s="25" t="s">
        <v>235</v>
      </c>
      <c r="D670" s="26" t="s">
        <v>20</v>
      </c>
      <c r="E670" s="27" t="n">
        <v>1</v>
      </c>
      <c r="F670" s="20"/>
      <c r="G670" s="29" t="n">
        <f aca="false">E670*F670</f>
        <v>0</v>
      </c>
      <c r="H670" s="34"/>
    </row>
    <row r="671" s="35" customFormat="true" ht="14.25" hidden="false" customHeight="true" outlineLevel="0" collapsed="false">
      <c r="A671" s="57" t="s">
        <v>293</v>
      </c>
      <c r="B671" s="57"/>
      <c r="C671" s="57"/>
      <c r="D671" s="57"/>
      <c r="E671" s="57"/>
      <c r="F671" s="57"/>
      <c r="G671" s="57"/>
      <c r="H671" s="34"/>
    </row>
    <row r="672" s="35" customFormat="true" ht="14.25" hidden="false" customHeight="false" outlineLevel="0" collapsed="false">
      <c r="A672" s="23" t="n">
        <v>1</v>
      </c>
      <c r="B672" s="24"/>
      <c r="C672" s="25" t="s">
        <v>252</v>
      </c>
      <c r="D672" s="26" t="s">
        <v>253</v>
      </c>
      <c r="E672" s="27" t="n">
        <v>0.2</v>
      </c>
      <c r="F672" s="20"/>
      <c r="G672" s="29" t="n">
        <f aca="false">E672*F672</f>
        <v>0</v>
      </c>
      <c r="H672" s="34"/>
    </row>
    <row r="673" s="35" customFormat="true" ht="14.25" hidden="false" customHeight="false" outlineLevel="0" collapsed="false">
      <c r="A673" s="23" t="n">
        <v>2</v>
      </c>
      <c r="B673" s="24"/>
      <c r="C673" s="25" t="s">
        <v>254</v>
      </c>
      <c r="D673" s="26" t="s">
        <v>17</v>
      </c>
      <c r="E673" s="27" t="n">
        <v>10</v>
      </c>
      <c r="F673" s="20"/>
      <c r="G673" s="29" t="n">
        <f aca="false">E673*F673</f>
        <v>0</v>
      </c>
      <c r="H673" s="34"/>
    </row>
    <row r="674" s="35" customFormat="true" ht="14.25" hidden="false" customHeight="false" outlineLevel="0" collapsed="false">
      <c r="A674" s="23" t="n">
        <v>3</v>
      </c>
      <c r="B674" s="24"/>
      <c r="C674" s="25" t="s">
        <v>255</v>
      </c>
      <c r="D674" s="26" t="s">
        <v>17</v>
      </c>
      <c r="E674" s="27" t="n">
        <v>10</v>
      </c>
      <c r="F674" s="20"/>
      <c r="G674" s="29" t="n">
        <f aca="false">E674*F674</f>
        <v>0</v>
      </c>
      <c r="H674" s="34"/>
    </row>
    <row r="675" s="35" customFormat="true" ht="14.25" hidden="false" customHeight="false" outlineLevel="0" collapsed="false">
      <c r="A675" s="23" t="n">
        <v>4</v>
      </c>
      <c r="B675" s="24"/>
      <c r="C675" s="25" t="s">
        <v>256</v>
      </c>
      <c r="D675" s="26" t="s">
        <v>17</v>
      </c>
      <c r="E675" s="27" t="n">
        <v>10</v>
      </c>
      <c r="F675" s="20"/>
      <c r="G675" s="29" t="n">
        <f aca="false">E675*F675</f>
        <v>0</v>
      </c>
      <c r="H675" s="34"/>
    </row>
    <row r="676" s="35" customFormat="true" ht="14.25" hidden="false" customHeight="false" outlineLevel="0" collapsed="false">
      <c r="A676" s="23" t="n">
        <v>5</v>
      </c>
      <c r="B676" s="24"/>
      <c r="C676" s="25" t="s">
        <v>257</v>
      </c>
      <c r="D676" s="26" t="s">
        <v>17</v>
      </c>
      <c r="E676" s="27" t="n">
        <v>97.1</v>
      </c>
      <c r="F676" s="20"/>
      <c r="G676" s="29" t="n">
        <f aca="false">E676*F676</f>
        <v>0</v>
      </c>
      <c r="H676" s="34"/>
    </row>
    <row r="677" s="35" customFormat="true" ht="14.25" hidden="false" customHeight="false" outlineLevel="0" collapsed="false">
      <c r="A677" s="23" t="n">
        <v>6</v>
      </c>
      <c r="B677" s="24"/>
      <c r="C677" s="25" t="s">
        <v>42</v>
      </c>
      <c r="D677" s="26" t="s">
        <v>17</v>
      </c>
      <c r="E677" s="27" t="n">
        <v>15.9</v>
      </c>
      <c r="F677" s="20"/>
      <c r="G677" s="29" t="n">
        <f aca="false">E677*F677</f>
        <v>0</v>
      </c>
      <c r="H677" s="34"/>
    </row>
    <row r="678" s="35" customFormat="true" ht="14.25" hidden="false" customHeight="false" outlineLevel="0" collapsed="false">
      <c r="A678" s="23" t="n">
        <v>7</v>
      </c>
      <c r="B678" s="24"/>
      <c r="C678" s="25" t="s">
        <v>243</v>
      </c>
      <c r="D678" s="26" t="s">
        <v>35</v>
      </c>
      <c r="E678" s="27" t="n">
        <v>43.7</v>
      </c>
      <c r="F678" s="20"/>
      <c r="G678" s="29" t="n">
        <f aca="false">E678*F678</f>
        <v>0</v>
      </c>
      <c r="H678" s="34"/>
    </row>
    <row r="679" s="35" customFormat="true" ht="14.25" hidden="false" customHeight="false" outlineLevel="0" collapsed="false">
      <c r="A679" s="23" t="n">
        <v>8</v>
      </c>
      <c r="B679" s="24"/>
      <c r="C679" s="25" t="s">
        <v>244</v>
      </c>
      <c r="D679" s="26" t="s">
        <v>17</v>
      </c>
      <c r="E679" s="27" t="n">
        <v>24</v>
      </c>
      <c r="F679" s="20"/>
      <c r="G679" s="29" t="n">
        <f aca="false">E679*F679</f>
        <v>0</v>
      </c>
      <c r="H679" s="34"/>
    </row>
    <row r="680" s="35" customFormat="true" ht="23.85" hidden="false" customHeight="false" outlineLevel="0" collapsed="false">
      <c r="A680" s="23" t="n">
        <v>9</v>
      </c>
      <c r="B680" s="24"/>
      <c r="C680" s="25" t="s">
        <v>245</v>
      </c>
      <c r="D680" s="26" t="s">
        <v>188</v>
      </c>
      <c r="E680" s="27" t="n">
        <v>533</v>
      </c>
      <c r="F680" s="20"/>
      <c r="G680" s="29" t="n">
        <f aca="false">E680*F680</f>
        <v>0</v>
      </c>
      <c r="H680" s="34"/>
    </row>
    <row r="681" s="35" customFormat="true" ht="14.25" hidden="false" customHeight="false" outlineLevel="0" collapsed="false">
      <c r="A681" s="23" t="n">
        <v>10</v>
      </c>
      <c r="B681" s="24"/>
      <c r="C681" s="25" t="s">
        <v>246</v>
      </c>
      <c r="D681" s="26" t="s">
        <v>17</v>
      </c>
      <c r="E681" s="27" t="n">
        <v>5.8</v>
      </c>
      <c r="F681" s="20"/>
      <c r="G681" s="29" t="n">
        <f aca="false">E681*F681</f>
        <v>0</v>
      </c>
      <c r="H681" s="34"/>
    </row>
    <row r="682" s="35" customFormat="true" ht="14.25" hidden="false" customHeight="false" outlineLevel="0" collapsed="false">
      <c r="A682" s="23" t="n">
        <v>11</v>
      </c>
      <c r="B682" s="24"/>
      <c r="C682" s="25" t="s">
        <v>247</v>
      </c>
      <c r="D682" s="26" t="s">
        <v>17</v>
      </c>
      <c r="E682" s="27" t="n">
        <v>30.8</v>
      </c>
      <c r="F682" s="20"/>
      <c r="G682" s="29" t="n">
        <f aca="false">E682*F682</f>
        <v>0</v>
      </c>
      <c r="H682" s="34"/>
    </row>
    <row r="683" s="35" customFormat="true" ht="14.25" hidden="false" customHeight="false" outlineLevel="0" collapsed="false">
      <c r="A683" s="23" t="n">
        <v>12</v>
      </c>
      <c r="B683" s="24"/>
      <c r="C683" s="25" t="s">
        <v>248</v>
      </c>
      <c r="D683" s="26" t="s">
        <v>35</v>
      </c>
      <c r="E683" s="27" t="n">
        <v>81</v>
      </c>
      <c r="F683" s="20"/>
      <c r="G683" s="29" t="n">
        <f aca="false">E683*F683</f>
        <v>0</v>
      </c>
      <c r="H683" s="34"/>
    </row>
    <row r="684" s="35" customFormat="true" ht="14.25" hidden="false" customHeight="true" outlineLevel="0" collapsed="false">
      <c r="A684" s="57" t="s">
        <v>294</v>
      </c>
      <c r="B684" s="57"/>
      <c r="C684" s="57"/>
      <c r="D684" s="57"/>
      <c r="E684" s="57"/>
      <c r="F684" s="57"/>
      <c r="G684" s="57"/>
      <c r="H684" s="34"/>
    </row>
    <row r="685" s="35" customFormat="true" ht="14.25" hidden="false" customHeight="false" outlineLevel="0" collapsed="false">
      <c r="A685" s="23" t="n">
        <v>1</v>
      </c>
      <c r="B685" s="24"/>
      <c r="C685" s="25" t="s">
        <v>252</v>
      </c>
      <c r="D685" s="26" t="s">
        <v>253</v>
      </c>
      <c r="E685" s="27" t="n">
        <v>0.2</v>
      </c>
      <c r="F685" s="20"/>
      <c r="G685" s="29" t="n">
        <f aca="false">E685*F685</f>
        <v>0</v>
      </c>
      <c r="H685" s="34"/>
    </row>
    <row r="686" s="35" customFormat="true" ht="14.25" hidden="false" customHeight="false" outlineLevel="0" collapsed="false">
      <c r="A686" s="23" t="n">
        <v>2</v>
      </c>
      <c r="B686" s="24"/>
      <c r="C686" s="25" t="s">
        <v>254</v>
      </c>
      <c r="D686" s="26" t="s">
        <v>17</v>
      </c>
      <c r="E686" s="27" t="n">
        <v>10</v>
      </c>
      <c r="F686" s="20"/>
      <c r="G686" s="29" t="n">
        <f aca="false">E686*F686</f>
        <v>0</v>
      </c>
      <c r="H686" s="34"/>
    </row>
    <row r="687" s="35" customFormat="true" ht="14.25" hidden="false" customHeight="false" outlineLevel="0" collapsed="false">
      <c r="A687" s="23" t="n">
        <v>3</v>
      </c>
      <c r="B687" s="24"/>
      <c r="C687" s="25" t="s">
        <v>255</v>
      </c>
      <c r="D687" s="26" t="s">
        <v>17</v>
      </c>
      <c r="E687" s="27" t="n">
        <v>10</v>
      </c>
      <c r="F687" s="20"/>
      <c r="G687" s="29" t="n">
        <f aca="false">E687*F687</f>
        <v>0</v>
      </c>
      <c r="H687" s="34"/>
    </row>
    <row r="688" s="35" customFormat="true" ht="14.25" hidden="false" customHeight="false" outlineLevel="0" collapsed="false">
      <c r="A688" s="23" t="n">
        <v>4</v>
      </c>
      <c r="B688" s="24"/>
      <c r="C688" s="25" t="s">
        <v>256</v>
      </c>
      <c r="D688" s="26" t="s">
        <v>17</v>
      </c>
      <c r="E688" s="27" t="n">
        <v>10</v>
      </c>
      <c r="F688" s="20"/>
      <c r="G688" s="29" t="n">
        <f aca="false">E688*F688</f>
        <v>0</v>
      </c>
      <c r="H688" s="34"/>
    </row>
    <row r="689" s="35" customFormat="true" ht="14.25" hidden="false" customHeight="false" outlineLevel="0" collapsed="false">
      <c r="A689" s="23" t="n">
        <v>5</v>
      </c>
      <c r="B689" s="24"/>
      <c r="C689" s="25" t="s">
        <v>257</v>
      </c>
      <c r="D689" s="26" t="s">
        <v>17</v>
      </c>
      <c r="E689" s="27" t="n">
        <v>129.5</v>
      </c>
      <c r="F689" s="20"/>
      <c r="G689" s="29" t="n">
        <f aca="false">E689*F689</f>
        <v>0</v>
      </c>
      <c r="H689" s="34"/>
    </row>
    <row r="690" s="35" customFormat="true" ht="14.25" hidden="false" customHeight="false" outlineLevel="0" collapsed="false">
      <c r="A690" s="23" t="n">
        <v>6</v>
      </c>
      <c r="B690" s="24"/>
      <c r="C690" s="25" t="s">
        <v>42</v>
      </c>
      <c r="D690" s="26" t="s">
        <v>17</v>
      </c>
      <c r="E690" s="27" t="n">
        <v>21.1</v>
      </c>
      <c r="F690" s="20"/>
      <c r="G690" s="29" t="n">
        <f aca="false">E690*F690</f>
        <v>0</v>
      </c>
      <c r="H690" s="34"/>
    </row>
    <row r="691" s="35" customFormat="true" ht="14.25" hidden="false" customHeight="false" outlineLevel="0" collapsed="false">
      <c r="A691" s="23" t="n">
        <v>7</v>
      </c>
      <c r="B691" s="24"/>
      <c r="C691" s="25" t="s">
        <v>243</v>
      </c>
      <c r="D691" s="26" t="s">
        <v>35</v>
      </c>
      <c r="E691" s="27" t="n">
        <v>57.2</v>
      </c>
      <c r="F691" s="20"/>
      <c r="G691" s="29" t="n">
        <f aca="false">E691*F691</f>
        <v>0</v>
      </c>
      <c r="H691" s="34"/>
    </row>
    <row r="692" s="35" customFormat="true" ht="14.25" hidden="false" customHeight="false" outlineLevel="0" collapsed="false">
      <c r="A692" s="23" t="n">
        <v>8</v>
      </c>
      <c r="B692" s="24"/>
      <c r="C692" s="25" t="s">
        <v>244</v>
      </c>
      <c r="D692" s="26" t="s">
        <v>17</v>
      </c>
      <c r="E692" s="27" t="n">
        <v>32</v>
      </c>
      <c r="F692" s="20"/>
      <c r="G692" s="29" t="n">
        <f aca="false">E692*F692</f>
        <v>0</v>
      </c>
      <c r="H692" s="34"/>
    </row>
    <row r="693" s="35" customFormat="true" ht="23.85" hidden="false" customHeight="false" outlineLevel="0" collapsed="false">
      <c r="A693" s="23" t="n">
        <v>9</v>
      </c>
      <c r="B693" s="24"/>
      <c r="C693" s="25" t="s">
        <v>245</v>
      </c>
      <c r="D693" s="26" t="s">
        <v>188</v>
      </c>
      <c r="E693" s="27" t="n">
        <v>710</v>
      </c>
      <c r="F693" s="20"/>
      <c r="G693" s="29" t="n">
        <f aca="false">E693*F693</f>
        <v>0</v>
      </c>
      <c r="H693" s="34"/>
    </row>
    <row r="694" s="35" customFormat="true" ht="14.25" hidden="false" customHeight="false" outlineLevel="0" collapsed="false">
      <c r="A694" s="23" t="n">
        <v>10</v>
      </c>
      <c r="B694" s="24"/>
      <c r="C694" s="25" t="s">
        <v>246</v>
      </c>
      <c r="D694" s="26" t="s">
        <v>17</v>
      </c>
      <c r="E694" s="27" t="n">
        <v>7.8</v>
      </c>
      <c r="F694" s="20"/>
      <c r="G694" s="29" t="n">
        <f aca="false">E694*F694</f>
        <v>0</v>
      </c>
      <c r="H694" s="34"/>
    </row>
    <row r="695" s="35" customFormat="true" ht="14.25" hidden="false" customHeight="false" outlineLevel="0" collapsed="false">
      <c r="A695" s="23" t="n">
        <v>11</v>
      </c>
      <c r="B695" s="24"/>
      <c r="C695" s="25" t="s">
        <v>247</v>
      </c>
      <c r="D695" s="26" t="s">
        <v>17</v>
      </c>
      <c r="E695" s="27" t="n">
        <v>41.1</v>
      </c>
      <c r="F695" s="20"/>
      <c r="G695" s="29" t="n">
        <f aca="false">E695*F695</f>
        <v>0</v>
      </c>
      <c r="H695" s="34"/>
    </row>
    <row r="696" s="35" customFormat="true" ht="14.25" hidden="false" customHeight="false" outlineLevel="0" collapsed="false">
      <c r="A696" s="23" t="n">
        <v>12</v>
      </c>
      <c r="B696" s="24"/>
      <c r="C696" s="25" t="s">
        <v>248</v>
      </c>
      <c r="D696" s="26" t="s">
        <v>35</v>
      </c>
      <c r="E696" s="27" t="n">
        <v>108</v>
      </c>
      <c r="F696" s="20"/>
      <c r="G696" s="29" t="n">
        <f aca="false">E696*F696</f>
        <v>0</v>
      </c>
      <c r="H696" s="34"/>
    </row>
    <row r="697" s="35" customFormat="true" ht="16.5" hidden="false" customHeight="true" outlineLevel="0" collapsed="false">
      <c r="A697" s="57" t="s">
        <v>295</v>
      </c>
      <c r="B697" s="57"/>
      <c r="C697" s="57"/>
      <c r="D697" s="57"/>
      <c r="E697" s="57"/>
      <c r="F697" s="57"/>
      <c r="G697" s="57"/>
      <c r="H697" s="34"/>
    </row>
    <row r="698" s="35" customFormat="true" ht="23.85" hidden="false" customHeight="false" outlineLevel="0" collapsed="false">
      <c r="A698" s="23" t="n">
        <v>1</v>
      </c>
      <c r="B698" s="24"/>
      <c r="C698" s="25" t="s">
        <v>241</v>
      </c>
      <c r="D698" s="26" t="s">
        <v>17</v>
      </c>
      <c r="E698" s="27" t="n">
        <v>1.8</v>
      </c>
      <c r="F698" s="20"/>
      <c r="G698" s="29" t="n">
        <f aca="false">E698*F698</f>
        <v>0</v>
      </c>
      <c r="H698" s="34"/>
    </row>
    <row r="699" s="35" customFormat="true" ht="14.25" hidden="false" customHeight="false" outlineLevel="0" collapsed="false">
      <c r="A699" s="23" t="n">
        <v>2</v>
      </c>
      <c r="B699" s="24"/>
      <c r="C699" s="25" t="s">
        <v>42</v>
      </c>
      <c r="D699" s="26" t="s">
        <v>17</v>
      </c>
      <c r="E699" s="27" t="n">
        <v>0.9</v>
      </c>
      <c r="F699" s="20"/>
      <c r="G699" s="29" t="n">
        <f aca="false">E699*F699</f>
        <v>0</v>
      </c>
      <c r="H699" s="34"/>
    </row>
    <row r="700" s="35" customFormat="true" ht="14.25" hidden="false" customHeight="false" outlineLevel="0" collapsed="false">
      <c r="A700" s="23" t="n">
        <v>3</v>
      </c>
      <c r="B700" s="24"/>
      <c r="C700" s="25" t="s">
        <v>259</v>
      </c>
      <c r="D700" s="26" t="s">
        <v>35</v>
      </c>
      <c r="E700" s="27" t="n">
        <v>4.6</v>
      </c>
      <c r="F700" s="20"/>
      <c r="G700" s="29" t="n">
        <f aca="false">E700*F700</f>
        <v>0</v>
      </c>
      <c r="H700" s="34"/>
    </row>
    <row r="701" s="35" customFormat="true" ht="14.25" hidden="false" customHeight="false" outlineLevel="0" collapsed="false">
      <c r="A701" s="23" t="n">
        <v>4</v>
      </c>
      <c r="B701" s="24"/>
      <c r="C701" s="25" t="s">
        <v>244</v>
      </c>
      <c r="D701" s="26" t="s">
        <v>17</v>
      </c>
      <c r="E701" s="27" t="n">
        <v>0.8</v>
      </c>
      <c r="F701" s="20"/>
      <c r="G701" s="29" t="n">
        <f aca="false">E701*F701</f>
        <v>0</v>
      </c>
      <c r="H701" s="34"/>
    </row>
    <row r="702" s="35" customFormat="true" ht="14.25" hidden="false" customHeight="false" outlineLevel="0" collapsed="false">
      <c r="A702" s="23" t="n">
        <v>5</v>
      </c>
      <c r="B702" s="24"/>
      <c r="C702" s="25" t="s">
        <v>260</v>
      </c>
      <c r="D702" s="26" t="s">
        <v>188</v>
      </c>
      <c r="E702" s="27" t="n">
        <v>0.5</v>
      </c>
      <c r="F702" s="20"/>
      <c r="G702" s="29" t="n">
        <f aca="false">E702*F702</f>
        <v>0</v>
      </c>
      <c r="H702" s="34"/>
    </row>
    <row r="703" s="43" customFormat="true" ht="15" hidden="false" customHeight="true" outlineLevel="0" collapsed="false">
      <c r="A703" s="60" t="s">
        <v>296</v>
      </c>
      <c r="B703" s="60"/>
      <c r="C703" s="60"/>
      <c r="D703" s="60"/>
      <c r="E703" s="60"/>
      <c r="F703" s="39" t="s">
        <v>39</v>
      </c>
      <c r="G703" s="61" t="n">
        <f aca="false">SUM(G253:G702)</f>
        <v>0</v>
      </c>
      <c r="H703" s="41"/>
      <c r="I703" s="42"/>
    </row>
    <row r="704" s="63" customFormat="true" ht="14.25" hidden="false" customHeight="true" outlineLevel="0" collapsed="false">
      <c r="A704" s="10" t="s">
        <v>297</v>
      </c>
      <c r="B704" s="10"/>
      <c r="C704" s="10"/>
      <c r="D704" s="10"/>
      <c r="E704" s="10"/>
      <c r="F704" s="10"/>
      <c r="G704" s="10"/>
      <c r="H704" s="44"/>
      <c r="I704" s="62"/>
    </row>
    <row r="705" s="43" customFormat="true" ht="17.9" hidden="false" customHeight="true" outlineLevel="0" collapsed="false">
      <c r="A705" s="12" t="s">
        <v>12</v>
      </c>
      <c r="B705" s="12"/>
      <c r="C705" s="13" t="s">
        <v>13</v>
      </c>
      <c r="D705" s="13"/>
      <c r="E705" s="13"/>
      <c r="F705" s="13"/>
      <c r="G705" s="13"/>
      <c r="H705" s="41"/>
      <c r="I705" s="42"/>
    </row>
    <row r="706" s="43" customFormat="true" ht="202.95" hidden="false" customHeight="false" outlineLevel="0" collapsed="false">
      <c r="A706" s="15" t="s">
        <v>115</v>
      </c>
      <c r="B706" s="16"/>
      <c r="C706" s="17" t="s">
        <v>298</v>
      </c>
      <c r="D706" s="18" t="s">
        <v>68</v>
      </c>
      <c r="E706" s="47" t="n">
        <v>1</v>
      </c>
      <c r="F706" s="20"/>
      <c r="G706" s="21" t="n">
        <f aca="false">E706*F706</f>
        <v>0</v>
      </c>
      <c r="H706" s="41"/>
      <c r="I706" s="64"/>
    </row>
    <row r="707" s="43" customFormat="true" ht="14.25" hidden="false" customHeight="false" outlineLevel="0" collapsed="false">
      <c r="A707" s="15" t="s">
        <v>116</v>
      </c>
      <c r="B707" s="16"/>
      <c r="C707" s="17" t="s">
        <v>66</v>
      </c>
      <c r="D707" s="65" t="s">
        <v>20</v>
      </c>
      <c r="E707" s="66" t="n">
        <v>5</v>
      </c>
      <c r="F707" s="20"/>
      <c r="G707" s="67" t="n">
        <f aca="false">E707*F707</f>
        <v>0</v>
      </c>
      <c r="H707" s="41"/>
      <c r="I707" s="64"/>
    </row>
    <row r="708" s="43" customFormat="true" ht="17.9" hidden="false" customHeight="true" outlineLevel="0" collapsed="false">
      <c r="A708" s="12" t="s">
        <v>30</v>
      </c>
      <c r="B708" s="12"/>
      <c r="C708" s="22" t="s">
        <v>31</v>
      </c>
      <c r="D708" s="22"/>
      <c r="E708" s="22"/>
      <c r="F708" s="22"/>
      <c r="G708" s="22"/>
      <c r="H708" s="41"/>
      <c r="I708" s="42"/>
    </row>
    <row r="709" s="35" customFormat="true" ht="202.95" hidden="false" customHeight="false" outlineLevel="0" collapsed="false">
      <c r="A709" s="23" t="s">
        <v>115</v>
      </c>
      <c r="B709" s="24"/>
      <c r="C709" s="17" t="s">
        <v>299</v>
      </c>
      <c r="D709" s="18" t="s">
        <v>68</v>
      </c>
      <c r="E709" s="47" t="n">
        <v>1</v>
      </c>
      <c r="F709" s="20"/>
      <c r="G709" s="21" t="n">
        <f aca="false">E709*F709</f>
        <v>0</v>
      </c>
      <c r="H709" s="34"/>
      <c r="I709" s="68"/>
      <c r="K709" s="69"/>
    </row>
    <row r="710" s="35" customFormat="true" ht="14.25" hidden="false" customHeight="false" outlineLevel="0" collapsed="false">
      <c r="A710" s="23" t="s">
        <v>116</v>
      </c>
      <c r="B710" s="24"/>
      <c r="C710" s="17" t="s">
        <v>66</v>
      </c>
      <c r="D710" s="65" t="s">
        <v>20</v>
      </c>
      <c r="E710" s="70" t="n">
        <v>5</v>
      </c>
      <c r="F710" s="20"/>
      <c r="G710" s="67" t="n">
        <f aca="false">E710*F710</f>
        <v>0</v>
      </c>
      <c r="H710" s="34"/>
      <c r="I710" s="68"/>
      <c r="K710" s="69"/>
    </row>
    <row r="711" s="43" customFormat="true" ht="17.9" hidden="false" customHeight="true" outlineLevel="0" collapsed="false">
      <c r="A711" s="12" t="s">
        <v>36</v>
      </c>
      <c r="B711" s="12"/>
      <c r="C711" s="30" t="s">
        <v>37</v>
      </c>
      <c r="D711" s="30"/>
      <c r="E711" s="30"/>
      <c r="F711" s="30"/>
      <c r="G711" s="30"/>
      <c r="H711" s="41"/>
    </row>
    <row r="712" s="35" customFormat="true" ht="202.95" hidden="false" customHeight="false" outlineLevel="0" collapsed="false">
      <c r="A712" s="23" t="s">
        <v>115</v>
      </c>
      <c r="B712" s="24"/>
      <c r="C712" s="17" t="s">
        <v>299</v>
      </c>
      <c r="D712" s="18" t="s">
        <v>68</v>
      </c>
      <c r="E712" s="47" t="n">
        <v>1</v>
      </c>
      <c r="F712" s="20"/>
      <c r="G712" s="21" t="n">
        <f aca="false">E712*F712</f>
        <v>0</v>
      </c>
      <c r="H712" s="34"/>
    </row>
    <row r="713" s="35" customFormat="true" ht="14.25" hidden="false" customHeight="false" outlineLevel="0" collapsed="false">
      <c r="A713" s="23" t="s">
        <v>116</v>
      </c>
      <c r="B713" s="24"/>
      <c r="C713" s="17" t="s">
        <v>66</v>
      </c>
      <c r="D713" s="65" t="s">
        <v>20</v>
      </c>
      <c r="E713" s="70" t="n">
        <v>5</v>
      </c>
      <c r="F713" s="20"/>
      <c r="G713" s="67" t="n">
        <f aca="false">E713*F713</f>
        <v>0</v>
      </c>
      <c r="H713" s="34"/>
    </row>
    <row r="714" s="43" customFormat="true" ht="15" hidden="false" customHeight="true" outlineLevel="0" collapsed="false">
      <c r="A714" s="71" t="s">
        <v>300</v>
      </c>
      <c r="B714" s="71"/>
      <c r="C714" s="71"/>
      <c r="D714" s="71"/>
      <c r="E714" s="71"/>
      <c r="F714" s="72" t="s">
        <v>39</v>
      </c>
      <c r="G714" s="73" t="n">
        <f aca="false">SUM(G706:G713)</f>
        <v>0</v>
      </c>
      <c r="H714" s="74"/>
      <c r="I714" s="42"/>
    </row>
    <row r="717" s="78" customFormat="true" ht="17.9" hidden="false" customHeight="true" outlineLevel="0" collapsed="false">
      <c r="A717" s="75"/>
      <c r="B717" s="75"/>
      <c r="C717" s="76" t="s">
        <v>301</v>
      </c>
      <c r="D717" s="76"/>
      <c r="E717" s="76"/>
      <c r="F717" s="76"/>
      <c r="G717" s="77"/>
      <c r="I717" s="79"/>
    </row>
    <row r="718" s="43" customFormat="true" ht="14.25" hidden="false" customHeight="false" outlineLevel="0" collapsed="false">
      <c r="A718" s="80"/>
      <c r="B718" s="80"/>
      <c r="C718" s="80"/>
      <c r="D718" s="80"/>
      <c r="E718" s="81"/>
      <c r="F718" s="80"/>
      <c r="G718" s="82"/>
      <c r="I718" s="42"/>
    </row>
    <row r="719" s="83" customFormat="true" ht="14.25" hidden="false" customHeight="false" outlineLevel="0" collapsed="false">
      <c r="B719" s="84"/>
      <c r="C719" s="85" t="s">
        <v>11</v>
      </c>
      <c r="E719" s="86" t="n">
        <f aca="false">G57</f>
        <v>0</v>
      </c>
      <c r="F719" s="87" t="s">
        <v>302</v>
      </c>
      <c r="G719" s="88"/>
      <c r="I719" s="89"/>
    </row>
    <row r="720" s="83" customFormat="true" ht="14.25" hidden="false" customHeight="false" outlineLevel="0" collapsed="false">
      <c r="B720" s="84"/>
      <c r="C720" s="85" t="s">
        <v>40</v>
      </c>
      <c r="E720" s="86" t="n">
        <f aca="false">G80</f>
        <v>0</v>
      </c>
      <c r="F720" s="87" t="s">
        <v>302</v>
      </c>
      <c r="G720" s="88"/>
      <c r="I720" s="89"/>
    </row>
    <row r="721" s="83" customFormat="true" ht="14.25" hidden="false" customHeight="false" outlineLevel="0" collapsed="false">
      <c r="B721" s="84"/>
      <c r="C721" s="85" t="s">
        <v>47</v>
      </c>
      <c r="E721" s="86" t="n">
        <f aca="false">G110</f>
        <v>0</v>
      </c>
      <c r="F721" s="87" t="s">
        <v>302</v>
      </c>
      <c r="G721" s="88"/>
      <c r="I721" s="89"/>
    </row>
    <row r="722" s="83" customFormat="true" ht="14.25" hidden="false" customHeight="false" outlineLevel="0" collapsed="false">
      <c r="B722" s="84"/>
      <c r="C722" s="85" t="s">
        <v>60</v>
      </c>
      <c r="E722" s="86" t="n">
        <f aca="false">G122</f>
        <v>0</v>
      </c>
      <c r="F722" s="87" t="s">
        <v>302</v>
      </c>
      <c r="G722" s="88"/>
      <c r="I722" s="89"/>
    </row>
    <row r="723" s="83" customFormat="true" ht="14.25" hidden="false" customHeight="false" outlineLevel="0" collapsed="false">
      <c r="B723" s="84"/>
      <c r="C723" s="85" t="s">
        <v>64</v>
      </c>
      <c r="E723" s="86" t="n">
        <f aca="false">G226</f>
        <v>0</v>
      </c>
      <c r="F723" s="87" t="s">
        <v>302</v>
      </c>
      <c r="G723" s="88"/>
      <c r="I723" s="89"/>
    </row>
    <row r="724" s="83" customFormat="true" ht="14.25" hidden="false" customHeight="false" outlineLevel="0" collapsed="false">
      <c r="B724" s="84"/>
      <c r="C724" s="85" t="s">
        <v>169</v>
      </c>
      <c r="E724" s="86" t="n">
        <f aca="false">G249</f>
        <v>0</v>
      </c>
      <c r="F724" s="87" t="s">
        <v>302</v>
      </c>
      <c r="G724" s="88"/>
      <c r="I724" s="89"/>
    </row>
    <row r="725" s="83" customFormat="true" ht="14.25" hidden="false" customHeight="false" outlineLevel="0" collapsed="false">
      <c r="B725" s="84"/>
      <c r="C725" s="85" t="s">
        <v>178</v>
      </c>
      <c r="E725" s="86" t="n">
        <f aca="false">G703</f>
        <v>0</v>
      </c>
      <c r="F725" s="87" t="s">
        <v>302</v>
      </c>
      <c r="G725" s="88"/>
      <c r="I725" s="89"/>
    </row>
    <row r="726" s="83" customFormat="true" ht="14.25" hidden="false" customHeight="false" outlineLevel="0" collapsed="false">
      <c r="B726" s="84"/>
      <c r="C726" s="85" t="s">
        <v>297</v>
      </c>
      <c r="E726" s="86" t="n">
        <f aca="false">G714</f>
        <v>0</v>
      </c>
      <c r="F726" s="87" t="s">
        <v>302</v>
      </c>
      <c r="G726" s="88"/>
      <c r="I726" s="89"/>
    </row>
    <row r="727" s="90" customFormat="true" ht="14.25" hidden="false" customHeight="false" outlineLevel="0" collapsed="false">
      <c r="B727" s="91"/>
      <c r="C727" s="92"/>
      <c r="D727" s="93"/>
      <c r="E727" s="93"/>
      <c r="F727" s="94"/>
      <c r="G727" s="95"/>
      <c r="I727" s="96"/>
    </row>
    <row r="728" s="97" customFormat="true" ht="14.25" hidden="false" customHeight="true" outlineLevel="0" collapsed="false">
      <c r="C728" s="97" t="s">
        <v>303</v>
      </c>
      <c r="E728" s="98" t="n">
        <f aca="false">SUM(E719:E726)</f>
        <v>0</v>
      </c>
      <c r="F728" s="87" t="s">
        <v>302</v>
      </c>
      <c r="G728" s="99"/>
      <c r="H728" s="99"/>
      <c r="I728" s="100"/>
    </row>
    <row r="729" s="101" customFormat="true" ht="10.5" hidden="false" customHeight="true" outlineLevel="0" collapsed="false">
      <c r="B729" s="102"/>
      <c r="C729" s="103" t="s">
        <v>304</v>
      </c>
      <c r="D729" s="104"/>
      <c r="E729" s="105"/>
      <c r="F729" s="87" t="s">
        <v>302</v>
      </c>
      <c r="G729" s="106"/>
      <c r="H729" s="106"/>
      <c r="I729" s="107"/>
    </row>
    <row r="730" s="90" customFormat="true" ht="14.25" hidden="false" customHeight="false" outlineLevel="0" collapsed="false">
      <c r="B730" s="91"/>
      <c r="C730" s="94"/>
      <c r="D730" s="93"/>
      <c r="E730" s="93"/>
      <c r="F730" s="94"/>
      <c r="G730" s="108"/>
      <c r="H730" s="108"/>
      <c r="I730" s="96"/>
    </row>
    <row r="731" s="97" customFormat="true" ht="14.25" hidden="false" customHeight="true" outlineLevel="0" collapsed="false">
      <c r="C731" s="97" t="s">
        <v>305</v>
      </c>
      <c r="D731" s="98"/>
      <c r="E731" s="98" t="n">
        <f aca="false">E728+E729</f>
        <v>0</v>
      </c>
      <c r="F731" s="87" t="s">
        <v>302</v>
      </c>
      <c r="G731" s="99"/>
      <c r="H731" s="99"/>
      <c r="I731" s="100"/>
    </row>
    <row r="732" s="108" customFormat="true" ht="14.25" hidden="false" customHeight="false" outlineLevel="0" collapsed="false">
      <c r="A732" s="101"/>
      <c r="B732" s="102"/>
      <c r="C732" s="109" t="s">
        <v>306</v>
      </c>
      <c r="E732" s="110" t="n">
        <f aca="false">0.2*E731</f>
        <v>0</v>
      </c>
      <c r="F732" s="87" t="s">
        <v>302</v>
      </c>
      <c r="G732" s="106"/>
      <c r="H732" s="106"/>
      <c r="I732" s="111"/>
    </row>
    <row r="733" s="112" customFormat="true" ht="12.75" hidden="false" customHeight="true" outlineLevel="0" collapsed="false">
      <c r="B733" s="64"/>
      <c r="C733" s="113" t="s">
        <v>307</v>
      </c>
      <c r="E733" s="114" t="n">
        <f aca="false">E731+E732</f>
        <v>0</v>
      </c>
      <c r="F733" s="87" t="s">
        <v>308</v>
      </c>
      <c r="G733" s="115"/>
      <c r="H733" s="115"/>
      <c r="I733" s="116"/>
    </row>
    <row r="734" s="112" customFormat="true" ht="14.25" hidden="false" customHeight="false" outlineLevel="0" collapsed="false">
      <c r="B734" s="64"/>
      <c r="C734" s="113"/>
      <c r="D734" s="117"/>
      <c r="E734" s="117"/>
      <c r="F734" s="87"/>
      <c r="G734" s="118"/>
      <c r="I734" s="116"/>
    </row>
    <row r="735" s="112" customFormat="true" ht="14.25" hidden="false" customHeight="false" outlineLevel="0" collapsed="false">
      <c r="B735" s="64"/>
      <c r="C735" s="113"/>
      <c r="D735" s="117"/>
      <c r="E735" s="117"/>
      <c r="F735" s="87"/>
      <c r="G735" s="118"/>
      <c r="I735" s="116"/>
    </row>
    <row r="736" s="126" customFormat="true" ht="15" hidden="false" customHeight="false" outlineLevel="0" collapsed="false">
      <c r="A736" s="119"/>
      <c r="B736" s="120" t="s">
        <v>309</v>
      </c>
      <c r="C736" s="121" t="s">
        <v>310</v>
      </c>
      <c r="D736" s="122"/>
      <c r="E736" s="123"/>
      <c r="F736" s="124"/>
      <c r="G736" s="124"/>
      <c r="H736" s="125"/>
      <c r="I736" s="125"/>
      <c r="J736" s="125"/>
      <c r="K736" s="124"/>
      <c r="L736" s="124"/>
      <c r="M736" s="124"/>
      <c r="N736" s="124"/>
      <c r="O736" s="124"/>
      <c r="P736" s="124"/>
      <c r="Q736" s="124"/>
      <c r="R736" s="124"/>
      <c r="S736" s="124"/>
      <c r="T736" s="124"/>
      <c r="U736" s="124"/>
      <c r="V736" s="124"/>
      <c r="W736" s="124"/>
      <c r="X736" s="124"/>
      <c r="Y736" s="124"/>
      <c r="Z736" s="124"/>
      <c r="AA736" s="124"/>
      <c r="AB736" s="124"/>
      <c r="AC736" s="124"/>
      <c r="AD736" s="124"/>
      <c r="AE736" s="124"/>
      <c r="AF736" s="124"/>
      <c r="AG736" s="124"/>
      <c r="AH736" s="124"/>
      <c r="AI736" s="124"/>
      <c r="AJ736" s="124"/>
      <c r="AK736" s="124"/>
      <c r="AL736" s="124"/>
      <c r="AM736" s="124"/>
      <c r="AN736" s="124"/>
      <c r="AO736" s="124"/>
      <c r="AP736" s="124"/>
      <c r="AQ736" s="124"/>
      <c r="AR736" s="124"/>
      <c r="AS736" s="124"/>
      <c r="AT736" s="124"/>
      <c r="AU736" s="124"/>
      <c r="AV736" s="124"/>
      <c r="AW736" s="124"/>
      <c r="AX736" s="124"/>
      <c r="AY736" s="124"/>
      <c r="AZ736" s="124"/>
      <c r="BA736" s="124"/>
      <c r="BB736" s="124"/>
      <c r="BC736" s="124"/>
      <c r="BD736" s="124"/>
      <c r="BE736" s="124"/>
      <c r="BF736" s="124"/>
      <c r="BG736" s="124"/>
      <c r="BH736" s="124"/>
      <c r="BI736" s="124"/>
      <c r="BJ736" s="124"/>
      <c r="BK736" s="124"/>
      <c r="BL736" s="124"/>
      <c r="BM736" s="124"/>
      <c r="BN736" s="124"/>
      <c r="BO736" s="124"/>
      <c r="BP736" s="124"/>
      <c r="BQ736" s="124"/>
      <c r="BR736" s="124"/>
      <c r="BS736" s="124"/>
      <c r="BT736" s="124"/>
      <c r="BU736" s="124"/>
      <c r="BV736" s="124"/>
      <c r="BW736" s="124"/>
      <c r="BX736" s="124"/>
      <c r="BY736" s="124"/>
      <c r="BZ736" s="124"/>
      <c r="CA736" s="124"/>
      <c r="CB736" s="124"/>
      <c r="CC736" s="124"/>
      <c r="CD736" s="124"/>
      <c r="CE736" s="124"/>
      <c r="CF736" s="124"/>
      <c r="CG736" s="124"/>
      <c r="CH736" s="124"/>
      <c r="CI736" s="124"/>
      <c r="CJ736" s="124"/>
      <c r="CK736" s="124"/>
      <c r="CL736" s="124"/>
      <c r="CM736" s="124"/>
      <c r="CN736" s="124"/>
      <c r="CO736" s="124"/>
      <c r="CP736" s="124"/>
      <c r="CQ736" s="124"/>
      <c r="CR736" s="124"/>
      <c r="CS736" s="124"/>
      <c r="CT736" s="124"/>
      <c r="CU736" s="124"/>
      <c r="CV736" s="124"/>
      <c r="CW736" s="124"/>
      <c r="CX736" s="124"/>
      <c r="CY736" s="124"/>
      <c r="CZ736" s="124"/>
      <c r="DA736" s="124"/>
      <c r="DB736" s="124"/>
      <c r="DC736" s="124"/>
      <c r="DD736" s="124"/>
      <c r="DE736" s="124"/>
      <c r="DF736" s="124"/>
      <c r="DG736" s="124"/>
      <c r="DH736" s="124"/>
      <c r="DI736" s="124"/>
      <c r="DJ736" s="124"/>
      <c r="DK736" s="124"/>
      <c r="DL736" s="124"/>
      <c r="DM736" s="124"/>
      <c r="DN736" s="124"/>
      <c r="DO736" s="124"/>
      <c r="DP736" s="124"/>
      <c r="DQ736" s="124"/>
      <c r="DR736" s="124"/>
      <c r="DS736" s="124"/>
      <c r="DT736" s="124"/>
      <c r="DU736" s="124"/>
      <c r="DV736" s="124"/>
      <c r="DW736" s="124"/>
      <c r="DX736" s="124"/>
      <c r="DY736" s="124"/>
      <c r="DZ736" s="124"/>
      <c r="EA736" s="124"/>
      <c r="EB736" s="124"/>
      <c r="EC736" s="124"/>
      <c r="ED736" s="124"/>
      <c r="EE736" s="124"/>
      <c r="EF736" s="124"/>
      <c r="EG736" s="124"/>
      <c r="EH736" s="124"/>
      <c r="EI736" s="124"/>
      <c r="EJ736" s="124"/>
      <c r="EK736" s="124"/>
      <c r="EL736" s="124"/>
      <c r="EM736" s="124"/>
      <c r="EN736" s="124"/>
      <c r="EO736" s="124"/>
      <c r="EP736" s="124"/>
      <c r="EQ736" s="124"/>
      <c r="ER736" s="124"/>
      <c r="ES736" s="124"/>
      <c r="ET736" s="124"/>
      <c r="EU736" s="124"/>
      <c r="EV736" s="124"/>
      <c r="EW736" s="124"/>
      <c r="EX736" s="124"/>
      <c r="EY736" s="124"/>
      <c r="EZ736" s="124"/>
      <c r="FA736" s="124"/>
      <c r="FB736" s="124"/>
      <c r="FC736" s="124"/>
      <c r="FD736" s="124"/>
      <c r="FE736" s="124"/>
      <c r="FF736" s="124"/>
      <c r="FG736" s="124"/>
      <c r="FH736" s="124"/>
      <c r="FI736" s="124"/>
      <c r="FJ736" s="124"/>
      <c r="FK736" s="124"/>
      <c r="FL736" s="124"/>
      <c r="FM736" s="124"/>
      <c r="FN736" s="124"/>
      <c r="FO736" s="124"/>
      <c r="FP736" s="124"/>
      <c r="FQ736" s="124"/>
      <c r="FR736" s="124"/>
      <c r="FS736" s="124"/>
      <c r="FT736" s="124"/>
      <c r="FU736" s="124"/>
      <c r="FV736" s="124"/>
      <c r="FW736" s="124"/>
      <c r="FX736" s="124"/>
      <c r="FY736" s="124"/>
      <c r="FZ736" s="124"/>
      <c r="GA736" s="124"/>
      <c r="GB736" s="124"/>
      <c r="GC736" s="124"/>
      <c r="GD736" s="124"/>
      <c r="GE736" s="124"/>
      <c r="GF736" s="124"/>
      <c r="GG736" s="124"/>
      <c r="GH736" s="124"/>
      <c r="GI736" s="124"/>
      <c r="GJ736" s="124"/>
      <c r="GK736" s="124"/>
      <c r="GL736" s="124"/>
      <c r="GM736" s="124"/>
      <c r="GN736" s="124"/>
      <c r="GO736" s="124"/>
      <c r="GP736" s="124"/>
      <c r="GQ736" s="124"/>
      <c r="GR736" s="124"/>
      <c r="GS736" s="124"/>
      <c r="GT736" s="124"/>
      <c r="GU736" s="124"/>
      <c r="GV736" s="124"/>
      <c r="GW736" s="124"/>
      <c r="GX736" s="124"/>
      <c r="GY736" s="124"/>
      <c r="GZ736" s="124"/>
      <c r="HA736" s="124"/>
      <c r="HB736" s="124"/>
      <c r="HC736" s="124"/>
      <c r="HD736" s="124"/>
      <c r="HE736" s="124"/>
      <c r="HF736" s="124"/>
      <c r="HG736" s="124"/>
      <c r="HH736" s="124"/>
      <c r="HI736" s="124"/>
      <c r="HJ736" s="124"/>
      <c r="HK736" s="124"/>
      <c r="HL736" s="124"/>
      <c r="HM736" s="124"/>
      <c r="HN736" s="124"/>
      <c r="HO736" s="124"/>
      <c r="HP736" s="124"/>
      <c r="HQ736" s="124"/>
      <c r="HR736" s="124"/>
      <c r="HS736" s="124"/>
      <c r="HT736" s="124"/>
      <c r="HU736" s="124"/>
      <c r="HV736" s="124"/>
      <c r="HW736" s="124"/>
      <c r="HX736" s="124"/>
      <c r="HY736" s="124"/>
      <c r="HZ736" s="124"/>
      <c r="IA736" s="124"/>
      <c r="IB736" s="124"/>
      <c r="IC736" s="124"/>
      <c r="ID736" s="124"/>
      <c r="IE736" s="124"/>
      <c r="IF736" s="124"/>
      <c r="IG736" s="124"/>
      <c r="IH736" s="124"/>
      <c r="II736" s="124"/>
      <c r="IJ736" s="124"/>
      <c r="IK736" s="124"/>
      <c r="IL736" s="124"/>
      <c r="IM736" s="124"/>
      <c r="IN736" s="124"/>
      <c r="IO736" s="124"/>
      <c r="IP736" s="124"/>
      <c r="IQ736" s="124"/>
      <c r="IR736" s="124"/>
      <c r="IS736" s="124"/>
      <c r="IT736" s="124"/>
      <c r="IU736" s="124"/>
      <c r="IV736" s="124"/>
    </row>
    <row r="737" s="126" customFormat="true" ht="15" hidden="false" customHeight="false" outlineLevel="0" collapsed="false">
      <c r="A737" s="119"/>
      <c r="B737" s="120"/>
      <c r="C737" s="121"/>
      <c r="D737" s="122"/>
      <c r="E737" s="123"/>
      <c r="F737" s="124"/>
      <c r="G737" s="124"/>
      <c r="H737" s="125"/>
      <c r="I737" s="125"/>
      <c r="J737" s="125"/>
      <c r="K737" s="124"/>
      <c r="L737" s="124"/>
      <c r="M737" s="124"/>
      <c r="N737" s="124"/>
      <c r="O737" s="124"/>
      <c r="P737" s="124"/>
      <c r="Q737" s="124"/>
      <c r="R737" s="124"/>
      <c r="S737" s="124"/>
      <c r="T737" s="124"/>
      <c r="U737" s="124"/>
      <c r="V737" s="124"/>
      <c r="W737" s="124"/>
      <c r="X737" s="124"/>
      <c r="Y737" s="124"/>
      <c r="Z737" s="124"/>
      <c r="AA737" s="124"/>
      <c r="AB737" s="124"/>
      <c r="AC737" s="124"/>
      <c r="AD737" s="124"/>
      <c r="AE737" s="124"/>
      <c r="AF737" s="124"/>
      <c r="AG737" s="124"/>
      <c r="AH737" s="124"/>
      <c r="AI737" s="124"/>
      <c r="AJ737" s="124"/>
      <c r="AK737" s="124"/>
      <c r="AL737" s="124"/>
      <c r="AM737" s="124"/>
      <c r="AN737" s="124"/>
      <c r="AO737" s="124"/>
      <c r="AP737" s="124"/>
      <c r="AQ737" s="124"/>
      <c r="AR737" s="124"/>
      <c r="AS737" s="124"/>
      <c r="AT737" s="124"/>
      <c r="AU737" s="124"/>
      <c r="AV737" s="124"/>
      <c r="AW737" s="124"/>
      <c r="AX737" s="124"/>
      <c r="AY737" s="124"/>
      <c r="AZ737" s="124"/>
      <c r="BA737" s="124"/>
      <c r="BB737" s="124"/>
      <c r="BC737" s="124"/>
      <c r="BD737" s="124"/>
      <c r="BE737" s="124"/>
      <c r="BF737" s="124"/>
      <c r="BG737" s="124"/>
      <c r="BH737" s="124"/>
      <c r="BI737" s="124"/>
      <c r="BJ737" s="124"/>
      <c r="BK737" s="124"/>
      <c r="BL737" s="124"/>
      <c r="BM737" s="124"/>
      <c r="BN737" s="124"/>
      <c r="BO737" s="124"/>
      <c r="BP737" s="124"/>
      <c r="BQ737" s="124"/>
      <c r="BR737" s="124"/>
      <c r="BS737" s="124"/>
      <c r="BT737" s="124"/>
      <c r="BU737" s="124"/>
      <c r="BV737" s="124"/>
      <c r="BW737" s="124"/>
      <c r="BX737" s="124"/>
      <c r="BY737" s="124"/>
      <c r="BZ737" s="124"/>
      <c r="CA737" s="124"/>
      <c r="CB737" s="124"/>
      <c r="CC737" s="124"/>
      <c r="CD737" s="124"/>
      <c r="CE737" s="124"/>
      <c r="CF737" s="124"/>
      <c r="CG737" s="124"/>
      <c r="CH737" s="124"/>
      <c r="CI737" s="124"/>
      <c r="CJ737" s="124"/>
      <c r="CK737" s="124"/>
      <c r="CL737" s="124"/>
      <c r="CM737" s="124"/>
      <c r="CN737" s="124"/>
      <c r="CO737" s="124"/>
      <c r="CP737" s="124"/>
      <c r="CQ737" s="124"/>
      <c r="CR737" s="124"/>
      <c r="CS737" s="124"/>
      <c r="CT737" s="124"/>
      <c r="CU737" s="124"/>
      <c r="CV737" s="124"/>
      <c r="CW737" s="124"/>
      <c r="CX737" s="124"/>
      <c r="CY737" s="124"/>
      <c r="CZ737" s="124"/>
      <c r="DA737" s="124"/>
      <c r="DB737" s="124"/>
      <c r="DC737" s="124"/>
      <c r="DD737" s="124"/>
      <c r="DE737" s="124"/>
      <c r="DF737" s="124"/>
      <c r="DG737" s="124"/>
      <c r="DH737" s="124"/>
      <c r="DI737" s="124"/>
      <c r="DJ737" s="124"/>
      <c r="DK737" s="124"/>
      <c r="DL737" s="124"/>
      <c r="DM737" s="124"/>
      <c r="DN737" s="124"/>
      <c r="DO737" s="124"/>
      <c r="DP737" s="124"/>
      <c r="DQ737" s="124"/>
      <c r="DR737" s="124"/>
      <c r="DS737" s="124"/>
      <c r="DT737" s="124"/>
      <c r="DU737" s="124"/>
      <c r="DV737" s="124"/>
      <c r="DW737" s="124"/>
      <c r="DX737" s="124"/>
      <c r="DY737" s="124"/>
      <c r="DZ737" s="124"/>
      <c r="EA737" s="124"/>
      <c r="EB737" s="124"/>
      <c r="EC737" s="124"/>
      <c r="ED737" s="124"/>
      <c r="EE737" s="124"/>
      <c r="EF737" s="124"/>
      <c r="EG737" s="124"/>
      <c r="EH737" s="124"/>
      <c r="EI737" s="124"/>
      <c r="EJ737" s="124"/>
      <c r="EK737" s="124"/>
      <c r="EL737" s="124"/>
      <c r="EM737" s="124"/>
      <c r="EN737" s="124"/>
      <c r="EO737" s="124"/>
      <c r="EP737" s="124"/>
      <c r="EQ737" s="124"/>
      <c r="ER737" s="124"/>
      <c r="ES737" s="124"/>
      <c r="ET737" s="124"/>
      <c r="EU737" s="124"/>
      <c r="EV737" s="124"/>
      <c r="EW737" s="124"/>
      <c r="EX737" s="124"/>
      <c r="EY737" s="124"/>
      <c r="EZ737" s="124"/>
      <c r="FA737" s="124"/>
      <c r="FB737" s="124"/>
      <c r="FC737" s="124"/>
      <c r="FD737" s="124"/>
      <c r="FE737" s="124"/>
      <c r="FF737" s="124"/>
      <c r="FG737" s="124"/>
      <c r="FH737" s="124"/>
      <c r="FI737" s="124"/>
      <c r="FJ737" s="124"/>
      <c r="FK737" s="124"/>
      <c r="FL737" s="124"/>
      <c r="FM737" s="124"/>
      <c r="FN737" s="124"/>
      <c r="FO737" s="124"/>
      <c r="FP737" s="124"/>
      <c r="FQ737" s="124"/>
      <c r="FR737" s="124"/>
      <c r="FS737" s="124"/>
      <c r="FT737" s="124"/>
      <c r="FU737" s="124"/>
      <c r="FV737" s="124"/>
      <c r="FW737" s="124"/>
      <c r="FX737" s="124"/>
      <c r="FY737" s="124"/>
      <c r="FZ737" s="124"/>
      <c r="GA737" s="124"/>
      <c r="GB737" s="124"/>
      <c r="GC737" s="124"/>
      <c r="GD737" s="124"/>
      <c r="GE737" s="124"/>
      <c r="GF737" s="124"/>
      <c r="GG737" s="124"/>
      <c r="GH737" s="124"/>
      <c r="GI737" s="124"/>
      <c r="GJ737" s="124"/>
      <c r="GK737" s="124"/>
      <c r="GL737" s="124"/>
      <c r="GM737" s="124"/>
      <c r="GN737" s="124"/>
      <c r="GO737" s="124"/>
      <c r="GP737" s="124"/>
      <c r="GQ737" s="124"/>
      <c r="GR737" s="124"/>
      <c r="GS737" s="124"/>
      <c r="GT737" s="124"/>
      <c r="GU737" s="124"/>
      <c r="GV737" s="124"/>
      <c r="GW737" s="124"/>
      <c r="GX737" s="124"/>
      <c r="GY737" s="124"/>
      <c r="GZ737" s="124"/>
      <c r="HA737" s="124"/>
      <c r="HB737" s="124"/>
      <c r="HC737" s="124"/>
      <c r="HD737" s="124"/>
      <c r="HE737" s="124"/>
      <c r="HF737" s="124"/>
      <c r="HG737" s="124"/>
      <c r="HH737" s="124"/>
      <c r="HI737" s="124"/>
      <c r="HJ737" s="124"/>
      <c r="HK737" s="124"/>
      <c r="HL737" s="124"/>
      <c r="HM737" s="124"/>
      <c r="HN737" s="124"/>
      <c r="HO737" s="124"/>
      <c r="HP737" s="124"/>
      <c r="HQ737" s="124"/>
      <c r="HR737" s="124"/>
      <c r="HS737" s="124"/>
      <c r="HT737" s="124"/>
      <c r="HU737" s="124"/>
      <c r="HV737" s="124"/>
      <c r="HW737" s="124"/>
      <c r="HX737" s="124"/>
      <c r="HY737" s="124"/>
      <c r="HZ737" s="124"/>
      <c r="IA737" s="124"/>
      <c r="IB737" s="124"/>
      <c r="IC737" s="124"/>
      <c r="ID737" s="124"/>
      <c r="IE737" s="124"/>
      <c r="IF737" s="124"/>
      <c r="IG737" s="124"/>
      <c r="IH737" s="124"/>
      <c r="II737" s="124"/>
      <c r="IJ737" s="124"/>
      <c r="IK737" s="124"/>
      <c r="IL737" s="124"/>
      <c r="IM737" s="124"/>
      <c r="IN737" s="124"/>
      <c r="IO737" s="124"/>
      <c r="IP737" s="124"/>
      <c r="IQ737" s="124"/>
      <c r="IR737" s="124"/>
      <c r="IS737" s="124"/>
      <c r="IT737" s="124"/>
      <c r="IU737" s="124"/>
      <c r="IV737" s="124"/>
    </row>
    <row r="738" s="126" customFormat="true" ht="15" hidden="false" customHeight="false" outlineLevel="0" collapsed="false">
      <c r="A738" s="119"/>
      <c r="B738" s="120"/>
      <c r="C738" s="121"/>
      <c r="D738" s="122"/>
      <c r="E738" s="123"/>
      <c r="F738" s="124"/>
      <c r="G738" s="124"/>
      <c r="H738" s="125"/>
      <c r="I738" s="125"/>
      <c r="J738" s="125"/>
      <c r="K738" s="124"/>
      <c r="L738" s="124"/>
      <c r="M738" s="124"/>
      <c r="N738" s="124"/>
      <c r="O738" s="124"/>
      <c r="P738" s="124"/>
      <c r="Q738" s="124"/>
      <c r="R738" s="124"/>
      <c r="S738" s="124"/>
      <c r="T738" s="124"/>
      <c r="U738" s="124"/>
      <c r="V738" s="124"/>
      <c r="W738" s="124"/>
      <c r="X738" s="124"/>
      <c r="Y738" s="124"/>
      <c r="Z738" s="124"/>
      <c r="AA738" s="124"/>
      <c r="AB738" s="124"/>
      <c r="AC738" s="124"/>
      <c r="AD738" s="124"/>
      <c r="AE738" s="124"/>
      <c r="AF738" s="124"/>
      <c r="AG738" s="124"/>
      <c r="AH738" s="124"/>
      <c r="AI738" s="124"/>
      <c r="AJ738" s="124"/>
      <c r="AK738" s="124"/>
      <c r="AL738" s="124"/>
      <c r="AM738" s="124"/>
      <c r="AN738" s="124"/>
      <c r="AO738" s="124"/>
      <c r="AP738" s="124"/>
      <c r="AQ738" s="124"/>
      <c r="AR738" s="124"/>
      <c r="AS738" s="124"/>
      <c r="AT738" s="124"/>
      <c r="AU738" s="124"/>
      <c r="AV738" s="124"/>
      <c r="AW738" s="124"/>
      <c r="AX738" s="124"/>
      <c r="AY738" s="124"/>
      <c r="AZ738" s="124"/>
      <c r="BA738" s="124"/>
      <c r="BB738" s="124"/>
      <c r="BC738" s="124"/>
      <c r="BD738" s="124"/>
      <c r="BE738" s="124"/>
      <c r="BF738" s="124"/>
      <c r="BG738" s="124"/>
      <c r="BH738" s="124"/>
      <c r="BI738" s="124"/>
      <c r="BJ738" s="124"/>
      <c r="BK738" s="124"/>
      <c r="BL738" s="124"/>
      <c r="BM738" s="124"/>
      <c r="BN738" s="124"/>
      <c r="BO738" s="124"/>
      <c r="BP738" s="124"/>
      <c r="BQ738" s="124"/>
      <c r="BR738" s="124"/>
      <c r="BS738" s="124"/>
      <c r="BT738" s="124"/>
      <c r="BU738" s="124"/>
      <c r="BV738" s="124"/>
      <c r="BW738" s="124"/>
      <c r="BX738" s="124"/>
      <c r="BY738" s="124"/>
      <c r="BZ738" s="124"/>
      <c r="CA738" s="124"/>
      <c r="CB738" s="124"/>
      <c r="CC738" s="124"/>
      <c r="CD738" s="124"/>
      <c r="CE738" s="124"/>
      <c r="CF738" s="124"/>
      <c r="CG738" s="124"/>
      <c r="CH738" s="124"/>
      <c r="CI738" s="124"/>
      <c r="CJ738" s="124"/>
      <c r="CK738" s="124"/>
      <c r="CL738" s="124"/>
      <c r="CM738" s="124"/>
      <c r="CN738" s="124"/>
      <c r="CO738" s="124"/>
      <c r="CP738" s="124"/>
      <c r="CQ738" s="124"/>
      <c r="CR738" s="124"/>
      <c r="CS738" s="124"/>
      <c r="CT738" s="124"/>
      <c r="CU738" s="124"/>
      <c r="CV738" s="124"/>
      <c r="CW738" s="124"/>
      <c r="CX738" s="124"/>
      <c r="CY738" s="124"/>
      <c r="CZ738" s="124"/>
      <c r="DA738" s="124"/>
      <c r="DB738" s="124"/>
      <c r="DC738" s="124"/>
      <c r="DD738" s="124"/>
      <c r="DE738" s="124"/>
      <c r="DF738" s="124"/>
      <c r="DG738" s="124"/>
      <c r="DH738" s="124"/>
      <c r="DI738" s="124"/>
      <c r="DJ738" s="124"/>
      <c r="DK738" s="124"/>
      <c r="DL738" s="124"/>
      <c r="DM738" s="124"/>
      <c r="DN738" s="124"/>
      <c r="DO738" s="124"/>
      <c r="DP738" s="124"/>
      <c r="DQ738" s="124"/>
      <c r="DR738" s="124"/>
      <c r="DS738" s="124"/>
      <c r="DT738" s="124"/>
      <c r="DU738" s="124"/>
      <c r="DV738" s="124"/>
      <c r="DW738" s="124"/>
      <c r="DX738" s="124"/>
      <c r="DY738" s="124"/>
      <c r="DZ738" s="124"/>
      <c r="EA738" s="124"/>
      <c r="EB738" s="124"/>
      <c r="EC738" s="124"/>
      <c r="ED738" s="124"/>
      <c r="EE738" s="124"/>
      <c r="EF738" s="124"/>
      <c r="EG738" s="124"/>
      <c r="EH738" s="124"/>
      <c r="EI738" s="124"/>
      <c r="EJ738" s="124"/>
      <c r="EK738" s="124"/>
      <c r="EL738" s="124"/>
      <c r="EM738" s="124"/>
      <c r="EN738" s="124"/>
      <c r="EO738" s="124"/>
      <c r="EP738" s="124"/>
      <c r="EQ738" s="124"/>
      <c r="ER738" s="124"/>
      <c r="ES738" s="124"/>
      <c r="ET738" s="124"/>
      <c r="EU738" s="124"/>
      <c r="EV738" s="124"/>
      <c r="EW738" s="124"/>
      <c r="EX738" s="124"/>
      <c r="EY738" s="124"/>
      <c r="EZ738" s="124"/>
      <c r="FA738" s="124"/>
      <c r="FB738" s="124"/>
      <c r="FC738" s="124"/>
      <c r="FD738" s="124"/>
      <c r="FE738" s="124"/>
      <c r="FF738" s="124"/>
      <c r="FG738" s="124"/>
      <c r="FH738" s="124"/>
      <c r="FI738" s="124"/>
      <c r="FJ738" s="124"/>
      <c r="FK738" s="124"/>
      <c r="FL738" s="124"/>
      <c r="FM738" s="124"/>
      <c r="FN738" s="124"/>
      <c r="FO738" s="124"/>
      <c r="FP738" s="124"/>
      <c r="FQ738" s="124"/>
      <c r="FR738" s="124"/>
      <c r="FS738" s="124"/>
      <c r="FT738" s="124"/>
      <c r="FU738" s="124"/>
      <c r="FV738" s="124"/>
      <c r="FW738" s="124"/>
      <c r="FX738" s="124"/>
      <c r="FY738" s="124"/>
      <c r="FZ738" s="124"/>
      <c r="GA738" s="124"/>
      <c r="GB738" s="124"/>
      <c r="GC738" s="124"/>
      <c r="GD738" s="124"/>
      <c r="GE738" s="124"/>
      <c r="GF738" s="124"/>
      <c r="GG738" s="124"/>
      <c r="GH738" s="124"/>
      <c r="GI738" s="124"/>
      <c r="GJ738" s="124"/>
      <c r="GK738" s="124"/>
      <c r="GL738" s="124"/>
      <c r="GM738" s="124"/>
      <c r="GN738" s="124"/>
      <c r="GO738" s="124"/>
      <c r="GP738" s="124"/>
      <c r="GQ738" s="124"/>
      <c r="GR738" s="124"/>
      <c r="GS738" s="124"/>
      <c r="GT738" s="124"/>
      <c r="GU738" s="124"/>
      <c r="GV738" s="124"/>
      <c r="GW738" s="124"/>
      <c r="GX738" s="124"/>
      <c r="GY738" s="124"/>
      <c r="GZ738" s="124"/>
      <c r="HA738" s="124"/>
      <c r="HB738" s="124"/>
      <c r="HC738" s="124"/>
      <c r="HD738" s="124"/>
      <c r="HE738" s="124"/>
      <c r="HF738" s="124"/>
      <c r="HG738" s="124"/>
      <c r="HH738" s="124"/>
      <c r="HI738" s="124"/>
      <c r="HJ738" s="124"/>
      <c r="HK738" s="124"/>
      <c r="HL738" s="124"/>
      <c r="HM738" s="124"/>
      <c r="HN738" s="124"/>
      <c r="HO738" s="124"/>
      <c r="HP738" s="124"/>
      <c r="HQ738" s="124"/>
      <c r="HR738" s="124"/>
      <c r="HS738" s="124"/>
      <c r="HT738" s="124"/>
      <c r="HU738" s="124"/>
      <c r="HV738" s="124"/>
      <c r="HW738" s="124"/>
      <c r="HX738" s="124"/>
      <c r="HY738" s="124"/>
      <c r="HZ738" s="124"/>
      <c r="IA738" s="124"/>
      <c r="IB738" s="124"/>
      <c r="IC738" s="124"/>
      <c r="ID738" s="124"/>
      <c r="IE738" s="124"/>
      <c r="IF738" s="124"/>
      <c r="IG738" s="124"/>
      <c r="IH738" s="124"/>
      <c r="II738" s="124"/>
      <c r="IJ738" s="124"/>
      <c r="IK738" s="124"/>
      <c r="IL738" s="124"/>
      <c r="IM738" s="124"/>
      <c r="IN738" s="124"/>
      <c r="IO738" s="124"/>
      <c r="IP738" s="124"/>
      <c r="IQ738" s="124"/>
      <c r="IR738" s="124"/>
      <c r="IS738" s="124"/>
      <c r="IT738" s="124"/>
      <c r="IU738" s="124"/>
      <c r="IV738" s="124"/>
    </row>
    <row r="739" s="126" customFormat="true" ht="12.75" hidden="false" customHeight="true" outlineLevel="0" collapsed="false">
      <c r="A739" s="127"/>
      <c r="B739" s="127"/>
      <c r="C739" s="128"/>
      <c r="D739" s="128"/>
      <c r="E739" s="129"/>
      <c r="F739" s="124"/>
      <c r="G739" s="124"/>
      <c r="H739" s="125"/>
      <c r="I739" s="125"/>
      <c r="J739" s="125"/>
      <c r="K739" s="124"/>
      <c r="L739" s="124"/>
      <c r="M739" s="124"/>
      <c r="N739" s="124"/>
      <c r="O739" s="124"/>
      <c r="P739" s="124"/>
      <c r="Q739" s="124"/>
      <c r="R739" s="124"/>
      <c r="S739" s="124"/>
      <c r="T739" s="124"/>
      <c r="U739" s="124"/>
      <c r="V739" s="124"/>
      <c r="W739" s="124"/>
      <c r="X739" s="124"/>
      <c r="Y739" s="124"/>
      <c r="Z739" s="124"/>
      <c r="AA739" s="124"/>
      <c r="AB739" s="124"/>
      <c r="AC739" s="124"/>
      <c r="AD739" s="124"/>
      <c r="AE739" s="124"/>
      <c r="AF739" s="124"/>
      <c r="AG739" s="124"/>
      <c r="AH739" s="124"/>
      <c r="AI739" s="124"/>
      <c r="AJ739" s="124"/>
      <c r="AK739" s="124"/>
      <c r="AL739" s="124"/>
      <c r="AM739" s="124"/>
      <c r="AN739" s="124"/>
      <c r="AO739" s="124"/>
      <c r="AP739" s="124"/>
      <c r="AQ739" s="124"/>
      <c r="AR739" s="124"/>
      <c r="AS739" s="124"/>
      <c r="AT739" s="124"/>
      <c r="AU739" s="124"/>
      <c r="AV739" s="124"/>
      <c r="AW739" s="124"/>
      <c r="AX739" s="124"/>
      <c r="AY739" s="124"/>
      <c r="AZ739" s="124"/>
      <c r="BA739" s="124"/>
      <c r="BB739" s="124"/>
      <c r="BC739" s="124"/>
      <c r="BD739" s="124"/>
      <c r="BE739" s="124"/>
      <c r="BF739" s="124"/>
      <c r="BG739" s="124"/>
      <c r="BH739" s="124"/>
      <c r="BI739" s="124"/>
      <c r="BJ739" s="124"/>
      <c r="BK739" s="124"/>
      <c r="BL739" s="124"/>
      <c r="BM739" s="124"/>
      <c r="BN739" s="124"/>
      <c r="BO739" s="124"/>
      <c r="BP739" s="124"/>
      <c r="BQ739" s="124"/>
      <c r="BR739" s="124"/>
      <c r="BS739" s="124"/>
      <c r="BT739" s="124"/>
      <c r="BU739" s="124"/>
      <c r="BV739" s="124"/>
      <c r="BW739" s="124"/>
      <c r="BX739" s="124"/>
      <c r="BY739" s="124"/>
      <c r="BZ739" s="124"/>
      <c r="CA739" s="124"/>
      <c r="CB739" s="124"/>
      <c r="CC739" s="124"/>
      <c r="CD739" s="124"/>
      <c r="CE739" s="124"/>
      <c r="CF739" s="124"/>
      <c r="CG739" s="124"/>
      <c r="CH739" s="124"/>
      <c r="CI739" s="124"/>
      <c r="CJ739" s="124"/>
      <c r="CK739" s="124"/>
      <c r="CL739" s="124"/>
      <c r="CM739" s="124"/>
      <c r="CN739" s="124"/>
      <c r="CO739" s="124"/>
      <c r="CP739" s="124"/>
      <c r="CQ739" s="124"/>
      <c r="CR739" s="124"/>
      <c r="CS739" s="124"/>
      <c r="CT739" s="124"/>
      <c r="CU739" s="124"/>
      <c r="CV739" s="124"/>
      <c r="CW739" s="124"/>
      <c r="CX739" s="124"/>
      <c r="CY739" s="124"/>
      <c r="CZ739" s="124"/>
      <c r="DA739" s="124"/>
      <c r="DB739" s="124"/>
      <c r="DC739" s="124"/>
      <c r="DD739" s="124"/>
      <c r="DE739" s="124"/>
      <c r="DF739" s="124"/>
      <c r="DG739" s="124"/>
      <c r="DH739" s="124"/>
      <c r="DI739" s="124"/>
      <c r="DJ739" s="124"/>
      <c r="DK739" s="124"/>
      <c r="DL739" s="124"/>
      <c r="DM739" s="124"/>
      <c r="DN739" s="124"/>
      <c r="DO739" s="124"/>
      <c r="DP739" s="124"/>
      <c r="DQ739" s="124"/>
      <c r="DR739" s="124"/>
      <c r="DS739" s="124"/>
      <c r="DT739" s="124"/>
      <c r="DU739" s="124"/>
      <c r="DV739" s="124"/>
      <c r="DW739" s="124"/>
      <c r="DX739" s="124"/>
      <c r="DY739" s="124"/>
      <c r="DZ739" s="124"/>
      <c r="EA739" s="124"/>
      <c r="EB739" s="124"/>
      <c r="EC739" s="124"/>
      <c r="ED739" s="124"/>
      <c r="EE739" s="124"/>
      <c r="EF739" s="124"/>
      <c r="EG739" s="124"/>
      <c r="EH739" s="124"/>
      <c r="EI739" s="124"/>
      <c r="EJ739" s="124"/>
      <c r="EK739" s="124"/>
      <c r="EL739" s="124"/>
      <c r="EM739" s="124"/>
      <c r="EN739" s="124"/>
      <c r="EO739" s="124"/>
      <c r="EP739" s="124"/>
      <c r="EQ739" s="124"/>
      <c r="ER739" s="124"/>
      <c r="ES739" s="124"/>
      <c r="ET739" s="124"/>
      <c r="EU739" s="124"/>
      <c r="EV739" s="124"/>
      <c r="EW739" s="124"/>
      <c r="EX739" s="124"/>
      <c r="EY739" s="124"/>
      <c r="EZ739" s="124"/>
      <c r="FA739" s="124"/>
      <c r="FB739" s="124"/>
      <c r="FC739" s="124"/>
      <c r="FD739" s="124"/>
      <c r="FE739" s="124"/>
      <c r="FF739" s="124"/>
      <c r="FG739" s="124"/>
      <c r="FH739" s="124"/>
      <c r="FI739" s="124"/>
      <c r="FJ739" s="124"/>
      <c r="FK739" s="124"/>
      <c r="FL739" s="124"/>
      <c r="FM739" s="124"/>
      <c r="FN739" s="124"/>
      <c r="FO739" s="124"/>
      <c r="FP739" s="124"/>
      <c r="FQ739" s="124"/>
      <c r="FR739" s="124"/>
      <c r="FS739" s="124"/>
      <c r="FT739" s="124"/>
      <c r="FU739" s="124"/>
      <c r="FV739" s="124"/>
      <c r="FW739" s="124"/>
      <c r="FX739" s="124"/>
      <c r="FY739" s="124"/>
      <c r="FZ739" s="124"/>
      <c r="GA739" s="124"/>
      <c r="GB739" s="124"/>
      <c r="GC739" s="124"/>
      <c r="GD739" s="124"/>
      <c r="GE739" s="124"/>
      <c r="GF739" s="124"/>
      <c r="GG739" s="124"/>
      <c r="GH739" s="124"/>
      <c r="GI739" s="124"/>
      <c r="GJ739" s="124"/>
      <c r="GK739" s="124"/>
      <c r="GL739" s="124"/>
      <c r="GM739" s="124"/>
      <c r="GN739" s="124"/>
      <c r="GO739" s="124"/>
      <c r="GP739" s="124"/>
      <c r="GQ739" s="124"/>
      <c r="GR739" s="124"/>
      <c r="GS739" s="124"/>
      <c r="GT739" s="124"/>
      <c r="GU739" s="124"/>
      <c r="GV739" s="124"/>
      <c r="GW739" s="124"/>
      <c r="GX739" s="124"/>
      <c r="GY739" s="124"/>
      <c r="GZ739" s="124"/>
      <c r="HA739" s="124"/>
      <c r="HB739" s="124"/>
      <c r="HC739" s="124"/>
      <c r="HD739" s="124"/>
      <c r="HE739" s="124"/>
      <c r="HF739" s="124"/>
      <c r="HG739" s="124"/>
      <c r="HH739" s="124"/>
      <c r="HI739" s="124"/>
      <c r="HJ739" s="124"/>
      <c r="HK739" s="124"/>
      <c r="HL739" s="124"/>
      <c r="HM739" s="124"/>
      <c r="HN739" s="124"/>
      <c r="HO739" s="124"/>
      <c r="HP739" s="124"/>
      <c r="HQ739" s="124"/>
      <c r="HR739" s="124"/>
      <c r="HS739" s="124"/>
      <c r="HT739" s="124"/>
      <c r="HU739" s="124"/>
      <c r="HV739" s="124"/>
      <c r="HW739" s="124"/>
      <c r="HX739" s="124"/>
      <c r="HY739" s="124"/>
      <c r="HZ739" s="124"/>
      <c r="IA739" s="124"/>
      <c r="IB739" s="124"/>
      <c r="IC739" s="124"/>
      <c r="ID739" s="124"/>
      <c r="IE739" s="124"/>
      <c r="IF739" s="124"/>
      <c r="IG739" s="124"/>
      <c r="IH739" s="124"/>
      <c r="II739" s="124"/>
      <c r="IJ739" s="124"/>
      <c r="IK739" s="124"/>
      <c r="IL739" s="124"/>
      <c r="IM739" s="124"/>
      <c r="IN739" s="124"/>
      <c r="IO739" s="124"/>
      <c r="IP739" s="124"/>
      <c r="IQ739" s="124"/>
      <c r="IR739" s="124"/>
      <c r="IS739" s="124"/>
      <c r="IT739" s="124"/>
      <c r="IU739" s="124"/>
      <c r="IV739" s="124"/>
    </row>
    <row r="740" s="126" customFormat="true" ht="12.75" hidden="false" customHeight="true" outlineLevel="0" collapsed="false">
      <c r="A740" s="127"/>
      <c r="B740" s="127"/>
      <c r="C740" s="128"/>
      <c r="D740" s="128"/>
      <c r="E740" s="129"/>
      <c r="F740" s="124"/>
      <c r="G740" s="124"/>
      <c r="H740" s="125"/>
      <c r="I740" s="125"/>
      <c r="J740" s="125"/>
      <c r="K740" s="124"/>
      <c r="L740" s="124"/>
      <c r="M740" s="124"/>
      <c r="N740" s="124"/>
      <c r="O740" s="124"/>
      <c r="P740" s="124"/>
      <c r="Q740" s="124"/>
      <c r="R740" s="124"/>
      <c r="S740" s="124"/>
      <c r="T740" s="124"/>
      <c r="U740" s="124"/>
      <c r="V740" s="124"/>
      <c r="W740" s="124"/>
      <c r="X740" s="124"/>
      <c r="Y740" s="124"/>
      <c r="Z740" s="124"/>
      <c r="AA740" s="124"/>
      <c r="AB740" s="124"/>
      <c r="AC740" s="124"/>
      <c r="AD740" s="124"/>
      <c r="AE740" s="124"/>
      <c r="AF740" s="124"/>
      <c r="AG740" s="124"/>
      <c r="AH740" s="124"/>
      <c r="AI740" s="124"/>
      <c r="AJ740" s="124"/>
      <c r="AK740" s="124"/>
      <c r="AL740" s="124"/>
      <c r="AM740" s="124"/>
      <c r="AN740" s="124"/>
      <c r="AO740" s="124"/>
      <c r="AP740" s="124"/>
      <c r="AQ740" s="124"/>
      <c r="AR740" s="124"/>
      <c r="AS740" s="124"/>
      <c r="AT740" s="124"/>
      <c r="AU740" s="124"/>
      <c r="AV740" s="124"/>
      <c r="AW740" s="124"/>
      <c r="AX740" s="124"/>
      <c r="AY740" s="124"/>
      <c r="AZ740" s="124"/>
      <c r="BA740" s="124"/>
      <c r="BB740" s="124"/>
      <c r="BC740" s="124"/>
      <c r="BD740" s="124"/>
      <c r="BE740" s="124"/>
      <c r="BF740" s="124"/>
      <c r="BG740" s="124"/>
      <c r="BH740" s="124"/>
      <c r="BI740" s="124"/>
      <c r="BJ740" s="124"/>
      <c r="BK740" s="124"/>
      <c r="BL740" s="124"/>
      <c r="BM740" s="124"/>
      <c r="BN740" s="124"/>
      <c r="BO740" s="124"/>
      <c r="BP740" s="124"/>
      <c r="BQ740" s="124"/>
      <c r="BR740" s="124"/>
      <c r="BS740" s="124"/>
      <c r="BT740" s="124"/>
      <c r="BU740" s="124"/>
      <c r="BV740" s="124"/>
      <c r="BW740" s="124"/>
      <c r="BX740" s="124"/>
      <c r="BY740" s="124"/>
      <c r="BZ740" s="124"/>
      <c r="CA740" s="124"/>
      <c r="CB740" s="124"/>
      <c r="CC740" s="124"/>
      <c r="CD740" s="124"/>
      <c r="CE740" s="124"/>
      <c r="CF740" s="124"/>
      <c r="CG740" s="124"/>
      <c r="CH740" s="124"/>
      <c r="CI740" s="124"/>
      <c r="CJ740" s="124"/>
      <c r="CK740" s="124"/>
      <c r="CL740" s="124"/>
      <c r="CM740" s="124"/>
      <c r="CN740" s="124"/>
      <c r="CO740" s="124"/>
      <c r="CP740" s="124"/>
      <c r="CQ740" s="124"/>
      <c r="CR740" s="124"/>
      <c r="CS740" s="124"/>
      <c r="CT740" s="124"/>
      <c r="CU740" s="124"/>
      <c r="CV740" s="124"/>
      <c r="CW740" s="124"/>
      <c r="CX740" s="124"/>
      <c r="CY740" s="124"/>
      <c r="CZ740" s="124"/>
      <c r="DA740" s="124"/>
      <c r="DB740" s="124"/>
      <c r="DC740" s="124"/>
      <c r="DD740" s="124"/>
      <c r="DE740" s="124"/>
      <c r="DF740" s="124"/>
      <c r="DG740" s="124"/>
      <c r="DH740" s="124"/>
      <c r="DI740" s="124"/>
      <c r="DJ740" s="124"/>
      <c r="DK740" s="124"/>
      <c r="DL740" s="124"/>
      <c r="DM740" s="124"/>
      <c r="DN740" s="124"/>
      <c r="DO740" s="124"/>
      <c r="DP740" s="124"/>
      <c r="DQ740" s="124"/>
      <c r="DR740" s="124"/>
      <c r="DS740" s="124"/>
      <c r="DT740" s="124"/>
      <c r="DU740" s="124"/>
      <c r="DV740" s="124"/>
      <c r="DW740" s="124"/>
      <c r="DX740" s="124"/>
      <c r="DY740" s="124"/>
      <c r="DZ740" s="124"/>
      <c r="EA740" s="124"/>
      <c r="EB740" s="124"/>
      <c r="EC740" s="124"/>
      <c r="ED740" s="124"/>
      <c r="EE740" s="124"/>
      <c r="EF740" s="124"/>
      <c r="EG740" s="124"/>
      <c r="EH740" s="124"/>
      <c r="EI740" s="124"/>
      <c r="EJ740" s="124"/>
      <c r="EK740" s="124"/>
      <c r="EL740" s="124"/>
      <c r="EM740" s="124"/>
      <c r="EN740" s="124"/>
      <c r="EO740" s="124"/>
      <c r="EP740" s="124"/>
      <c r="EQ740" s="124"/>
      <c r="ER740" s="124"/>
      <c r="ES740" s="124"/>
      <c r="ET740" s="124"/>
      <c r="EU740" s="124"/>
      <c r="EV740" s="124"/>
      <c r="EW740" s="124"/>
      <c r="EX740" s="124"/>
      <c r="EY740" s="124"/>
      <c r="EZ740" s="124"/>
      <c r="FA740" s="124"/>
      <c r="FB740" s="124"/>
      <c r="FC740" s="124"/>
      <c r="FD740" s="124"/>
      <c r="FE740" s="124"/>
      <c r="FF740" s="124"/>
      <c r="FG740" s="124"/>
      <c r="FH740" s="124"/>
      <c r="FI740" s="124"/>
      <c r="FJ740" s="124"/>
      <c r="FK740" s="124"/>
      <c r="FL740" s="124"/>
      <c r="FM740" s="124"/>
      <c r="FN740" s="124"/>
      <c r="FO740" s="124"/>
      <c r="FP740" s="124"/>
      <c r="FQ740" s="124"/>
      <c r="FR740" s="124"/>
      <c r="FS740" s="124"/>
      <c r="FT740" s="124"/>
      <c r="FU740" s="124"/>
      <c r="FV740" s="124"/>
      <c r="FW740" s="124"/>
      <c r="FX740" s="124"/>
      <c r="FY740" s="124"/>
      <c r="FZ740" s="124"/>
      <c r="GA740" s="124"/>
      <c r="GB740" s="124"/>
      <c r="GC740" s="124"/>
      <c r="GD740" s="124"/>
      <c r="GE740" s="124"/>
      <c r="GF740" s="124"/>
      <c r="GG740" s="124"/>
      <c r="GH740" s="124"/>
      <c r="GI740" s="124"/>
      <c r="GJ740" s="124"/>
      <c r="GK740" s="124"/>
      <c r="GL740" s="124"/>
      <c r="GM740" s="124"/>
      <c r="GN740" s="124"/>
      <c r="GO740" s="124"/>
      <c r="GP740" s="124"/>
      <c r="GQ740" s="124"/>
      <c r="GR740" s="124"/>
      <c r="GS740" s="124"/>
      <c r="GT740" s="124"/>
      <c r="GU740" s="124"/>
      <c r="GV740" s="124"/>
      <c r="GW740" s="124"/>
      <c r="GX740" s="124"/>
      <c r="GY740" s="124"/>
      <c r="GZ740" s="124"/>
      <c r="HA740" s="124"/>
      <c r="HB740" s="124"/>
      <c r="HC740" s="124"/>
      <c r="HD740" s="124"/>
      <c r="HE740" s="124"/>
      <c r="HF740" s="124"/>
      <c r="HG740" s="124"/>
      <c r="HH740" s="124"/>
      <c r="HI740" s="124"/>
      <c r="HJ740" s="124"/>
      <c r="HK740" s="124"/>
      <c r="HL740" s="124"/>
      <c r="HM740" s="124"/>
      <c r="HN740" s="124"/>
      <c r="HO740" s="124"/>
      <c r="HP740" s="124"/>
      <c r="HQ740" s="124"/>
      <c r="HR740" s="124"/>
      <c r="HS740" s="124"/>
      <c r="HT740" s="124"/>
      <c r="HU740" s="124"/>
      <c r="HV740" s="124"/>
      <c r="HW740" s="124"/>
      <c r="HX740" s="124"/>
      <c r="HY740" s="124"/>
      <c r="HZ740" s="124"/>
      <c r="IA740" s="124"/>
      <c r="IB740" s="124"/>
      <c r="IC740" s="124"/>
      <c r="ID740" s="124"/>
      <c r="IE740" s="124"/>
      <c r="IF740" s="124"/>
      <c r="IG740" s="124"/>
      <c r="IH740" s="124"/>
      <c r="II740" s="124"/>
      <c r="IJ740" s="124"/>
      <c r="IK740" s="124"/>
      <c r="IL740" s="124"/>
      <c r="IM740" s="124"/>
      <c r="IN740" s="124"/>
      <c r="IO740" s="124"/>
      <c r="IP740" s="124"/>
      <c r="IQ740" s="124"/>
      <c r="IR740" s="124"/>
      <c r="IS740" s="124"/>
      <c r="IT740" s="124"/>
      <c r="IU740" s="124"/>
      <c r="IV740" s="124"/>
    </row>
    <row r="741" s="126" customFormat="true" ht="12.75" hidden="false" customHeight="true" outlineLevel="0" collapsed="false">
      <c r="A741" s="130" t="s">
        <v>311</v>
      </c>
      <c r="B741" s="131"/>
      <c r="C741" s="132" t="s">
        <v>312</v>
      </c>
      <c r="D741" s="133" t="s">
        <v>313</v>
      </c>
      <c r="E741" s="133"/>
      <c r="F741" s="134"/>
      <c r="G741" s="135"/>
      <c r="H741" s="125"/>
      <c r="I741" s="125"/>
      <c r="J741" s="125"/>
      <c r="K741" s="124"/>
      <c r="L741" s="124"/>
      <c r="M741" s="124"/>
      <c r="N741" s="124"/>
      <c r="O741" s="124"/>
      <c r="P741" s="124"/>
      <c r="Q741" s="124"/>
      <c r="R741" s="124"/>
      <c r="S741" s="124"/>
      <c r="T741" s="124"/>
      <c r="U741" s="124"/>
      <c r="V741" s="124"/>
      <c r="W741" s="124"/>
      <c r="X741" s="124"/>
      <c r="Y741" s="124"/>
      <c r="Z741" s="124"/>
      <c r="AA741" s="124"/>
      <c r="AB741" s="124"/>
      <c r="AC741" s="124"/>
      <c r="AD741" s="124"/>
      <c r="AE741" s="124"/>
      <c r="AF741" s="124"/>
      <c r="AG741" s="124"/>
      <c r="AH741" s="124"/>
      <c r="AI741" s="124"/>
      <c r="AJ741" s="124"/>
      <c r="AK741" s="124"/>
      <c r="AL741" s="124"/>
      <c r="AM741" s="124"/>
      <c r="AN741" s="124"/>
      <c r="AO741" s="124"/>
      <c r="AP741" s="124"/>
      <c r="AQ741" s="124"/>
      <c r="AR741" s="124"/>
      <c r="AS741" s="124"/>
      <c r="AT741" s="124"/>
      <c r="AU741" s="124"/>
      <c r="AV741" s="124"/>
      <c r="AW741" s="124"/>
      <c r="AX741" s="124"/>
      <c r="AY741" s="124"/>
      <c r="AZ741" s="124"/>
      <c r="BA741" s="124"/>
      <c r="BB741" s="124"/>
      <c r="BC741" s="124"/>
      <c r="BD741" s="124"/>
      <c r="BE741" s="124"/>
      <c r="BF741" s="124"/>
      <c r="BG741" s="124"/>
      <c r="BH741" s="124"/>
      <c r="BI741" s="124"/>
      <c r="BJ741" s="124"/>
      <c r="BK741" s="124"/>
      <c r="BL741" s="124"/>
      <c r="BM741" s="124"/>
      <c r="BN741" s="124"/>
      <c r="BO741" s="124"/>
      <c r="BP741" s="124"/>
      <c r="BQ741" s="124"/>
      <c r="BR741" s="124"/>
      <c r="BS741" s="124"/>
      <c r="BT741" s="124"/>
      <c r="BU741" s="124"/>
      <c r="BV741" s="124"/>
      <c r="BW741" s="124"/>
      <c r="BX741" s="124"/>
      <c r="BY741" s="124"/>
      <c r="BZ741" s="124"/>
      <c r="CA741" s="124"/>
      <c r="CB741" s="124"/>
      <c r="CC741" s="124"/>
      <c r="CD741" s="124"/>
      <c r="CE741" s="124"/>
      <c r="CF741" s="124"/>
      <c r="CG741" s="124"/>
      <c r="CH741" s="124"/>
      <c r="CI741" s="124"/>
      <c r="CJ741" s="124"/>
      <c r="CK741" s="124"/>
      <c r="CL741" s="124"/>
      <c r="CM741" s="124"/>
      <c r="CN741" s="124"/>
      <c r="CO741" s="124"/>
      <c r="CP741" s="124"/>
      <c r="CQ741" s="124"/>
      <c r="CR741" s="124"/>
      <c r="CS741" s="124"/>
      <c r="CT741" s="124"/>
      <c r="CU741" s="124"/>
      <c r="CV741" s="124"/>
      <c r="CW741" s="124"/>
      <c r="CX741" s="124"/>
      <c r="CY741" s="124"/>
      <c r="CZ741" s="124"/>
      <c r="DA741" s="124"/>
      <c r="DB741" s="124"/>
      <c r="DC741" s="124"/>
      <c r="DD741" s="124"/>
      <c r="DE741" s="124"/>
      <c r="DF741" s="124"/>
      <c r="DG741" s="124"/>
      <c r="DH741" s="124"/>
      <c r="DI741" s="124"/>
      <c r="DJ741" s="124"/>
      <c r="DK741" s="124"/>
      <c r="DL741" s="124"/>
      <c r="DM741" s="124"/>
      <c r="DN741" s="124"/>
      <c r="DO741" s="124"/>
      <c r="DP741" s="124"/>
      <c r="DQ741" s="124"/>
      <c r="DR741" s="124"/>
      <c r="DS741" s="124"/>
      <c r="DT741" s="124"/>
      <c r="DU741" s="124"/>
      <c r="DV741" s="124"/>
      <c r="DW741" s="124"/>
      <c r="DX741" s="124"/>
      <c r="DY741" s="124"/>
      <c r="DZ741" s="124"/>
      <c r="EA741" s="124"/>
      <c r="EB741" s="124"/>
      <c r="EC741" s="124"/>
      <c r="ED741" s="124"/>
      <c r="EE741" s="124"/>
      <c r="EF741" s="124"/>
      <c r="EG741" s="124"/>
      <c r="EH741" s="124"/>
      <c r="EI741" s="124"/>
      <c r="EJ741" s="124"/>
      <c r="EK741" s="124"/>
      <c r="EL741" s="124"/>
      <c r="EM741" s="124"/>
      <c r="EN741" s="124"/>
      <c r="EO741" s="124"/>
      <c r="EP741" s="124"/>
      <c r="EQ741" s="124"/>
      <c r="ER741" s="124"/>
      <c r="ES741" s="124"/>
      <c r="ET741" s="124"/>
      <c r="EU741" s="124"/>
      <c r="EV741" s="124"/>
      <c r="EW741" s="124"/>
      <c r="EX741" s="124"/>
      <c r="EY741" s="124"/>
      <c r="EZ741" s="124"/>
      <c r="FA741" s="124"/>
      <c r="FB741" s="124"/>
      <c r="FC741" s="124"/>
      <c r="FD741" s="124"/>
      <c r="FE741" s="124"/>
      <c r="FF741" s="124"/>
      <c r="FG741" s="124"/>
      <c r="FH741" s="124"/>
      <c r="FI741" s="124"/>
      <c r="FJ741" s="124"/>
      <c r="FK741" s="124"/>
      <c r="FL741" s="124"/>
      <c r="FM741" s="124"/>
      <c r="FN741" s="124"/>
      <c r="FO741" s="124"/>
      <c r="FP741" s="124"/>
      <c r="FQ741" s="124"/>
      <c r="FR741" s="124"/>
      <c r="FS741" s="124"/>
      <c r="FT741" s="124"/>
      <c r="FU741" s="124"/>
      <c r="FV741" s="124"/>
      <c r="FW741" s="124"/>
      <c r="FX741" s="124"/>
      <c r="FY741" s="124"/>
      <c r="FZ741" s="124"/>
      <c r="GA741" s="124"/>
      <c r="GB741" s="124"/>
      <c r="GC741" s="124"/>
      <c r="GD741" s="124"/>
      <c r="GE741" s="124"/>
      <c r="GF741" s="124"/>
      <c r="GG741" s="124"/>
      <c r="GH741" s="124"/>
      <c r="GI741" s="124"/>
      <c r="GJ741" s="124"/>
      <c r="GK741" s="124"/>
      <c r="GL741" s="124"/>
      <c r="GM741" s="124"/>
      <c r="GN741" s="124"/>
      <c r="GO741" s="124"/>
      <c r="GP741" s="124"/>
      <c r="GQ741" s="124"/>
      <c r="GR741" s="124"/>
      <c r="GS741" s="124"/>
      <c r="GT741" s="124"/>
      <c r="GU741" s="124"/>
      <c r="GV741" s="124"/>
      <c r="GW741" s="124"/>
      <c r="GX741" s="124"/>
      <c r="GY741" s="124"/>
      <c r="GZ741" s="124"/>
      <c r="HA741" s="124"/>
      <c r="HB741" s="124"/>
      <c r="HC741" s="124"/>
      <c r="HD741" s="124"/>
      <c r="HE741" s="124"/>
      <c r="HF741" s="124"/>
      <c r="HG741" s="124"/>
      <c r="HH741" s="124"/>
      <c r="HI741" s="124"/>
      <c r="HJ741" s="124"/>
      <c r="HK741" s="124"/>
      <c r="HL741" s="124"/>
      <c r="HM741" s="124"/>
      <c r="HN741" s="124"/>
      <c r="HO741" s="124"/>
      <c r="HP741" s="124"/>
      <c r="HQ741" s="124"/>
      <c r="HR741" s="124"/>
      <c r="HS741" s="124"/>
      <c r="HT741" s="124"/>
      <c r="HU741" s="124"/>
      <c r="HV741" s="124"/>
      <c r="HW741" s="124"/>
      <c r="HX741" s="124"/>
      <c r="HY741" s="124"/>
      <c r="HZ741" s="124"/>
      <c r="IA741" s="124"/>
      <c r="IB741" s="124"/>
      <c r="IC741" s="124"/>
      <c r="ID741" s="124"/>
      <c r="IE741" s="124"/>
      <c r="IF741" s="124"/>
      <c r="IG741" s="124"/>
      <c r="IH741" s="124"/>
      <c r="II741" s="124"/>
      <c r="IJ741" s="124"/>
      <c r="IK741" s="124"/>
      <c r="IL741" s="124"/>
      <c r="IM741" s="124"/>
      <c r="IN741" s="124"/>
      <c r="IO741" s="124"/>
      <c r="IP741" s="124"/>
      <c r="IQ741" s="124"/>
      <c r="IR741" s="124"/>
      <c r="IS741" s="124"/>
      <c r="IT741" s="124"/>
      <c r="IU741" s="124"/>
      <c r="IV741" s="124"/>
    </row>
    <row r="742" s="126" customFormat="true" ht="14.25" hidden="false" customHeight="false" outlineLevel="0" collapsed="false">
      <c r="A742" s="136"/>
      <c r="B742" s="137"/>
      <c r="C742" s="138"/>
      <c r="D742" s="124"/>
      <c r="E742" s="124"/>
      <c r="F742" s="124"/>
      <c r="G742" s="135"/>
      <c r="H742" s="125"/>
      <c r="I742" s="125"/>
      <c r="J742" s="125"/>
      <c r="K742" s="124"/>
      <c r="L742" s="124"/>
      <c r="M742" s="124"/>
      <c r="N742" s="124"/>
      <c r="O742" s="124"/>
      <c r="P742" s="124"/>
      <c r="Q742" s="124"/>
      <c r="R742" s="124"/>
      <c r="S742" s="124"/>
      <c r="T742" s="124"/>
      <c r="U742" s="124"/>
      <c r="V742" s="124"/>
      <c r="W742" s="124"/>
      <c r="X742" s="124"/>
      <c r="Y742" s="124"/>
      <c r="Z742" s="124"/>
      <c r="AA742" s="124"/>
      <c r="AB742" s="124"/>
      <c r="AC742" s="124"/>
      <c r="AD742" s="124"/>
      <c r="AE742" s="124"/>
      <c r="AF742" s="124"/>
      <c r="AG742" s="124"/>
      <c r="AH742" s="124"/>
      <c r="AI742" s="124"/>
      <c r="AJ742" s="124"/>
      <c r="AK742" s="124"/>
      <c r="AL742" s="124"/>
      <c r="AM742" s="124"/>
      <c r="AN742" s="124"/>
      <c r="AO742" s="124"/>
      <c r="AP742" s="124"/>
      <c r="AQ742" s="124"/>
      <c r="AR742" s="124"/>
      <c r="AS742" s="124"/>
      <c r="AT742" s="124"/>
      <c r="AU742" s="124"/>
      <c r="AV742" s="124"/>
      <c r="AW742" s="124"/>
      <c r="AX742" s="124"/>
      <c r="AY742" s="124"/>
      <c r="AZ742" s="124"/>
      <c r="BA742" s="124"/>
      <c r="BB742" s="124"/>
      <c r="BC742" s="124"/>
      <c r="BD742" s="124"/>
      <c r="BE742" s="124"/>
      <c r="BF742" s="124"/>
      <c r="BG742" s="124"/>
      <c r="BH742" s="124"/>
      <c r="BI742" s="124"/>
      <c r="BJ742" s="124"/>
      <c r="BK742" s="124"/>
      <c r="BL742" s="124"/>
      <c r="BM742" s="124"/>
      <c r="BN742" s="124"/>
      <c r="BO742" s="124"/>
      <c r="BP742" s="124"/>
      <c r="BQ742" s="124"/>
      <c r="BR742" s="124"/>
      <c r="BS742" s="124"/>
      <c r="BT742" s="124"/>
      <c r="BU742" s="124"/>
      <c r="BV742" s="124"/>
      <c r="BW742" s="124"/>
      <c r="BX742" s="124"/>
      <c r="BY742" s="124"/>
      <c r="BZ742" s="124"/>
      <c r="CA742" s="124"/>
      <c r="CB742" s="124"/>
      <c r="CC742" s="124"/>
      <c r="CD742" s="124"/>
      <c r="CE742" s="124"/>
      <c r="CF742" s="124"/>
      <c r="CG742" s="124"/>
      <c r="CH742" s="124"/>
      <c r="CI742" s="124"/>
      <c r="CJ742" s="124"/>
      <c r="CK742" s="124"/>
      <c r="CL742" s="124"/>
      <c r="CM742" s="124"/>
      <c r="CN742" s="124"/>
      <c r="CO742" s="124"/>
      <c r="CP742" s="124"/>
      <c r="CQ742" s="124"/>
      <c r="CR742" s="124"/>
      <c r="CS742" s="124"/>
      <c r="CT742" s="124"/>
      <c r="CU742" s="124"/>
      <c r="CV742" s="124"/>
      <c r="CW742" s="124"/>
      <c r="CX742" s="124"/>
      <c r="CY742" s="124"/>
      <c r="CZ742" s="124"/>
      <c r="DA742" s="124"/>
      <c r="DB742" s="124"/>
      <c r="DC742" s="124"/>
      <c r="DD742" s="124"/>
      <c r="DE742" s="124"/>
      <c r="DF742" s="124"/>
      <c r="DG742" s="124"/>
      <c r="DH742" s="124"/>
      <c r="DI742" s="124"/>
      <c r="DJ742" s="124"/>
      <c r="DK742" s="124"/>
      <c r="DL742" s="124"/>
      <c r="DM742" s="124"/>
      <c r="DN742" s="124"/>
      <c r="DO742" s="124"/>
      <c r="DP742" s="124"/>
      <c r="DQ742" s="124"/>
      <c r="DR742" s="124"/>
      <c r="DS742" s="124"/>
      <c r="DT742" s="124"/>
      <c r="DU742" s="124"/>
      <c r="DV742" s="124"/>
      <c r="DW742" s="124"/>
      <c r="DX742" s="124"/>
      <c r="DY742" s="124"/>
      <c r="DZ742" s="124"/>
      <c r="EA742" s="124"/>
      <c r="EB742" s="124"/>
      <c r="EC742" s="124"/>
      <c r="ED742" s="124"/>
      <c r="EE742" s="124"/>
      <c r="EF742" s="124"/>
      <c r="EG742" s="124"/>
      <c r="EH742" s="124"/>
      <c r="EI742" s="124"/>
      <c r="EJ742" s="124"/>
      <c r="EK742" s="124"/>
      <c r="EL742" s="124"/>
      <c r="EM742" s="124"/>
      <c r="EN742" s="124"/>
      <c r="EO742" s="124"/>
      <c r="EP742" s="124"/>
      <c r="EQ742" s="124"/>
      <c r="ER742" s="124"/>
      <c r="ES742" s="124"/>
      <c r="ET742" s="124"/>
      <c r="EU742" s="124"/>
      <c r="EV742" s="124"/>
      <c r="EW742" s="124"/>
      <c r="EX742" s="124"/>
      <c r="EY742" s="124"/>
      <c r="EZ742" s="124"/>
      <c r="FA742" s="124"/>
      <c r="FB742" s="124"/>
      <c r="FC742" s="124"/>
      <c r="FD742" s="124"/>
      <c r="FE742" s="124"/>
      <c r="FF742" s="124"/>
      <c r="FG742" s="124"/>
      <c r="FH742" s="124"/>
      <c r="FI742" s="124"/>
      <c r="FJ742" s="124"/>
      <c r="FK742" s="124"/>
      <c r="FL742" s="124"/>
      <c r="FM742" s="124"/>
      <c r="FN742" s="124"/>
      <c r="FO742" s="124"/>
      <c r="FP742" s="124"/>
      <c r="FQ742" s="124"/>
      <c r="FR742" s="124"/>
      <c r="FS742" s="124"/>
      <c r="FT742" s="124"/>
      <c r="FU742" s="124"/>
      <c r="FV742" s="124"/>
      <c r="FW742" s="124"/>
      <c r="FX742" s="124"/>
      <c r="FY742" s="124"/>
      <c r="FZ742" s="124"/>
      <c r="GA742" s="124"/>
      <c r="GB742" s="124"/>
      <c r="GC742" s="124"/>
      <c r="GD742" s="124"/>
      <c r="GE742" s="124"/>
      <c r="GF742" s="124"/>
      <c r="GG742" s="124"/>
      <c r="GH742" s="124"/>
      <c r="GI742" s="124"/>
      <c r="GJ742" s="124"/>
      <c r="GK742" s="124"/>
      <c r="GL742" s="124"/>
      <c r="GM742" s="124"/>
      <c r="GN742" s="124"/>
      <c r="GO742" s="124"/>
      <c r="GP742" s="124"/>
      <c r="GQ742" s="124"/>
      <c r="GR742" s="124"/>
      <c r="GS742" s="124"/>
      <c r="GT742" s="124"/>
      <c r="GU742" s="124"/>
      <c r="GV742" s="124"/>
      <c r="GW742" s="124"/>
      <c r="GX742" s="124"/>
      <c r="GY742" s="124"/>
      <c r="GZ742" s="124"/>
      <c r="HA742" s="124"/>
      <c r="HB742" s="124"/>
      <c r="HC742" s="124"/>
      <c r="HD742" s="124"/>
      <c r="HE742" s="124"/>
      <c r="HF742" s="124"/>
      <c r="HG742" s="124"/>
      <c r="HH742" s="124"/>
      <c r="HI742" s="124"/>
      <c r="HJ742" s="124"/>
      <c r="HK742" s="124"/>
      <c r="HL742" s="124"/>
      <c r="HM742" s="124"/>
      <c r="HN742" s="124"/>
      <c r="HO742" s="124"/>
      <c r="HP742" s="124"/>
      <c r="HQ742" s="124"/>
      <c r="HR742" s="124"/>
      <c r="HS742" s="124"/>
      <c r="HT742" s="124"/>
      <c r="HU742" s="124"/>
      <c r="HV742" s="124"/>
      <c r="HW742" s="124"/>
      <c r="HX742" s="124"/>
      <c r="HY742" s="124"/>
      <c r="HZ742" s="124"/>
      <c r="IA742" s="124"/>
      <c r="IB742" s="124"/>
      <c r="IC742" s="124"/>
      <c r="ID742" s="124"/>
      <c r="IE742" s="124"/>
      <c r="IF742" s="124"/>
      <c r="IG742" s="124"/>
      <c r="IH742" s="124"/>
      <c r="II742" s="124"/>
      <c r="IJ742" s="124"/>
      <c r="IK742" s="124"/>
      <c r="IL742" s="124"/>
      <c r="IM742" s="124"/>
      <c r="IN742" s="124"/>
      <c r="IO742" s="124"/>
      <c r="IP742" s="124"/>
      <c r="IQ742" s="124"/>
      <c r="IR742" s="124"/>
      <c r="IS742" s="124"/>
      <c r="IT742" s="124"/>
      <c r="IU742" s="124"/>
      <c r="IV742" s="124"/>
    </row>
    <row r="743" s="142" customFormat="true" ht="14.25" hidden="false" customHeight="false" outlineLevel="0" collapsed="false">
      <c r="A743" s="136"/>
      <c r="B743" s="137"/>
      <c r="C743" s="138"/>
      <c r="D743" s="139"/>
      <c r="E743" s="139"/>
      <c r="F743" s="140"/>
      <c r="G743" s="140"/>
      <c r="H743" s="141"/>
      <c r="I743" s="141"/>
      <c r="J743" s="139"/>
      <c r="K743" s="139"/>
      <c r="L743" s="139"/>
      <c r="M743" s="139"/>
      <c r="N743" s="139"/>
      <c r="O743" s="139"/>
      <c r="P743" s="139"/>
      <c r="Q743" s="139"/>
      <c r="R743" s="139"/>
      <c r="S743" s="139"/>
      <c r="T743" s="139"/>
      <c r="U743" s="139"/>
      <c r="V743" s="139"/>
      <c r="W743" s="139"/>
      <c r="X743" s="139"/>
      <c r="Y743" s="139"/>
      <c r="Z743" s="139"/>
      <c r="AA743" s="139"/>
      <c r="AB743" s="139"/>
      <c r="AC743" s="139"/>
      <c r="AD743" s="139"/>
      <c r="AE743" s="139"/>
      <c r="AF743" s="139"/>
      <c r="AG743" s="139"/>
      <c r="AH743" s="139"/>
      <c r="AI743" s="139"/>
      <c r="AJ743" s="139"/>
      <c r="AK743" s="139"/>
      <c r="AL743" s="139"/>
      <c r="AM743" s="139"/>
      <c r="AN743" s="139"/>
      <c r="AO743" s="139"/>
      <c r="AP743" s="139"/>
      <c r="AQ743" s="139"/>
      <c r="AR743" s="139"/>
      <c r="AS743" s="139"/>
      <c r="AT743" s="139"/>
      <c r="AU743" s="139"/>
      <c r="AV743" s="139"/>
      <c r="AW743" s="139"/>
      <c r="AX743" s="139"/>
      <c r="AY743" s="139"/>
      <c r="AZ743" s="139"/>
      <c r="BA743" s="139"/>
      <c r="BB743" s="139"/>
      <c r="BC743" s="139"/>
      <c r="BD743" s="139"/>
      <c r="BE743" s="139"/>
      <c r="BF743" s="139"/>
      <c r="BG743" s="139"/>
      <c r="BH743" s="139"/>
      <c r="BI743" s="139"/>
      <c r="BJ743" s="139"/>
      <c r="BK743" s="139"/>
      <c r="BL743" s="139"/>
      <c r="BM743" s="139"/>
      <c r="BN743" s="139"/>
      <c r="BO743" s="139"/>
      <c r="BP743" s="139"/>
      <c r="BQ743" s="139"/>
      <c r="BR743" s="139"/>
      <c r="BS743" s="139"/>
      <c r="BT743" s="139"/>
      <c r="BU743" s="139"/>
      <c r="BV743" s="139"/>
      <c r="BW743" s="139"/>
      <c r="BX743" s="139"/>
      <c r="BY743" s="139"/>
      <c r="BZ743" s="139"/>
      <c r="CA743" s="139"/>
      <c r="CB743" s="139"/>
      <c r="CC743" s="139"/>
      <c r="CD743" s="139"/>
      <c r="CE743" s="139"/>
      <c r="CF743" s="139"/>
      <c r="CG743" s="139"/>
      <c r="CH743" s="139"/>
      <c r="CI743" s="139"/>
      <c r="CJ743" s="139"/>
      <c r="CK743" s="139"/>
      <c r="CL743" s="139"/>
      <c r="CM743" s="139"/>
      <c r="CN743" s="139"/>
      <c r="CO743" s="139"/>
      <c r="CP743" s="139"/>
      <c r="CQ743" s="139"/>
      <c r="CR743" s="139"/>
      <c r="CS743" s="139"/>
      <c r="CT743" s="139"/>
      <c r="CU743" s="139"/>
      <c r="CV743" s="139"/>
      <c r="CW743" s="139"/>
      <c r="CX743" s="139"/>
      <c r="CY743" s="139"/>
      <c r="CZ743" s="139"/>
      <c r="DA743" s="139"/>
      <c r="DB743" s="139"/>
      <c r="DC743" s="139"/>
      <c r="DD743" s="139"/>
      <c r="DE743" s="139"/>
      <c r="DF743" s="139"/>
      <c r="DG743" s="139"/>
      <c r="DH743" s="139"/>
      <c r="DI743" s="139"/>
      <c r="DJ743" s="139"/>
      <c r="DK743" s="139"/>
      <c r="DL743" s="139"/>
      <c r="DM743" s="139"/>
      <c r="DN743" s="139"/>
      <c r="DO743" s="139"/>
      <c r="DP743" s="139"/>
      <c r="DQ743" s="139"/>
      <c r="DR743" s="139"/>
      <c r="DS743" s="139"/>
      <c r="DT743" s="139"/>
      <c r="DU743" s="139"/>
      <c r="DV743" s="139"/>
      <c r="DW743" s="139"/>
      <c r="DX743" s="139"/>
      <c r="DY743" s="139"/>
      <c r="DZ743" s="139"/>
      <c r="EA743" s="139"/>
      <c r="EB743" s="139"/>
      <c r="EC743" s="139"/>
      <c r="ED743" s="139"/>
      <c r="EE743" s="139"/>
      <c r="EF743" s="139"/>
      <c r="EG743" s="139"/>
      <c r="EH743" s="139"/>
      <c r="EI743" s="139"/>
      <c r="EJ743" s="139"/>
      <c r="EK743" s="139"/>
      <c r="EL743" s="139"/>
      <c r="EM743" s="139"/>
      <c r="EN743" s="139"/>
      <c r="EO743" s="139"/>
      <c r="EP743" s="139"/>
      <c r="EQ743" s="139"/>
      <c r="ER743" s="139"/>
      <c r="ES743" s="139"/>
      <c r="ET743" s="139"/>
      <c r="EU743" s="139"/>
      <c r="EV743" s="139"/>
      <c r="EW743" s="139"/>
      <c r="EX743" s="139"/>
      <c r="EY743" s="139"/>
      <c r="EZ743" s="139"/>
      <c r="FA743" s="139"/>
      <c r="FB743" s="139"/>
      <c r="FC743" s="139"/>
      <c r="FD743" s="139"/>
      <c r="FE743" s="139"/>
      <c r="FF743" s="139"/>
      <c r="FG743" s="139"/>
      <c r="FH743" s="139"/>
      <c r="FI743" s="139"/>
      <c r="FJ743" s="139"/>
      <c r="FK743" s="139"/>
      <c r="FL743" s="139"/>
      <c r="FM743" s="139"/>
      <c r="FN743" s="139"/>
      <c r="FO743" s="139"/>
      <c r="FP743" s="139"/>
      <c r="FQ743" s="139"/>
      <c r="FR743" s="139"/>
      <c r="FS743" s="139"/>
      <c r="FT743" s="139"/>
      <c r="FU743" s="139"/>
      <c r="FV743" s="139"/>
      <c r="FW743" s="139"/>
      <c r="FX743" s="139"/>
      <c r="FY743" s="139"/>
      <c r="FZ743" s="139"/>
      <c r="GA743" s="139"/>
      <c r="GB743" s="139"/>
      <c r="GC743" s="139"/>
      <c r="GD743" s="139"/>
      <c r="GE743" s="139"/>
      <c r="GF743" s="139"/>
      <c r="GG743" s="139"/>
      <c r="GH743" s="139"/>
      <c r="GI743" s="139"/>
      <c r="GJ743" s="139"/>
      <c r="GK743" s="139"/>
      <c r="GL743" s="139"/>
      <c r="GM743" s="139"/>
      <c r="GN743" s="139"/>
      <c r="GO743" s="139"/>
      <c r="GP743" s="139"/>
      <c r="GQ743" s="139"/>
      <c r="GR743" s="139"/>
      <c r="GS743" s="139"/>
      <c r="GT743" s="139"/>
      <c r="GU743" s="139"/>
      <c r="GV743" s="139"/>
      <c r="GW743" s="139"/>
      <c r="GX743" s="139"/>
      <c r="GY743" s="139"/>
      <c r="GZ743" s="139"/>
      <c r="HA743" s="139"/>
      <c r="HB743" s="139"/>
      <c r="HC743" s="139"/>
      <c r="HD743" s="139"/>
      <c r="HE743" s="139"/>
      <c r="HF743" s="139"/>
      <c r="HG743" s="139"/>
      <c r="HH743" s="139"/>
      <c r="HI743" s="139"/>
      <c r="HJ743" s="139"/>
      <c r="HK743" s="139"/>
      <c r="HL743" s="139"/>
      <c r="HM743" s="139"/>
      <c r="HN743" s="139"/>
      <c r="HO743" s="139"/>
      <c r="HP743" s="139"/>
      <c r="HQ743" s="139"/>
      <c r="HR743" s="139"/>
      <c r="HS743" s="139"/>
      <c r="HT743" s="139"/>
      <c r="HU743" s="139"/>
      <c r="HV743" s="139"/>
      <c r="HW743" s="139"/>
      <c r="HX743" s="139"/>
      <c r="HY743" s="139"/>
      <c r="HZ743" s="139"/>
      <c r="IA743" s="139"/>
      <c r="IB743" s="139"/>
      <c r="IC743" s="139"/>
      <c r="ID743" s="139"/>
      <c r="IE743" s="139"/>
      <c r="IF743" s="139"/>
      <c r="IG743" s="139"/>
      <c r="IH743" s="139"/>
      <c r="II743" s="139"/>
      <c r="IJ743" s="139"/>
      <c r="IK743" s="139"/>
      <c r="IL743" s="139"/>
      <c r="IM743" s="139"/>
      <c r="IN743" s="139"/>
      <c r="IO743" s="139"/>
      <c r="IP743" s="139"/>
      <c r="IQ743" s="139"/>
      <c r="IR743" s="139"/>
      <c r="IS743" s="139"/>
      <c r="IT743" s="139"/>
      <c r="IU743" s="139"/>
    </row>
    <row r="744" s="142" customFormat="true" ht="14.25" hidden="false" customHeight="false" outlineLevel="0" collapsed="false">
      <c r="A744" s="136"/>
      <c r="B744" s="137"/>
      <c r="C744" s="138"/>
      <c r="D744" s="139"/>
      <c r="E744" s="139"/>
      <c r="F744" s="143" t="s">
        <v>314</v>
      </c>
      <c r="G744" s="143"/>
      <c r="H744" s="143"/>
      <c r="I744" s="141"/>
      <c r="J744" s="141"/>
      <c r="K744" s="139"/>
      <c r="L744" s="139"/>
      <c r="M744" s="139"/>
      <c r="N744" s="139"/>
      <c r="O744" s="139"/>
      <c r="P744" s="139"/>
      <c r="Q744" s="139"/>
      <c r="R744" s="139"/>
      <c r="S744" s="139"/>
      <c r="T744" s="139"/>
      <c r="U744" s="139"/>
      <c r="V744" s="139"/>
      <c r="W744" s="139"/>
      <c r="X744" s="139"/>
      <c r="Y744" s="139"/>
      <c r="Z744" s="139"/>
      <c r="AA744" s="139"/>
      <c r="AB744" s="139"/>
      <c r="AC744" s="139"/>
      <c r="AD744" s="139"/>
      <c r="AE744" s="139"/>
      <c r="AF744" s="139"/>
      <c r="AG744" s="139"/>
      <c r="AH744" s="139"/>
      <c r="AI744" s="139"/>
      <c r="AJ744" s="139"/>
      <c r="AK744" s="139"/>
      <c r="AL744" s="139"/>
      <c r="AM744" s="139"/>
      <c r="AN744" s="139"/>
      <c r="AO744" s="139"/>
      <c r="AP744" s="139"/>
      <c r="AQ744" s="139"/>
      <c r="AR744" s="139"/>
      <c r="AS744" s="139"/>
      <c r="AT744" s="139"/>
      <c r="AU744" s="139"/>
      <c r="AV744" s="139"/>
      <c r="AW744" s="139"/>
      <c r="AX744" s="139"/>
      <c r="AY744" s="139"/>
      <c r="AZ744" s="139"/>
      <c r="BA744" s="139"/>
      <c r="BB744" s="139"/>
      <c r="BC744" s="139"/>
      <c r="BD744" s="139"/>
      <c r="BE744" s="139"/>
      <c r="BF744" s="139"/>
      <c r="BG744" s="139"/>
      <c r="BH744" s="139"/>
      <c r="BI744" s="139"/>
      <c r="BJ744" s="139"/>
      <c r="BK744" s="139"/>
      <c r="BL744" s="139"/>
      <c r="BM744" s="139"/>
      <c r="BN744" s="139"/>
      <c r="BO744" s="139"/>
      <c r="BP744" s="139"/>
      <c r="BQ744" s="139"/>
      <c r="BR744" s="139"/>
      <c r="BS744" s="139"/>
      <c r="BT744" s="139"/>
      <c r="BU744" s="139"/>
      <c r="BV744" s="139"/>
      <c r="BW744" s="139"/>
      <c r="BX744" s="139"/>
      <c r="BY744" s="139"/>
      <c r="BZ744" s="139"/>
      <c r="CA744" s="139"/>
      <c r="CB744" s="139"/>
      <c r="CC744" s="139"/>
      <c r="CD744" s="139"/>
      <c r="CE744" s="139"/>
      <c r="CF744" s="139"/>
      <c r="CG744" s="139"/>
      <c r="CH744" s="139"/>
      <c r="CI744" s="139"/>
      <c r="CJ744" s="139"/>
      <c r="CK744" s="139"/>
      <c r="CL744" s="139"/>
      <c r="CM744" s="139"/>
      <c r="CN744" s="139"/>
      <c r="CO744" s="139"/>
      <c r="CP744" s="139"/>
      <c r="CQ744" s="139"/>
      <c r="CR744" s="139"/>
      <c r="CS744" s="139"/>
      <c r="CT744" s="139"/>
      <c r="CU744" s="139"/>
      <c r="CV744" s="139"/>
      <c r="CW744" s="139"/>
      <c r="CX744" s="139"/>
      <c r="CY744" s="139"/>
      <c r="CZ744" s="139"/>
      <c r="DA744" s="139"/>
      <c r="DB744" s="139"/>
      <c r="DC744" s="139"/>
      <c r="DD744" s="139"/>
      <c r="DE744" s="139"/>
      <c r="DF744" s="139"/>
      <c r="DG744" s="139"/>
      <c r="DH744" s="139"/>
      <c r="DI744" s="139"/>
      <c r="DJ744" s="139"/>
      <c r="DK744" s="139"/>
      <c r="DL744" s="139"/>
      <c r="DM744" s="139"/>
      <c r="DN744" s="139"/>
      <c r="DO744" s="139"/>
      <c r="DP744" s="139"/>
      <c r="DQ744" s="139"/>
      <c r="DR744" s="139"/>
      <c r="DS744" s="139"/>
      <c r="DT744" s="139"/>
      <c r="DU744" s="139"/>
      <c r="DV744" s="139"/>
      <c r="DW744" s="139"/>
      <c r="DX744" s="139"/>
      <c r="DY744" s="139"/>
      <c r="DZ744" s="139"/>
      <c r="EA744" s="139"/>
      <c r="EB744" s="139"/>
      <c r="EC744" s="139"/>
      <c r="ED744" s="139"/>
      <c r="EE744" s="139"/>
      <c r="EF744" s="139"/>
      <c r="EG744" s="139"/>
      <c r="EH744" s="139"/>
      <c r="EI744" s="139"/>
      <c r="EJ744" s="139"/>
      <c r="EK744" s="139"/>
      <c r="EL744" s="139"/>
      <c r="EM744" s="139"/>
      <c r="EN744" s="139"/>
      <c r="EO744" s="139"/>
      <c r="EP744" s="139"/>
      <c r="EQ744" s="139"/>
      <c r="ER744" s="139"/>
      <c r="ES744" s="139"/>
      <c r="ET744" s="139"/>
      <c r="EU744" s="139"/>
      <c r="EV744" s="139"/>
      <c r="EW744" s="139"/>
      <c r="EX744" s="139"/>
      <c r="EY744" s="139"/>
      <c r="EZ744" s="139"/>
      <c r="FA744" s="139"/>
      <c r="FB744" s="139"/>
      <c r="FC744" s="139"/>
      <c r="FD744" s="139"/>
      <c r="FE744" s="139"/>
      <c r="FF744" s="139"/>
      <c r="FG744" s="139"/>
      <c r="FH744" s="139"/>
      <c r="FI744" s="139"/>
      <c r="FJ744" s="139"/>
      <c r="FK744" s="139"/>
      <c r="FL744" s="139"/>
      <c r="FM744" s="139"/>
      <c r="FN744" s="139"/>
      <c r="FO744" s="139"/>
      <c r="FP744" s="139"/>
      <c r="FQ744" s="139"/>
      <c r="FR744" s="139"/>
      <c r="FS744" s="139"/>
      <c r="FT744" s="139"/>
      <c r="FU744" s="139"/>
      <c r="FV744" s="139"/>
      <c r="FW744" s="139"/>
      <c r="FX744" s="139"/>
      <c r="FY744" s="139"/>
      <c r="FZ744" s="139"/>
      <c r="GA744" s="139"/>
      <c r="GB744" s="139"/>
      <c r="GC744" s="139"/>
      <c r="GD744" s="139"/>
      <c r="GE744" s="139"/>
      <c r="GF744" s="139"/>
      <c r="GG744" s="139"/>
      <c r="GH744" s="139"/>
      <c r="GI744" s="139"/>
      <c r="GJ744" s="139"/>
      <c r="GK744" s="139"/>
      <c r="GL744" s="139"/>
      <c r="GM744" s="139"/>
      <c r="GN744" s="139"/>
      <c r="GO744" s="139"/>
      <c r="GP744" s="139"/>
      <c r="GQ744" s="139"/>
      <c r="GR744" s="139"/>
      <c r="GS744" s="139"/>
      <c r="GT744" s="139"/>
      <c r="GU744" s="139"/>
      <c r="GV744" s="139"/>
      <c r="GW744" s="139"/>
      <c r="GX744" s="139"/>
      <c r="GY744" s="139"/>
      <c r="GZ744" s="139"/>
      <c r="HA744" s="139"/>
      <c r="HB744" s="139"/>
      <c r="HC744" s="139"/>
      <c r="HD744" s="139"/>
      <c r="HE744" s="139"/>
      <c r="HF744" s="139"/>
      <c r="HG744" s="139"/>
      <c r="HH744" s="139"/>
      <c r="HI744" s="139"/>
      <c r="HJ744" s="139"/>
      <c r="HK744" s="139"/>
      <c r="HL744" s="139"/>
      <c r="HM744" s="139"/>
      <c r="HN744" s="139"/>
      <c r="HO744" s="139"/>
      <c r="HP744" s="139"/>
      <c r="HQ744" s="139"/>
      <c r="HR744" s="139"/>
      <c r="HS744" s="139"/>
      <c r="HT744" s="139"/>
      <c r="HU744" s="139"/>
      <c r="HV744" s="139"/>
      <c r="HW744" s="139"/>
      <c r="HX744" s="139"/>
      <c r="HY744" s="139"/>
      <c r="HZ744" s="139"/>
      <c r="IA744" s="139"/>
      <c r="IB744" s="139"/>
      <c r="IC744" s="139"/>
      <c r="ID744" s="139"/>
      <c r="IE744" s="139"/>
      <c r="IF744" s="139"/>
      <c r="IG744" s="139"/>
      <c r="IH744" s="139"/>
      <c r="II744" s="139"/>
      <c r="IJ744" s="139"/>
      <c r="IK744" s="139"/>
      <c r="IL744" s="139"/>
      <c r="IM744" s="139"/>
      <c r="IN744" s="139"/>
      <c r="IO744" s="139"/>
      <c r="IP744" s="139"/>
      <c r="IQ744" s="139"/>
      <c r="IR744" s="139"/>
      <c r="IS744" s="139"/>
      <c r="IT744" s="139"/>
      <c r="IU744" s="139"/>
      <c r="IV744" s="139"/>
    </row>
    <row r="745" s="142" customFormat="true" ht="14.25" hidden="false" customHeight="true" outlineLevel="0" collapsed="false">
      <c r="A745" s="136"/>
      <c r="B745" s="137"/>
      <c r="C745" s="138"/>
      <c r="D745" s="139"/>
      <c r="E745" s="139"/>
      <c r="F745" s="140"/>
      <c r="G745" s="140"/>
      <c r="H745" s="141"/>
      <c r="I745" s="141"/>
      <c r="J745" s="139"/>
      <c r="K745" s="139"/>
      <c r="L745" s="139"/>
      <c r="M745" s="139"/>
      <c r="N745" s="139"/>
      <c r="O745" s="139"/>
      <c r="P745" s="139"/>
      <c r="Q745" s="139"/>
      <c r="R745" s="139"/>
      <c r="S745" s="139"/>
      <c r="T745" s="139"/>
      <c r="U745" s="139"/>
      <c r="V745" s="139"/>
      <c r="W745" s="139"/>
      <c r="X745" s="139"/>
      <c r="Y745" s="139"/>
      <c r="Z745" s="139"/>
      <c r="AA745" s="139"/>
      <c r="AB745" s="139"/>
      <c r="AC745" s="139"/>
      <c r="AD745" s="139"/>
      <c r="AE745" s="139"/>
      <c r="AF745" s="139"/>
      <c r="AG745" s="139"/>
      <c r="AH745" s="139"/>
      <c r="AI745" s="139"/>
      <c r="AJ745" s="139"/>
      <c r="AK745" s="139"/>
      <c r="AL745" s="139"/>
      <c r="AM745" s="139"/>
      <c r="AN745" s="139"/>
      <c r="AO745" s="139"/>
      <c r="AP745" s="139"/>
      <c r="AQ745" s="139"/>
      <c r="AR745" s="139"/>
      <c r="AS745" s="139"/>
      <c r="AT745" s="139"/>
      <c r="AU745" s="139"/>
      <c r="AV745" s="139"/>
      <c r="AW745" s="139"/>
      <c r="AX745" s="139"/>
      <c r="AY745" s="139"/>
      <c r="AZ745" s="139"/>
      <c r="BA745" s="139"/>
      <c r="BB745" s="139"/>
      <c r="BC745" s="139"/>
      <c r="BD745" s="139"/>
      <c r="BE745" s="139"/>
      <c r="BF745" s="139"/>
      <c r="BG745" s="139"/>
      <c r="BH745" s="139"/>
      <c r="BI745" s="139"/>
      <c r="BJ745" s="139"/>
      <c r="BK745" s="139"/>
      <c r="BL745" s="139"/>
      <c r="BM745" s="139"/>
      <c r="BN745" s="139"/>
      <c r="BO745" s="139"/>
      <c r="BP745" s="139"/>
      <c r="BQ745" s="139"/>
      <c r="BR745" s="139"/>
      <c r="BS745" s="139"/>
      <c r="BT745" s="139"/>
      <c r="BU745" s="139"/>
      <c r="BV745" s="139"/>
      <c r="BW745" s="139"/>
      <c r="BX745" s="139"/>
      <c r="BY745" s="139"/>
      <c r="BZ745" s="139"/>
      <c r="CA745" s="139"/>
      <c r="CB745" s="139"/>
      <c r="CC745" s="139"/>
      <c r="CD745" s="139"/>
      <c r="CE745" s="139"/>
      <c r="CF745" s="139"/>
      <c r="CG745" s="139"/>
      <c r="CH745" s="139"/>
      <c r="CI745" s="139"/>
      <c r="CJ745" s="139"/>
      <c r="CK745" s="139"/>
      <c r="CL745" s="139"/>
      <c r="CM745" s="139"/>
      <c r="CN745" s="139"/>
      <c r="CO745" s="139"/>
      <c r="CP745" s="139"/>
      <c r="CQ745" s="139"/>
      <c r="CR745" s="139"/>
      <c r="CS745" s="139"/>
      <c r="CT745" s="139"/>
      <c r="CU745" s="139"/>
      <c r="CV745" s="139"/>
      <c r="CW745" s="139"/>
      <c r="CX745" s="139"/>
      <c r="CY745" s="139"/>
      <c r="CZ745" s="139"/>
      <c r="DA745" s="139"/>
      <c r="DB745" s="139"/>
      <c r="DC745" s="139"/>
      <c r="DD745" s="139"/>
      <c r="DE745" s="139"/>
      <c r="DF745" s="139"/>
      <c r="DG745" s="139"/>
      <c r="DH745" s="139"/>
      <c r="DI745" s="139"/>
      <c r="DJ745" s="139"/>
      <c r="DK745" s="139"/>
      <c r="DL745" s="139"/>
      <c r="DM745" s="139"/>
      <c r="DN745" s="139"/>
      <c r="DO745" s="139"/>
      <c r="DP745" s="139"/>
      <c r="DQ745" s="139"/>
      <c r="DR745" s="139"/>
      <c r="DS745" s="139"/>
      <c r="DT745" s="139"/>
      <c r="DU745" s="139"/>
      <c r="DV745" s="139"/>
      <c r="DW745" s="139"/>
      <c r="DX745" s="139"/>
      <c r="DY745" s="139"/>
      <c r="DZ745" s="139"/>
      <c r="EA745" s="139"/>
      <c r="EB745" s="139"/>
      <c r="EC745" s="139"/>
      <c r="ED745" s="139"/>
      <c r="EE745" s="139"/>
      <c r="EF745" s="139"/>
      <c r="EG745" s="139"/>
      <c r="EH745" s="139"/>
      <c r="EI745" s="139"/>
      <c r="EJ745" s="139"/>
      <c r="EK745" s="139"/>
      <c r="EL745" s="139"/>
      <c r="EM745" s="139"/>
      <c r="EN745" s="139"/>
      <c r="EO745" s="139"/>
      <c r="EP745" s="139"/>
      <c r="EQ745" s="139"/>
      <c r="ER745" s="139"/>
      <c r="ES745" s="139"/>
      <c r="ET745" s="139"/>
      <c r="EU745" s="139"/>
      <c r="EV745" s="139"/>
      <c r="EW745" s="139"/>
      <c r="EX745" s="139"/>
      <c r="EY745" s="139"/>
      <c r="EZ745" s="139"/>
      <c r="FA745" s="139"/>
      <c r="FB745" s="139"/>
      <c r="FC745" s="139"/>
      <c r="FD745" s="139"/>
      <c r="FE745" s="139"/>
      <c r="FF745" s="139"/>
      <c r="FG745" s="139"/>
      <c r="FH745" s="139"/>
      <c r="FI745" s="139"/>
      <c r="FJ745" s="139"/>
      <c r="FK745" s="139"/>
      <c r="FL745" s="139"/>
      <c r="FM745" s="139"/>
      <c r="FN745" s="139"/>
      <c r="FO745" s="139"/>
      <c r="FP745" s="139"/>
      <c r="FQ745" s="139"/>
      <c r="FR745" s="139"/>
      <c r="FS745" s="139"/>
      <c r="FT745" s="139"/>
      <c r="FU745" s="139"/>
      <c r="FV745" s="139"/>
      <c r="FW745" s="139"/>
      <c r="FX745" s="139"/>
      <c r="FY745" s="139"/>
      <c r="FZ745" s="139"/>
      <c r="GA745" s="139"/>
      <c r="GB745" s="139"/>
      <c r="GC745" s="139"/>
      <c r="GD745" s="139"/>
      <c r="GE745" s="139"/>
      <c r="GF745" s="139"/>
      <c r="GG745" s="139"/>
      <c r="GH745" s="139"/>
      <c r="GI745" s="139"/>
      <c r="GJ745" s="139"/>
      <c r="GK745" s="139"/>
      <c r="GL745" s="139"/>
      <c r="GM745" s="139"/>
      <c r="GN745" s="139"/>
      <c r="GO745" s="139"/>
      <c r="GP745" s="139"/>
      <c r="GQ745" s="139"/>
      <c r="GR745" s="139"/>
      <c r="GS745" s="139"/>
      <c r="GT745" s="139"/>
      <c r="GU745" s="139"/>
      <c r="GV745" s="139"/>
      <c r="GW745" s="139"/>
      <c r="GX745" s="139"/>
      <c r="GY745" s="139"/>
      <c r="GZ745" s="139"/>
      <c r="HA745" s="139"/>
      <c r="HB745" s="139"/>
      <c r="HC745" s="139"/>
      <c r="HD745" s="139"/>
      <c r="HE745" s="139"/>
      <c r="HF745" s="139"/>
      <c r="HG745" s="139"/>
      <c r="HH745" s="139"/>
      <c r="HI745" s="139"/>
      <c r="HJ745" s="139"/>
      <c r="HK745" s="139"/>
      <c r="HL745" s="139"/>
      <c r="HM745" s="139"/>
      <c r="HN745" s="139"/>
      <c r="HO745" s="139"/>
      <c r="HP745" s="139"/>
      <c r="HQ745" s="139"/>
      <c r="HR745" s="139"/>
      <c r="HS745" s="139"/>
      <c r="HT745" s="139"/>
      <c r="HU745" s="139"/>
      <c r="HV745" s="139"/>
      <c r="HW745" s="139"/>
      <c r="HX745" s="139"/>
      <c r="HY745" s="139"/>
      <c r="HZ745" s="139"/>
      <c r="IA745" s="139"/>
      <c r="IB745" s="139"/>
      <c r="IC745" s="139"/>
      <c r="ID745" s="139"/>
      <c r="IE745" s="139"/>
      <c r="IF745" s="139"/>
      <c r="IG745" s="139"/>
      <c r="IH745" s="139"/>
      <c r="II745" s="139"/>
      <c r="IJ745" s="139"/>
      <c r="IK745" s="139"/>
      <c r="IL745" s="139"/>
      <c r="IM745" s="139"/>
      <c r="IN745" s="139"/>
      <c r="IO745" s="139"/>
      <c r="IP745" s="139"/>
      <c r="IQ745" s="139"/>
      <c r="IR745" s="139"/>
      <c r="IS745" s="139"/>
      <c r="IT745" s="139"/>
      <c r="IU745" s="139"/>
    </row>
    <row r="746" s="142" customFormat="true" ht="16.5" hidden="false" customHeight="true" outlineLevel="0" collapsed="false">
      <c r="A746" s="136"/>
      <c r="B746" s="137"/>
      <c r="C746" s="144"/>
      <c r="D746" s="139"/>
      <c r="E746" s="139"/>
      <c r="F746" s="143" t="s">
        <v>315</v>
      </c>
      <c r="G746" s="143"/>
      <c r="H746" s="145"/>
      <c r="I746" s="141"/>
      <c r="J746" s="141"/>
      <c r="K746" s="139"/>
      <c r="L746" s="139"/>
      <c r="M746" s="139"/>
      <c r="N746" s="139"/>
      <c r="O746" s="139"/>
      <c r="P746" s="139"/>
      <c r="Q746" s="139"/>
      <c r="R746" s="139"/>
      <c r="S746" s="139"/>
      <c r="T746" s="139"/>
      <c r="U746" s="139"/>
      <c r="V746" s="139"/>
      <c r="W746" s="139"/>
      <c r="X746" s="139"/>
      <c r="Y746" s="139"/>
      <c r="Z746" s="139"/>
      <c r="AA746" s="139"/>
      <c r="AB746" s="139"/>
      <c r="AC746" s="139"/>
      <c r="AD746" s="139"/>
      <c r="AE746" s="139"/>
      <c r="AF746" s="139"/>
      <c r="AG746" s="139"/>
      <c r="AH746" s="139"/>
      <c r="AI746" s="139"/>
      <c r="AJ746" s="139"/>
      <c r="AK746" s="139"/>
      <c r="AL746" s="139"/>
      <c r="AM746" s="139"/>
      <c r="AN746" s="139"/>
      <c r="AO746" s="139"/>
      <c r="AP746" s="139"/>
      <c r="AQ746" s="139"/>
      <c r="AR746" s="139"/>
      <c r="AS746" s="139"/>
      <c r="AT746" s="139"/>
      <c r="AU746" s="139"/>
      <c r="AV746" s="139"/>
      <c r="AW746" s="139"/>
      <c r="AX746" s="139"/>
      <c r="AY746" s="139"/>
      <c r="AZ746" s="139"/>
      <c r="BA746" s="139"/>
      <c r="BB746" s="139"/>
      <c r="BC746" s="139"/>
      <c r="BD746" s="139"/>
      <c r="BE746" s="139"/>
      <c r="BF746" s="139"/>
      <c r="BG746" s="139"/>
      <c r="BH746" s="139"/>
      <c r="BI746" s="139"/>
      <c r="BJ746" s="139"/>
      <c r="BK746" s="139"/>
      <c r="BL746" s="139"/>
      <c r="BM746" s="139"/>
      <c r="BN746" s="139"/>
      <c r="BO746" s="139"/>
      <c r="BP746" s="139"/>
      <c r="BQ746" s="139"/>
      <c r="BR746" s="139"/>
      <c r="BS746" s="139"/>
      <c r="BT746" s="139"/>
      <c r="BU746" s="139"/>
      <c r="BV746" s="139"/>
      <c r="BW746" s="139"/>
      <c r="BX746" s="139"/>
      <c r="BY746" s="139"/>
      <c r="BZ746" s="139"/>
      <c r="CA746" s="139"/>
      <c r="CB746" s="139"/>
      <c r="CC746" s="139"/>
      <c r="CD746" s="139"/>
      <c r="CE746" s="139"/>
      <c r="CF746" s="139"/>
      <c r="CG746" s="139"/>
      <c r="CH746" s="139"/>
      <c r="CI746" s="139"/>
      <c r="CJ746" s="139"/>
      <c r="CK746" s="139"/>
      <c r="CL746" s="139"/>
      <c r="CM746" s="139"/>
      <c r="CN746" s="139"/>
      <c r="CO746" s="139"/>
      <c r="CP746" s="139"/>
      <c r="CQ746" s="139"/>
      <c r="CR746" s="139"/>
      <c r="CS746" s="139"/>
      <c r="CT746" s="139"/>
      <c r="CU746" s="139"/>
      <c r="CV746" s="139"/>
      <c r="CW746" s="139"/>
      <c r="CX746" s="139"/>
      <c r="CY746" s="139"/>
      <c r="CZ746" s="139"/>
      <c r="DA746" s="139"/>
      <c r="DB746" s="139"/>
      <c r="DC746" s="139"/>
      <c r="DD746" s="139"/>
      <c r="DE746" s="139"/>
      <c r="DF746" s="139"/>
      <c r="DG746" s="139"/>
      <c r="DH746" s="139"/>
      <c r="DI746" s="139"/>
      <c r="DJ746" s="139"/>
      <c r="DK746" s="139"/>
      <c r="DL746" s="139"/>
      <c r="DM746" s="139"/>
      <c r="DN746" s="139"/>
      <c r="DO746" s="139"/>
      <c r="DP746" s="139"/>
      <c r="DQ746" s="139"/>
      <c r="DR746" s="139"/>
      <c r="DS746" s="139"/>
      <c r="DT746" s="139"/>
      <c r="DU746" s="139"/>
      <c r="DV746" s="139"/>
      <c r="DW746" s="139"/>
      <c r="DX746" s="139"/>
      <c r="DY746" s="139"/>
      <c r="DZ746" s="139"/>
      <c r="EA746" s="139"/>
      <c r="EB746" s="139"/>
      <c r="EC746" s="139"/>
      <c r="ED746" s="139"/>
      <c r="EE746" s="139"/>
      <c r="EF746" s="139"/>
      <c r="EG746" s="139"/>
      <c r="EH746" s="139"/>
      <c r="EI746" s="139"/>
      <c r="EJ746" s="139"/>
      <c r="EK746" s="139"/>
      <c r="EL746" s="139"/>
      <c r="EM746" s="139"/>
      <c r="EN746" s="139"/>
      <c r="EO746" s="139"/>
      <c r="EP746" s="139"/>
      <c r="EQ746" s="139"/>
      <c r="ER746" s="139"/>
      <c r="ES746" s="139"/>
      <c r="ET746" s="139"/>
      <c r="EU746" s="139"/>
      <c r="EV746" s="139"/>
      <c r="EW746" s="139"/>
      <c r="EX746" s="139"/>
      <c r="EY746" s="139"/>
      <c r="EZ746" s="139"/>
      <c r="FA746" s="139"/>
      <c r="FB746" s="139"/>
      <c r="FC746" s="139"/>
      <c r="FD746" s="139"/>
      <c r="FE746" s="139"/>
      <c r="FF746" s="139"/>
      <c r="FG746" s="139"/>
      <c r="FH746" s="139"/>
      <c r="FI746" s="139"/>
      <c r="FJ746" s="139"/>
      <c r="FK746" s="139"/>
      <c r="FL746" s="139"/>
      <c r="FM746" s="139"/>
      <c r="FN746" s="139"/>
      <c r="FO746" s="139"/>
      <c r="FP746" s="139"/>
      <c r="FQ746" s="139"/>
      <c r="FR746" s="139"/>
      <c r="FS746" s="139"/>
      <c r="FT746" s="139"/>
      <c r="FU746" s="139"/>
      <c r="FV746" s="139"/>
      <c r="FW746" s="139"/>
      <c r="FX746" s="139"/>
      <c r="FY746" s="139"/>
      <c r="FZ746" s="139"/>
      <c r="GA746" s="139"/>
      <c r="GB746" s="139"/>
      <c r="GC746" s="139"/>
      <c r="GD746" s="139"/>
      <c r="GE746" s="139"/>
      <c r="GF746" s="139"/>
      <c r="GG746" s="139"/>
      <c r="GH746" s="139"/>
      <c r="GI746" s="139"/>
      <c r="GJ746" s="139"/>
      <c r="GK746" s="139"/>
      <c r="GL746" s="139"/>
      <c r="GM746" s="139"/>
      <c r="GN746" s="139"/>
      <c r="GO746" s="139"/>
      <c r="GP746" s="139"/>
      <c r="GQ746" s="139"/>
      <c r="GR746" s="139"/>
      <c r="GS746" s="139"/>
      <c r="GT746" s="139"/>
      <c r="GU746" s="139"/>
      <c r="GV746" s="139"/>
      <c r="GW746" s="139"/>
      <c r="GX746" s="139"/>
      <c r="GY746" s="139"/>
      <c r="GZ746" s="139"/>
      <c r="HA746" s="139"/>
      <c r="HB746" s="139"/>
      <c r="HC746" s="139"/>
      <c r="HD746" s="139"/>
      <c r="HE746" s="139"/>
      <c r="HF746" s="139"/>
      <c r="HG746" s="139"/>
      <c r="HH746" s="139"/>
      <c r="HI746" s="139"/>
      <c r="HJ746" s="139"/>
      <c r="HK746" s="139"/>
      <c r="HL746" s="139"/>
      <c r="HM746" s="139"/>
      <c r="HN746" s="139"/>
      <c r="HO746" s="139"/>
      <c r="HP746" s="139"/>
      <c r="HQ746" s="139"/>
      <c r="HR746" s="139"/>
      <c r="HS746" s="139"/>
      <c r="HT746" s="139"/>
      <c r="HU746" s="139"/>
      <c r="HV746" s="139"/>
      <c r="HW746" s="139"/>
      <c r="HX746" s="139"/>
      <c r="HY746" s="139"/>
      <c r="HZ746" s="139"/>
      <c r="IA746" s="139"/>
      <c r="IB746" s="139"/>
      <c r="IC746" s="139"/>
      <c r="ID746" s="139"/>
      <c r="IE746" s="139"/>
      <c r="IF746" s="139"/>
      <c r="IG746" s="139"/>
      <c r="IH746" s="139"/>
      <c r="II746" s="139"/>
      <c r="IJ746" s="139"/>
      <c r="IK746" s="139"/>
      <c r="IL746" s="139"/>
      <c r="IM746" s="139"/>
      <c r="IN746" s="139"/>
      <c r="IO746" s="139"/>
      <c r="IP746" s="139"/>
      <c r="IQ746" s="139"/>
      <c r="IR746" s="139"/>
      <c r="IS746" s="139"/>
      <c r="IT746" s="139"/>
      <c r="IU746" s="139"/>
      <c r="IV746" s="139"/>
    </row>
    <row r="747" s="43" customFormat="true" ht="12.75" hidden="false" customHeight="true" outlineLevel="0" collapsed="false">
      <c r="A747" s="146"/>
      <c r="B747" s="147"/>
      <c r="C747" s="146"/>
      <c r="D747" s="147"/>
      <c r="E747" s="148"/>
      <c r="F747" s="148"/>
      <c r="I747" s="42"/>
    </row>
  </sheetData>
  <mergeCells count="77">
    <mergeCell ref="A1:G1"/>
    <mergeCell ref="A3:B3"/>
    <mergeCell ref="C3:G3"/>
    <mergeCell ref="A8:G8"/>
    <mergeCell ref="A9:B9"/>
    <mergeCell ref="A23:B23"/>
    <mergeCell ref="A40:B40"/>
    <mergeCell ref="A57:E57"/>
    <mergeCell ref="A58:G58"/>
    <mergeCell ref="A59:B59"/>
    <mergeCell ref="A66:B66"/>
    <mergeCell ref="A73:B73"/>
    <mergeCell ref="A80:E80"/>
    <mergeCell ref="A81:G81"/>
    <mergeCell ref="A82:B82"/>
    <mergeCell ref="A96:B96"/>
    <mergeCell ref="A110:E110"/>
    <mergeCell ref="A111:G111"/>
    <mergeCell ref="A112:B112"/>
    <mergeCell ref="A117:B117"/>
    <mergeCell ref="A122:E122"/>
    <mergeCell ref="A123:G123"/>
    <mergeCell ref="A124:B124"/>
    <mergeCell ref="A158:B158"/>
    <mergeCell ref="A193:B193"/>
    <mergeCell ref="A226:E226"/>
    <mergeCell ref="A227:G227"/>
    <mergeCell ref="A228:B228"/>
    <mergeCell ref="A235:B235"/>
    <mergeCell ref="A242:B242"/>
    <mergeCell ref="A249:E249"/>
    <mergeCell ref="A250:G250"/>
    <mergeCell ref="A251:B251"/>
    <mergeCell ref="A252:G252"/>
    <mergeCell ref="A285:G285"/>
    <mergeCell ref="A292:G292"/>
    <mergeCell ref="A323:G323"/>
    <mergeCell ref="A347:G347"/>
    <mergeCell ref="A378:G378"/>
    <mergeCell ref="A392:G392"/>
    <mergeCell ref="A405:G405"/>
    <mergeCell ref="A411:G411"/>
    <mergeCell ref="A421:B421"/>
    <mergeCell ref="A422:G422"/>
    <mergeCell ref="A429:G429"/>
    <mergeCell ref="A460:G460"/>
    <mergeCell ref="A484:G484"/>
    <mergeCell ref="A515:G515"/>
    <mergeCell ref="A546:G546"/>
    <mergeCell ref="A560:G560"/>
    <mergeCell ref="A574:G574"/>
    <mergeCell ref="A587:G587"/>
    <mergeCell ref="A599:G599"/>
    <mergeCell ref="A605:G605"/>
    <mergeCell ref="A615:B615"/>
    <mergeCell ref="A616:G616"/>
    <mergeCell ref="A640:G640"/>
    <mergeCell ref="A671:G671"/>
    <mergeCell ref="A684:G684"/>
    <mergeCell ref="A697:G697"/>
    <mergeCell ref="A703:E703"/>
    <mergeCell ref="A704:G704"/>
    <mergeCell ref="A705:B705"/>
    <mergeCell ref="A708:B708"/>
    <mergeCell ref="A711:B711"/>
    <mergeCell ref="A714:E714"/>
    <mergeCell ref="C717:F717"/>
    <mergeCell ref="G728:H728"/>
    <mergeCell ref="G729:H729"/>
    <mergeCell ref="G731:H731"/>
    <mergeCell ref="G732:H732"/>
    <mergeCell ref="G733:H733"/>
    <mergeCell ref="D741:E741"/>
    <mergeCell ref="F743:G743"/>
    <mergeCell ref="F744:H744"/>
    <mergeCell ref="F745:G745"/>
    <mergeCell ref="F746:G7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2025-11-04T06:59:10Z</dcterms:created>
  <dc:creator>proekti</dc:creator>
  <dc:description/>
  <dc:language>en-US</dc:language>
  <cp:lastModifiedBy/>
  <dcterms:modified xsi:type="dcterms:W3CDTF">2026-05-04T21:00:32Z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