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180" activeTab="4"/>
  </bookViews>
  <sheets>
    <sheet name="Ф200" sheetId="6" r:id="rId1"/>
    <sheet name="Ф160" sheetId="7" r:id="rId2"/>
    <sheet name="Ф 125" sheetId="9" r:id="rId3"/>
    <sheet name="Ф 90" sheetId="10" r:id="rId4"/>
    <sheet name="Рекапитулация" sheetId="8" r:id="rId5"/>
    <sheet name="Ед. Цени" sheetId="11" r:id="rId6"/>
    <sheet name="Анализи" sheetId="12" r:id="rId7"/>
  </sheets>
  <definedNames>
    <definedName name="_xlnm._FilterDatabase" localSheetId="5" hidden="1">'Ед. Цени'!$A$2:$E$98</definedName>
    <definedName name="_xlnm._FilterDatabase" localSheetId="2" hidden="1">'Ф 125'!$A$3:$G$48</definedName>
    <definedName name="_xlnm._FilterDatabase" localSheetId="3" hidden="1">'Ф 90'!$A$5:$G$54</definedName>
    <definedName name="_xlnm._FilterDatabase" localSheetId="1" hidden="1">Ф160!$A$3:$G$42</definedName>
    <definedName name="_xlnm._FilterDatabase" localSheetId="0" hidden="1">Ф200!$A$2:$G$81</definedName>
    <definedName name="_xlnm.Print_Area" localSheetId="5">'Ед. Цени'!$A$1:$E$99</definedName>
    <definedName name="_xlnm.Print_Area" localSheetId="4">Рекапитулация!$A$1:$C$11</definedName>
    <definedName name="_xlnm.Print_Area" localSheetId="2">'Ф 125'!$A$1:$G$48</definedName>
    <definedName name="_xlnm.Print_Area" localSheetId="3">'Ф 90'!$A$1:$G$54</definedName>
    <definedName name="_xlnm.Print_Area" localSheetId="1">Ф160!$A$1:$G$42</definedName>
    <definedName name="_xlnm.Print_Area" localSheetId="0">Ф200!$A$1:$G$81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4" i="10" l="1"/>
  <c r="F5" i="8" l="1"/>
  <c r="K9" i="10" l="1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8" i="10"/>
  <c r="K78" i="6" l="1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5" i="6"/>
  <c r="F76" i="6" l="1"/>
  <c r="F75" i="6"/>
  <c r="F66" i="6"/>
  <c r="F67" i="6"/>
  <c r="F68" i="6"/>
  <c r="F69" i="6"/>
  <c r="F70" i="6"/>
  <c r="F71" i="6"/>
  <c r="F72" i="6"/>
  <c r="F73" i="6"/>
  <c r="F65" i="6"/>
  <c r="F60" i="6"/>
  <c r="F61" i="6"/>
  <c r="F62" i="6"/>
  <c r="F63" i="6"/>
  <c r="F59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28" i="6"/>
  <c r="F19" i="6"/>
  <c r="F20" i="6"/>
  <c r="F21" i="6"/>
  <c r="F22" i="6"/>
  <c r="F23" i="6"/>
  <c r="F24" i="6"/>
  <c r="F25" i="6"/>
  <c r="F26" i="6"/>
  <c r="F18" i="6"/>
  <c r="F6" i="6"/>
  <c r="F7" i="6"/>
  <c r="F9" i="6"/>
  <c r="F10" i="6"/>
  <c r="F11" i="6"/>
  <c r="F12" i="6"/>
  <c r="F13" i="6"/>
  <c r="F14" i="6"/>
  <c r="F15" i="6"/>
  <c r="F5" i="6"/>
  <c r="F39" i="7"/>
  <c r="F38" i="7"/>
  <c r="F29" i="7"/>
  <c r="F30" i="7"/>
  <c r="F31" i="7"/>
  <c r="F32" i="7"/>
  <c r="F33" i="7"/>
  <c r="F34" i="7"/>
  <c r="F35" i="7"/>
  <c r="F36" i="7"/>
  <c r="F28" i="7"/>
  <c r="F26" i="7"/>
  <c r="G26" i="7" s="1"/>
  <c r="F24" i="7"/>
  <c r="G24" i="7" s="1"/>
  <c r="F25" i="7"/>
  <c r="G25" i="7" s="1"/>
  <c r="F23" i="7"/>
  <c r="F22" i="7"/>
  <c r="F21" i="7"/>
  <c r="G21" i="7" s="1"/>
  <c r="F19" i="7"/>
  <c r="F20" i="7"/>
  <c r="F18" i="7"/>
  <c r="F7" i="7"/>
  <c r="F8" i="7"/>
  <c r="F10" i="7"/>
  <c r="F11" i="7"/>
  <c r="F12" i="7"/>
  <c r="F13" i="7"/>
  <c r="F14" i="7"/>
  <c r="F15" i="7"/>
  <c r="F16" i="7"/>
  <c r="F6" i="7"/>
  <c r="F45" i="9"/>
  <c r="F44" i="9"/>
  <c r="F35" i="9"/>
  <c r="F36" i="9"/>
  <c r="F37" i="9"/>
  <c r="F38" i="9"/>
  <c r="F39" i="9"/>
  <c r="F40" i="9"/>
  <c r="F41" i="9"/>
  <c r="F42" i="9"/>
  <c r="F34" i="9"/>
  <c r="F32" i="9"/>
  <c r="G32" i="9" s="1"/>
  <c r="F31" i="9"/>
  <c r="G31" i="9" s="1"/>
  <c r="F30" i="9"/>
  <c r="G30" i="9" s="1"/>
  <c r="F29" i="9"/>
  <c r="G29" i="9" s="1"/>
  <c r="F28" i="9"/>
  <c r="F27" i="9"/>
  <c r="G27" i="9" s="1"/>
  <c r="F26" i="9"/>
  <c r="G26" i="9" s="1"/>
  <c r="F25" i="9"/>
  <c r="G25" i="9" s="1"/>
  <c r="F23" i="9"/>
  <c r="G23" i="9" s="1"/>
  <c r="F19" i="9"/>
  <c r="G19" i="9" s="1"/>
  <c r="F20" i="9"/>
  <c r="G20" i="9" s="1"/>
  <c r="F21" i="9"/>
  <c r="F22" i="9"/>
  <c r="F18" i="9"/>
  <c r="F7" i="9"/>
  <c r="G7" i="9" s="1"/>
  <c r="F8" i="9"/>
  <c r="G8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6" i="9"/>
  <c r="G6" i="9" s="1"/>
  <c r="F51" i="10"/>
  <c r="F50" i="10"/>
  <c r="F41" i="10"/>
  <c r="F42" i="10"/>
  <c r="F43" i="10"/>
  <c r="F44" i="10"/>
  <c r="F45" i="10"/>
  <c r="F46" i="10"/>
  <c r="F47" i="10"/>
  <c r="F48" i="10"/>
  <c r="F40" i="10"/>
  <c r="F38" i="10"/>
  <c r="G38" i="10" s="1"/>
  <c r="F37" i="10"/>
  <c r="G37" i="10" s="1"/>
  <c r="F36" i="10"/>
  <c r="G36" i="10" s="1"/>
  <c r="F31" i="10"/>
  <c r="G31" i="10" s="1"/>
  <c r="F32" i="10"/>
  <c r="G32" i="10" s="1"/>
  <c r="F33" i="10"/>
  <c r="F34" i="10"/>
  <c r="G34" i="10" s="1"/>
  <c r="F35" i="10"/>
  <c r="G35" i="10" s="1"/>
  <c r="F30" i="10"/>
  <c r="G30" i="10" s="1"/>
  <c r="F28" i="10"/>
  <c r="G28" i="10" s="1"/>
  <c r="F27" i="10"/>
  <c r="F26" i="10"/>
  <c r="F20" i="10"/>
  <c r="G20" i="10" s="1"/>
  <c r="F21" i="10"/>
  <c r="G21" i="10" s="1"/>
  <c r="F22" i="10"/>
  <c r="G22" i="10" s="1"/>
  <c r="F23" i="10"/>
  <c r="G23" i="10" s="1"/>
  <c r="F24" i="10"/>
  <c r="G24" i="10" s="1"/>
  <c r="F25" i="10"/>
  <c r="G25" i="10" s="1"/>
  <c r="F19" i="10"/>
  <c r="G19" i="10" s="1"/>
  <c r="F17" i="10"/>
  <c r="F16" i="10"/>
  <c r="F9" i="10"/>
  <c r="F10" i="10"/>
  <c r="F12" i="10"/>
  <c r="F13" i="10"/>
  <c r="F14" i="10"/>
  <c r="F15" i="10"/>
  <c r="F8" i="10"/>
  <c r="G41" i="10" l="1"/>
  <c r="G33" i="7"/>
  <c r="G40" i="10"/>
  <c r="G27" i="10"/>
  <c r="G26" i="10"/>
  <c r="G33" i="10"/>
  <c r="G43" i="10"/>
  <c r="G8" i="10"/>
  <c r="G9" i="10"/>
  <c r="G48" i="10"/>
  <c r="G42" i="10"/>
  <c r="G18" i="9"/>
  <c r="G21" i="9"/>
  <c r="G22" i="9"/>
  <c r="G28" i="9"/>
  <c r="G34" i="9"/>
  <c r="G36" i="9"/>
  <c r="G35" i="9"/>
  <c r="G6" i="7"/>
  <c r="G7" i="7"/>
  <c r="G23" i="7"/>
  <c r="G19" i="7"/>
  <c r="G20" i="7"/>
  <c r="G22" i="7"/>
  <c r="G31" i="7"/>
  <c r="G29" i="7"/>
  <c r="G30" i="7"/>
  <c r="G32" i="7"/>
  <c r="G28" i="7"/>
  <c r="G15" i="10" l="1"/>
  <c r="G45" i="10"/>
  <c r="G10" i="10"/>
  <c r="G50" i="10"/>
  <c r="G51" i="10"/>
  <c r="G42" i="9"/>
  <c r="G37" i="9"/>
  <c r="G12" i="7"/>
  <c r="G36" i="7"/>
  <c r="G10" i="7"/>
  <c r="G11" i="7"/>
  <c r="G38" i="7"/>
  <c r="G39" i="7"/>
  <c r="G14" i="7" l="1"/>
  <c r="G13" i="7"/>
  <c r="G12" i="10"/>
  <c r="G17" i="10"/>
  <c r="G16" i="10"/>
  <c r="G39" i="9"/>
  <c r="G38" i="9"/>
  <c r="G44" i="9"/>
  <c r="G8" i="7"/>
  <c r="G15" i="7"/>
  <c r="G13" i="10" l="1"/>
  <c r="G45" i="9"/>
  <c r="G34" i="7"/>
  <c r="G35" i="7"/>
  <c r="G18" i="7"/>
  <c r="G16" i="7"/>
  <c r="G40" i="7" l="1"/>
  <c r="G14" i="10"/>
  <c r="G41" i="9"/>
  <c r="G40" i="9"/>
  <c r="G46" i="9" l="1"/>
  <c r="G47" i="9" s="1"/>
  <c r="G48" i="9" s="1"/>
  <c r="C6" i="8"/>
  <c r="G41" i="7"/>
  <c r="G42" i="7" s="1"/>
  <c r="G47" i="10"/>
  <c r="G46" i="10"/>
  <c r="C7" i="8" l="1"/>
  <c r="F6" i="8"/>
  <c r="H6" i="8"/>
  <c r="G52" i="10"/>
  <c r="H7" i="8" l="1"/>
  <c r="F7" i="8"/>
  <c r="C8" i="8"/>
  <c r="G53" i="10"/>
  <c r="G54" i="10" s="1"/>
  <c r="G63" i="6"/>
  <c r="G62" i="6"/>
  <c r="G61" i="6"/>
  <c r="G60" i="6"/>
  <c r="G59" i="6"/>
  <c r="G25" i="6"/>
  <c r="G19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8" i="6"/>
  <c r="G26" i="6"/>
  <c r="G24" i="6"/>
  <c r="G23" i="6"/>
  <c r="G22" i="6"/>
  <c r="G21" i="6"/>
  <c r="G20" i="6"/>
  <c r="F8" i="8" l="1"/>
  <c r="H8" i="8"/>
  <c r="G5" i="6"/>
  <c r="G7" i="6"/>
  <c r="G29" i="6"/>
  <c r="G73" i="6" l="1"/>
  <c r="G6" i="6"/>
  <c r="G12" i="6"/>
  <c r="G67" i="6" l="1"/>
  <c r="G65" i="6"/>
  <c r="G9" i="6" l="1"/>
  <c r="G66" i="6"/>
  <c r="G10" i="6"/>
  <c r="G13" i="6"/>
  <c r="G11" i="6" l="1"/>
  <c r="G68" i="6"/>
  <c r="G18" i="6" l="1"/>
  <c r="E5" i="8"/>
  <c r="G75" i="6"/>
  <c r="G76" i="6"/>
  <c r="G71" i="6"/>
  <c r="G72" i="6"/>
  <c r="G70" i="6"/>
  <c r="G69" i="6"/>
  <c r="G15" i="6"/>
  <c r="G14" i="6"/>
  <c r="G79" i="6" l="1"/>
  <c r="C5" i="8" s="1"/>
  <c r="C9" i="8" s="1"/>
  <c r="E9" i="8" s="1"/>
  <c r="H10" i="8" s="1"/>
  <c r="H5" i="8" l="1"/>
  <c r="G80" i="6"/>
  <c r="G81" i="6" s="1"/>
  <c r="F9" i="8" l="1"/>
  <c r="C10" i="8"/>
  <c r="C11" i="8" s="1"/>
</calcChain>
</file>

<file path=xl/sharedStrings.xml><?xml version="1.0" encoding="utf-8"?>
<sst xmlns="http://schemas.openxmlformats.org/spreadsheetml/2006/main" count="3425" uniqueCount="492">
  <si>
    <t>N</t>
  </si>
  <si>
    <t>НАИМЕНОВАНИЕ НА РАБОТИТЕ</t>
  </si>
  <si>
    <t>мярка</t>
  </si>
  <si>
    <t>КОЛИЧ.</t>
  </si>
  <si>
    <t>Рязане на асфалтова настилка</t>
  </si>
  <si>
    <t>m</t>
  </si>
  <si>
    <t>m²</t>
  </si>
  <si>
    <t>Доставка и полагане на неплътен асфалтобетон за изравнителен пласт с дебелина в уплътнено състояние 4см</t>
  </si>
  <si>
    <t>тон</t>
  </si>
  <si>
    <t>Възтановяване на трошенокаменна настилка.15cm</t>
  </si>
  <si>
    <t>Възтановяване на основа от едро трошени камъни 35cm</t>
  </si>
  <si>
    <t>Разриване на земни маси на депо</t>
  </si>
  <si>
    <t>Неплътно укрепване и разкрепване на изкоп</t>
  </si>
  <si>
    <t>бр.</t>
  </si>
  <si>
    <t>Доставка и монтаж на табели за обозначаване на ПХ и СК</t>
  </si>
  <si>
    <t>Дезинфекция на водопровода</t>
  </si>
  <si>
    <t>Изпитване на водопровода</t>
  </si>
  <si>
    <t>Доставка и монтаж на тротоарен спирателен кран 3/4" с охранителна гарнитура, за СВО</t>
  </si>
  <si>
    <t>Доставка и монтаж на тротоарен спирателен кран 2" с охранителна гарнитура, за СВО</t>
  </si>
  <si>
    <t>Доставка и монтаж на шибър PN10 Dn200 с охранителна гарнитура</t>
  </si>
  <si>
    <t>Доставка и монтаж на шибър PN10 Dn80 с охранителна гарнитура</t>
  </si>
  <si>
    <t>Доставка и монтаж на шибър PN16 Dn80 с охранителна гарнитура</t>
  </si>
  <si>
    <t>Доставка и монтаж на шибър PN16 Dn150 с охранителна гарнитура</t>
  </si>
  <si>
    <t xml:space="preserve">Доставка и монтаж на шибър PN10 Dn150 </t>
  </si>
  <si>
    <t>Доставка и монтаж на шибър PN10 Dn100</t>
  </si>
  <si>
    <t>Доставка и монтаж на регулатор на налягане Dn 100</t>
  </si>
  <si>
    <t>Доставка и монтаж на разходомер Dn 100</t>
  </si>
  <si>
    <t xml:space="preserve">Доставка и монтаж на водовземна скоба,на резба, в/у тръби ПЕВП ∅200-3/4"
</t>
  </si>
  <si>
    <t xml:space="preserve">Доставка и монтаж на водовземна скоба,на резба, в/у тръби ПЕВП ∅125-3/4"
</t>
  </si>
  <si>
    <t xml:space="preserve">Доставка и монтаж на водовземна скоба,на резба, в/у тръби ПЕВП ∅125-2"
</t>
  </si>
  <si>
    <t>Доставка и монтаж на  HDPE тройник PN10 ∅200-160</t>
  </si>
  <si>
    <t>Доставка и монтаж на  HDPE намалител PN10 ∅200-125</t>
  </si>
  <si>
    <t>Доставка и монтаж на HDPE тройник PN10 ∅200-90</t>
  </si>
  <si>
    <t>Доставка и монтаж на  HDPE тройник PN16 ∅125-90</t>
  </si>
  <si>
    <t>Доставка и монтаж на  HDPE тапа PN16 ∅125</t>
  </si>
  <si>
    <t>Доставка и монтаж на  универсалeн фланшов адаптор ∅160-150</t>
  </si>
  <si>
    <t xml:space="preserve">Доставка и монтаж на  универсалeн адаптор ∅150  </t>
  </si>
  <si>
    <t xml:space="preserve">Доставка и монтаж на универсалeн адаптор  ∅90 </t>
  </si>
  <si>
    <t>опорен блок</t>
  </si>
  <si>
    <t>Доставка и полагане на полиетиленова сигнална лента</t>
  </si>
  <si>
    <t>Доставка и монтаж на шибър PN10 Dn80 с охр. гарнитура</t>
  </si>
  <si>
    <t>Доставка и монтаж на универсалeн адаптор  ∅90</t>
  </si>
  <si>
    <t>Обратен насип от пясък</t>
  </si>
  <si>
    <t>Разваляне на съществуваща асфалтова настилка</t>
  </si>
  <si>
    <t>лин.м.</t>
  </si>
  <si>
    <t>Разваляне на трошенокаменна настилка</t>
  </si>
  <si>
    <t>м3</t>
  </si>
  <si>
    <t>1. Подготовка на строителната площадка</t>
  </si>
  <si>
    <t>2. МОНТАЖНА ЧАСТ</t>
  </si>
  <si>
    <t>3. Обратно засипване и възстановяване на настилки</t>
  </si>
  <si>
    <t>Уплътняване с пневм. трамбовка през 20 см.</t>
  </si>
  <si>
    <t>Натоварване на земни маси и извозването им до временно депо</t>
  </si>
  <si>
    <t>м3/км</t>
  </si>
  <si>
    <t>4. Дезинфекция и изпитване</t>
  </si>
  <si>
    <t>Прехвърляне до 3м хор. или  2м верт. Разстояние ръчно, земни почви</t>
  </si>
  <si>
    <t>Направа на подложно легло от пясък- 10см</t>
  </si>
  <si>
    <t>Ед.цена</t>
  </si>
  <si>
    <t>Обща ст-ст</t>
  </si>
  <si>
    <t>Тройник Ф110 ПЕВП</t>
  </si>
  <si>
    <t>бр</t>
  </si>
  <si>
    <t>Коляно ПЕВП Ф90 90 ̊</t>
  </si>
  <si>
    <t>СФ Ф90 ̊</t>
  </si>
  <si>
    <t>ФН Ф90 ̊</t>
  </si>
  <si>
    <t xml:space="preserve">Доставка и монтаж на надземен пожарен хидрант ПХ80 </t>
  </si>
  <si>
    <t>СК DN90</t>
  </si>
  <si>
    <t>Опорен блок</t>
  </si>
  <si>
    <t>Заварки към ПЕВП 90</t>
  </si>
  <si>
    <t>Заварки към  ПЕВП тръби Ф90</t>
  </si>
  <si>
    <t>Заварки към ПЕВП тръби Ф125</t>
  </si>
  <si>
    <t>Заварки към ПЕВП тръби Ф160</t>
  </si>
  <si>
    <t>Заварки към ПЕВП тръби Ф200</t>
  </si>
  <si>
    <t>Изкоп общо:</t>
  </si>
  <si>
    <t>Доставка и монтаж на тапа Ф25</t>
  </si>
  <si>
    <t xml:space="preserve">Доставка и монтаж филтър Dn 100 </t>
  </si>
  <si>
    <t>Доставка и монтаж Комбиниран въздушник ∅2" PN1,0MPa</t>
  </si>
  <si>
    <t>Доставка и монтаж демонтажна връзка ∅160  PN1,0MPa</t>
  </si>
  <si>
    <t>Доставка и монтаж демонтажна връзка ∅65  PN1,0MPa</t>
  </si>
  <si>
    <t>Доставка и монтаж преход ПКЩ-∅108х89х7</t>
  </si>
  <si>
    <t>Доставка и монтаж преход ПКЩ-∅89х76х6</t>
  </si>
  <si>
    <t>Доставка и монтаж ФСП-1-100 ∅108 PN1,0MPa</t>
  </si>
  <si>
    <t>Доставка и монтаж ФСП-1-65 ∅76 PN1,0MPa</t>
  </si>
  <si>
    <t>Доставка и монтаж стом. тр. ∅76/3,5 PN1,0MPa</t>
  </si>
  <si>
    <t>Доставка и монтаж водовземна скоба PE ∅160/2"</t>
  </si>
  <si>
    <t xml:space="preserve">Доставка и монтаж водовземна скоба PE ∅125/2" </t>
  </si>
  <si>
    <t>Доставка и полагане на подложен бетон С 12/15</t>
  </si>
  <si>
    <t>Доставка и монтаж на армировка</t>
  </si>
  <si>
    <t>кг</t>
  </si>
  <si>
    <t>Трошен камък- дренажна призма</t>
  </si>
  <si>
    <t>Пясък- дренажна призма</t>
  </si>
  <si>
    <t>Доставка и полагане на чугунен капак D400</t>
  </si>
  <si>
    <t>Заварки към ПЕВП 125</t>
  </si>
  <si>
    <t>Заварки към ПЕВП 160</t>
  </si>
  <si>
    <t>Заварки към ПЕВП 200</t>
  </si>
  <si>
    <t>Доставка и полагане на плътен асфалтобетон за износващ пласт с дебелина в уплътнено състояние 4см</t>
  </si>
  <si>
    <t>Всичко без ДДС:</t>
  </si>
  <si>
    <t>Всичко с ДДС:</t>
  </si>
  <si>
    <t>Натоварване на строителни отпадъци и извозването им на до 15км</t>
  </si>
  <si>
    <t>Доставка и монтаж на полиетиленови  тръби /ПЕВП / ø25, PN 10, в изкоп -за СВО</t>
  </si>
  <si>
    <t xml:space="preserve">Доставка и монтаж на полиетиленови  тръби с висока плътност /ПЕВП/  ø90, PN 10, в изкоп </t>
  </si>
  <si>
    <t xml:space="preserve">Доставка и монтаж на полиетиленови  тръби с висока плътност /ПЕВП/ ø125 PN 10, в изкоп </t>
  </si>
  <si>
    <t xml:space="preserve">Доставка и монтаж на полиетиленови  тръби с висока плътност /ПЕВП/ ø160, PN 16, в изкоп </t>
  </si>
  <si>
    <t xml:space="preserve">Доставка и монтаж на полиетиленови  тръби с висока плътност /ПЕВП/ ø200, PN 10, в изкоп </t>
  </si>
  <si>
    <t>Доставка и монтаж на полиет. фланшов накрайник ø90</t>
  </si>
  <si>
    <t xml:space="preserve">Доставка и монтаж на свободен фланец  OD90/Dn80 PN10 </t>
  </si>
  <si>
    <t>Доставка и монтаж на свободен фланец  OD90/Dn80 PN16</t>
  </si>
  <si>
    <t>Доставка и монтаж на полиет. фланшов накрайник ø160</t>
  </si>
  <si>
    <t>Доставка и монтаж на свободен фланец OD160/Dn150 PN16</t>
  </si>
  <si>
    <t>Доставка и монтаж на полиет. фланшов накрайник ø200</t>
  </si>
  <si>
    <t>Доставка и монтаж на свободен фланец OD200/Dn200 PN10</t>
  </si>
  <si>
    <t>Доставка и монтаж наHDPE коляно PN10 ∅160-90⁰</t>
  </si>
  <si>
    <t>Доставка и монтаж на полиет. фланшов накрайник ø125</t>
  </si>
  <si>
    <t>Доставка и монтаж на свободен фланец OD125/Dn100 PN16</t>
  </si>
  <si>
    <t>Доставка и монтаж на HDPE коляно PN10 ∅200-30⁰</t>
  </si>
  <si>
    <t>Обект: Реконструкция водопровод ул. Камчия с. Близнация о.т. 15-14а-12-36-34-41-42-38-37-61-64-84-82-80-90</t>
  </si>
  <si>
    <t>Водопровод Ф200</t>
  </si>
  <si>
    <t>Механизиран изкоп- 75%  - земна почва</t>
  </si>
  <si>
    <t>Ръчен изкоп- 15% - земна почва</t>
  </si>
  <si>
    <t>Изкоп с къртач- 10% - скална почва</t>
  </si>
  <si>
    <t>2. МОНТАЖНА ЧАСТ Ф 200</t>
  </si>
  <si>
    <t>3. Шахта реголатор налягане</t>
  </si>
  <si>
    <t>5. Обратно засипване и възстановяване на настилки</t>
  </si>
  <si>
    <t>Водопровод  Ф160</t>
  </si>
  <si>
    <t>Ръчен изкоп- 15%  - земна почва</t>
  </si>
  <si>
    <t>Изкоп с къртач- 10%- скална почва</t>
  </si>
  <si>
    <t>Водопровод Ф125</t>
  </si>
  <si>
    <t>Ръчен изкоп- 15%- земна почва</t>
  </si>
  <si>
    <t>2. МОНТАЖНА ЧАСТ Ф 125</t>
  </si>
  <si>
    <t>3. МОНТАЖНА ЧАСТ СВО -39 броя</t>
  </si>
  <si>
    <t>4. Монтажна част СВО - 29 броя</t>
  </si>
  <si>
    <t>4. Обратно засипване и възстановяване на настилки</t>
  </si>
  <si>
    <t>Доставка и монтаж на полиетиленови  тръби /ПЕВП / ø63, PN 10, в изкоп -за СВО</t>
  </si>
  <si>
    <t>Заварки към ПЕВП Ф25</t>
  </si>
  <si>
    <t>Водопровод Ф90</t>
  </si>
  <si>
    <t>Номер</t>
  </si>
  <si>
    <t>Наименование</t>
  </si>
  <si>
    <r>
      <t xml:space="preserve">Реконструкция водопровод ул. Камчия с. Близнация о.т. 15-14а-12-36-34-41-42-38-37-61-64-84-82-80-90- </t>
    </r>
    <r>
      <rPr>
        <b/>
        <sz val="10"/>
        <rFont val="Arial"/>
        <family val="2"/>
        <charset val="204"/>
      </rPr>
      <t>Ф 200</t>
    </r>
  </si>
  <si>
    <r>
      <t xml:space="preserve">Реконструкция водопровод ул. Камчия с. Близнация о.т. 15-14а-12-36-34-41-42-38-37-61-64-84-82-80-90- </t>
    </r>
    <r>
      <rPr>
        <b/>
        <sz val="10"/>
        <rFont val="Arial"/>
        <family val="2"/>
        <charset val="204"/>
      </rPr>
      <t>Ф 160</t>
    </r>
  </si>
  <si>
    <r>
      <t xml:space="preserve">Реконструкция водопровод ул. Камчия с. Близнация о.т. 15-14а-12-36-34-41-42-38-37-61-64-84-82-80-90- </t>
    </r>
    <r>
      <rPr>
        <b/>
        <sz val="10"/>
        <rFont val="Arial"/>
        <family val="2"/>
        <charset val="204"/>
      </rPr>
      <t>Ф 125</t>
    </r>
  </si>
  <si>
    <r>
      <t xml:space="preserve">Реконструкция водопровод ул. Камчия с. Близнация о.т. 15-14а-12-36-34-41-42-38-37-61-64-84-82-80-90- </t>
    </r>
    <r>
      <rPr>
        <b/>
        <sz val="10"/>
        <rFont val="Arial"/>
        <family val="2"/>
        <charset val="204"/>
      </rPr>
      <t>Ф 90</t>
    </r>
  </si>
  <si>
    <t>3. Доставка и монтаж на ПХ- 7 броя</t>
  </si>
  <si>
    <t>КСС - Обособена позиция № 2: „Реконструкция на водопровод ул. Камчия с. Близнаци о.т.15-14а-12-36-34-41-42-38-37-61-64-84-82-80-93 общ. Аврен, обл. Варна“</t>
  </si>
  <si>
    <t>Обособена позиция № 2: „Реконструкция на водопровод ул. Камчия с. Близнаци о.т.15-14а-12-36-34-41-42-38-37-61-64-84-82-80-93 общ. Аврен, обл. Варна“</t>
  </si>
  <si>
    <t>ДДС 20 %:</t>
  </si>
  <si>
    <t>Пределна цена в ЕВРО</t>
  </si>
  <si>
    <t>метри</t>
  </si>
  <si>
    <t>за м'</t>
  </si>
  <si>
    <t>евро</t>
  </si>
  <si>
    <t>Анализ 1</t>
  </si>
  <si>
    <t>Анализ 2</t>
  </si>
  <si>
    <t>Анализ 3</t>
  </si>
  <si>
    <t>Анализ 5</t>
  </si>
  <si>
    <t>Анализ 6</t>
  </si>
  <si>
    <t>Анализ 7</t>
  </si>
  <si>
    <t>Анализ 8</t>
  </si>
  <si>
    <t>Анализ 9</t>
  </si>
  <si>
    <t>Анализ 10</t>
  </si>
  <si>
    <t>Анализ 11</t>
  </si>
  <si>
    <t>Анализ 12</t>
  </si>
  <si>
    <t>Анализ 13</t>
  </si>
  <si>
    <t>Анализ 14</t>
  </si>
  <si>
    <t>Анализ 15</t>
  </si>
  <si>
    <t>Анализ 16</t>
  </si>
  <si>
    <t>Анализ 17</t>
  </si>
  <si>
    <t>Анализ 18</t>
  </si>
  <si>
    <t>Анализ 19</t>
  </si>
  <si>
    <t>Анализ 20</t>
  </si>
  <si>
    <t>Анализ 21</t>
  </si>
  <si>
    <t>Анализ 22</t>
  </si>
  <si>
    <t>Анализ 23</t>
  </si>
  <si>
    <t>Анализ 26</t>
  </si>
  <si>
    <t>Анализ 24</t>
  </si>
  <si>
    <t>Анализ 25</t>
  </si>
  <si>
    <t>Анализ 27</t>
  </si>
  <si>
    <t>Анализ 28</t>
  </si>
  <si>
    <t>Анализ 29</t>
  </si>
  <si>
    <t>Анализ 30</t>
  </si>
  <si>
    <t>Анализ 31</t>
  </si>
  <si>
    <t>Анализ 32</t>
  </si>
  <si>
    <t>Анализ 33</t>
  </si>
  <si>
    <t>Анализ 34</t>
  </si>
  <si>
    <t>Анализ 35</t>
  </si>
  <si>
    <t>Анализ 36</t>
  </si>
  <si>
    <t>Анализ 37</t>
  </si>
  <si>
    <t>Анализ 38</t>
  </si>
  <si>
    <t>Анализ 39</t>
  </si>
  <si>
    <t>Анализ 40</t>
  </si>
  <si>
    <t>Анализ 41</t>
  </si>
  <si>
    <t>Анализ 42</t>
  </si>
  <si>
    <t>Анализ 43</t>
  </si>
  <si>
    <t>Анализ 44</t>
  </si>
  <si>
    <t>Анализ 45</t>
  </si>
  <si>
    <t>Анализ 46</t>
  </si>
  <si>
    <t>Анализ 47</t>
  </si>
  <si>
    <t>Анализ 48</t>
  </si>
  <si>
    <t>Анализ 49</t>
  </si>
  <si>
    <t>Анализ 50</t>
  </si>
  <si>
    <t>Анализ 51</t>
  </si>
  <si>
    <t>Анализ 52</t>
  </si>
  <si>
    <t>Анализ 53</t>
  </si>
  <si>
    <t>Анализ 54</t>
  </si>
  <si>
    <t>Анализ 55</t>
  </si>
  <si>
    <t>Анализ 56</t>
  </si>
  <si>
    <t>Анализ 57</t>
  </si>
  <si>
    <t>Анализ 58</t>
  </si>
  <si>
    <t>Анализ 59</t>
  </si>
  <si>
    <t>Анализ 60</t>
  </si>
  <si>
    <t>Анализ 61</t>
  </si>
  <si>
    <t>Анализ 62</t>
  </si>
  <si>
    <t>Анализ 63</t>
  </si>
  <si>
    <t>Анализ 64</t>
  </si>
  <si>
    <t>Анализ 65</t>
  </si>
  <si>
    <t>Анализ 66</t>
  </si>
  <si>
    <t>Анализ 67</t>
  </si>
  <si>
    <t>Анализ 68</t>
  </si>
  <si>
    <t>Анализ 69</t>
  </si>
  <si>
    <t>Анализ 70</t>
  </si>
  <si>
    <t>Анализ 71</t>
  </si>
  <si>
    <t>Анализ 72</t>
  </si>
  <si>
    <t>Анализ 73</t>
  </si>
  <si>
    <t>Анализ 74</t>
  </si>
  <si>
    <t>Анализ 75</t>
  </si>
  <si>
    <t>Анализ 76</t>
  </si>
  <si>
    <t>Анализ 77</t>
  </si>
  <si>
    <t>Анализ 78</t>
  </si>
  <si>
    <t>Анализ 79</t>
  </si>
  <si>
    <t>Анализ 80</t>
  </si>
  <si>
    <t>Анализ 81</t>
  </si>
  <si>
    <t>Анализ 82</t>
  </si>
  <si>
    <t>Анализ 83</t>
  </si>
  <si>
    <t>Анализ 84</t>
  </si>
  <si>
    <t>Анализ 85</t>
  </si>
  <si>
    <t>Анализ 86</t>
  </si>
  <si>
    <t>Анализ 87</t>
  </si>
  <si>
    <t>Анализ 88</t>
  </si>
  <si>
    <t>Анализ 89</t>
  </si>
  <si>
    <t>Анализ 90</t>
  </si>
  <si>
    <t>Анализ 91</t>
  </si>
  <si>
    <t>Анализ 92</t>
  </si>
  <si>
    <t>Анализ 93</t>
  </si>
  <si>
    <t>Анализ 94</t>
  </si>
  <si>
    <t>Анализ 95</t>
  </si>
  <si>
    <t>ЕД. ЦЕНИ ОП 2</t>
  </si>
  <si>
    <t>Ед.цена (EU)</t>
  </si>
  <si>
    <t>Доставка и монтаж на HDPE коляно PN10 ∅160-90⁰</t>
  </si>
  <si>
    <t>Доставка и монтаж на водовземна скоба,на резба, в/у тръби ПЕВП ∅125-3/4"</t>
  </si>
  <si>
    <t>Доставка и монтаж на водовземна скоба,на резба, в/у тръби ПЕВП ∅125-2"</t>
  </si>
  <si>
    <t>Доставка и монтаж на водовземна скоба,на резба, в/у тръби ПЕВП ∅200-3/4"</t>
  </si>
  <si>
    <t>АНАЛИЗНИ ЦЕНИ (МАТ., МЕХ., ДРУГИ И ТРУД)</t>
  </si>
  <si>
    <t>Осн.</t>
  </si>
  <si>
    <t>Описание</t>
  </si>
  <si>
    <t>м-ка</t>
  </si>
  <si>
    <t>РН</t>
  </si>
  <si>
    <t>К</t>
  </si>
  <si>
    <t>Цена</t>
  </si>
  <si>
    <t>Общо</t>
  </si>
  <si>
    <t>[1]</t>
  </si>
  <si>
    <t>[2]</t>
  </si>
  <si>
    <t>[3]</t>
  </si>
  <si>
    <t>[4]</t>
  </si>
  <si>
    <t>[5]</t>
  </si>
  <si>
    <t>[6]</t>
  </si>
  <si>
    <t>[7]</t>
  </si>
  <si>
    <t>Позиция: , Основание: Анализ 1</t>
  </si>
  <si>
    <t>за лин.м.</t>
  </si>
  <si>
    <t>Механизация</t>
  </si>
  <si>
    <t>-</t>
  </si>
  <si>
    <t>ФУГОРЕЗ - РЪЧЕН</t>
  </si>
  <si>
    <t>МСМ</t>
  </si>
  <si>
    <t>Труд</t>
  </si>
  <si>
    <t>РАБОТНИК 02</t>
  </si>
  <si>
    <t>Ч.Ч.</t>
  </si>
  <si>
    <t>Допълнителни разходи</t>
  </si>
  <si>
    <t>върху Труд</t>
  </si>
  <si>
    <t>%</t>
  </si>
  <si>
    <t>върху Механизация</t>
  </si>
  <si>
    <t>преки</t>
  </si>
  <si>
    <t>допълнителни</t>
  </si>
  <si>
    <t>общо</t>
  </si>
  <si>
    <t>печалба</t>
  </si>
  <si>
    <t>10</t>
  </si>
  <si>
    <t>Позиция: , Основание: Анализ 2</t>
  </si>
  <si>
    <t>за м3</t>
  </si>
  <si>
    <t>Багер многокофов, с хидрочук</t>
  </si>
  <si>
    <t>Позиция: , Основание: Анализ 3</t>
  </si>
  <si>
    <t>Багер многокофов</t>
  </si>
  <si>
    <t>Позиция: , Основание: Анализ 5</t>
  </si>
  <si>
    <t>Позиция: , Основание: Анализ 6</t>
  </si>
  <si>
    <t>РАБОТНИК 02 - изкопчия</t>
  </si>
  <si>
    <t>Позиция: , Основание: Анализ 7</t>
  </si>
  <si>
    <t>Къртач , ръчен (HILTI)</t>
  </si>
  <si>
    <t>Позиция: , Основание: Анализ 8</t>
  </si>
  <si>
    <t xml:space="preserve">РАБОТНИК 02 </t>
  </si>
  <si>
    <t>Позиция: , Основание: Анализ 9</t>
  </si>
  <si>
    <t>за m²</t>
  </si>
  <si>
    <t>Материали</t>
  </si>
  <si>
    <t>Боксово укрепване - леко до 2м</t>
  </si>
  <si>
    <t>М2</t>
  </si>
  <si>
    <t>Багер многокофов (за монтаж/демонтаж)</t>
  </si>
  <si>
    <t>върху Материали</t>
  </si>
  <si>
    <t>Позиция: , Основание: Анализ 10</t>
  </si>
  <si>
    <t>Пясък - фракция (0/4мм)</t>
  </si>
  <si>
    <t>М3</t>
  </si>
  <si>
    <t>Самосвал (доставка)</t>
  </si>
  <si>
    <t>Мини челен товарач (за полагане)</t>
  </si>
  <si>
    <t>Позиция: , Основание: Анализ 11</t>
  </si>
  <si>
    <t>Полиетиленова сигнална лента</t>
  </si>
  <si>
    <t>М</t>
  </si>
  <si>
    <t>Позиция: , Основание: Анализ 12</t>
  </si>
  <si>
    <t>Тръби с висока плътност /ПЕВП/ ф 200, PN 10</t>
  </si>
  <si>
    <t>Самосвал ( за доставка)</t>
  </si>
  <si>
    <t>Водопроводчик</t>
  </si>
  <si>
    <t>Позиция: , Основание: Анализ 13</t>
  </si>
  <si>
    <t>за бр.</t>
  </si>
  <si>
    <t>Машина за челно заваряване ф200</t>
  </si>
  <si>
    <t>Агрегат за ток</t>
  </si>
  <si>
    <t>Позиция: , Основание: Анализ 14</t>
  </si>
  <si>
    <t>Шибър ф200 с  охр. гърне и шиш</t>
  </si>
  <si>
    <t>БР</t>
  </si>
  <si>
    <t>Позиция: , Основание: Анализ 15</t>
  </si>
  <si>
    <t>Полиет. фланшов накрайник ф 200</t>
  </si>
  <si>
    <t>Машина за челно заваряване</t>
  </si>
  <si>
    <t>Позиция: , Основание: Анализ 16</t>
  </si>
  <si>
    <t>Свободен фланец OD200/Dn200 PN10</t>
  </si>
  <si>
    <t>Гумено уплътнение</t>
  </si>
  <si>
    <t xml:space="preserve">Болт , гайка , шайба </t>
  </si>
  <si>
    <t>Позиция: , Основание: Анализ 17</t>
  </si>
  <si>
    <t>HDPE коляно PN10 ∅200-30⁰</t>
  </si>
  <si>
    <t>Позиция: , Основание: Анализ 18</t>
  </si>
  <si>
    <t>HDPE тройник PN10 ∅200-90</t>
  </si>
  <si>
    <t>Позиция: , Основание: Анализ 19</t>
  </si>
  <si>
    <t>за бр</t>
  </si>
  <si>
    <t>Позиция: , Основание: Анализ 20</t>
  </si>
  <si>
    <t>Бетонов опорен блок - готов</t>
  </si>
  <si>
    <t>Позиция: , Основание: Анализ 21</t>
  </si>
  <si>
    <t xml:space="preserve"> бетон С 12/15</t>
  </si>
  <si>
    <t>Позиция: , Основание: Анализ 22</t>
  </si>
  <si>
    <t>за кг</t>
  </si>
  <si>
    <t>Армировка</t>
  </si>
  <si>
    <t>КГ</t>
  </si>
  <si>
    <t>Самосвал(доставка)</t>
  </si>
  <si>
    <t>Арматурист</t>
  </si>
  <si>
    <t>Позиция: , Основание: Анализ 23</t>
  </si>
  <si>
    <t>Позиция: , Основание: Анализ 24</t>
  </si>
  <si>
    <t>Позиция: , Основание: Анализ 25</t>
  </si>
  <si>
    <t xml:space="preserve">филтър Dn 100 </t>
  </si>
  <si>
    <t>Позиция: , Основание: Анализ 26</t>
  </si>
  <si>
    <t>HDPE тройник PN10 ∅200-160</t>
  </si>
  <si>
    <t>Позиция: , Основание: Анализ 27</t>
  </si>
  <si>
    <t>HDPE намалител PN10 ∅200-125</t>
  </si>
  <si>
    <t>Позиция: , Основание: Анализ 28</t>
  </si>
  <si>
    <t>HDPE коляно PN10 ∅160-90⁰</t>
  </si>
  <si>
    <t>Позиция: , Основание: Анализ 29</t>
  </si>
  <si>
    <t>шибър PN10 Dn150</t>
  </si>
  <si>
    <t>Позиция: , Основание: Анализ 30</t>
  </si>
  <si>
    <t>Шибър ф100 с  охр. гърне и шиш</t>
  </si>
  <si>
    <t>Позиция: , Основание: Анализ 31</t>
  </si>
  <si>
    <t>полиет. фланшов накрайник ø125</t>
  </si>
  <si>
    <t>Позиция: , Основание: Анализ 32</t>
  </si>
  <si>
    <t>Свободен фланец OD125/Dn100 PN16</t>
  </si>
  <si>
    <t>Позиция: , Основание: Анализ 33</t>
  </si>
  <si>
    <t>полиет. фланшов накрайник ø160</t>
  </si>
  <si>
    <t>Позиция: , Основание: Анализ 34</t>
  </si>
  <si>
    <t>свободен фланец OD160/Dn150 PN16</t>
  </si>
  <si>
    <t>Позиция: , Основание: Анализ 35</t>
  </si>
  <si>
    <t xml:space="preserve"> регулатор на налягане Dn 100</t>
  </si>
  <si>
    <t>Позиция: , Основание: Анализ 36</t>
  </si>
  <si>
    <t>разходомер Dn 100</t>
  </si>
  <si>
    <t>Позиция: , Основание: Анализ 37</t>
  </si>
  <si>
    <t>шибър PN10 Dn80 с охр. гарнитура</t>
  </si>
  <si>
    <t>Позиция: , Основание: Анализ 38</t>
  </si>
  <si>
    <t>универсалeн адаптор  ∅90</t>
  </si>
  <si>
    <t>Позиция: , Основание: Анализ 39</t>
  </si>
  <si>
    <t>Комбиниран въздушник ∅2" PN1,0MPa</t>
  </si>
  <si>
    <t>Позиция: , Основание: Анализ 40</t>
  </si>
  <si>
    <t>Демонтажна връзка ∅160  PN1,0MPa</t>
  </si>
  <si>
    <t>Позиция: , Основание: Анализ 41</t>
  </si>
  <si>
    <t>демонтажна връзка ∅65  PN1,0MPa</t>
  </si>
  <si>
    <t>Позиция: , Основание: Анализ 42</t>
  </si>
  <si>
    <t>преход ПКЩ-∅108х89х7</t>
  </si>
  <si>
    <t>Позиция: , Основание: Анализ 43</t>
  </si>
  <si>
    <t>преход ПКЩ-∅89х76х6</t>
  </si>
  <si>
    <t>Позиция: , Основание: Анализ 44</t>
  </si>
  <si>
    <t>ФСП-1-100 ∅108 PN1,0MPa</t>
  </si>
  <si>
    <t>Позиция: , Основание: Анализ 45</t>
  </si>
  <si>
    <t>ФСП-1-65 ∅76 PN1,0MPa</t>
  </si>
  <si>
    <t>Позиция: , Основание: Анализ 46</t>
  </si>
  <si>
    <t>стом. тр. ∅76/3,5 PN1,0MPa</t>
  </si>
  <si>
    <t>Позиция: , Основание: Анализ 47</t>
  </si>
  <si>
    <t>Ел.заварена водовземна скоба PE ∅160/2"</t>
  </si>
  <si>
    <t>Машина за дифузно заваряване</t>
  </si>
  <si>
    <t>Позиция: , Основание: Анализ 48</t>
  </si>
  <si>
    <t xml:space="preserve">Ел.заварена водовземна скоба PE ∅125/2" </t>
  </si>
  <si>
    <t>Позиция: , Основание: Анализ 49</t>
  </si>
  <si>
    <t>чугунен капак D400</t>
  </si>
  <si>
    <t xml:space="preserve">РАБОТНИК </t>
  </si>
  <si>
    <t>Позиция: , Основание: Анализ 50</t>
  </si>
  <si>
    <t>за m</t>
  </si>
  <si>
    <t>тръби /ПЕВП / ø25, PN 10</t>
  </si>
  <si>
    <t>Позиция: , Основание: Анализ 51</t>
  </si>
  <si>
    <t>тротоарен спирателен кран 3/4" с охранителна гарнитура</t>
  </si>
  <si>
    <t>Позиция: , Основание: Анализ 52</t>
  </si>
  <si>
    <t>Ел.заварена водовземна скоба,на резба, в/у тръби ПЕВП ∅125-3/4"</t>
  </si>
  <si>
    <t>Позиция: , Основание: Анализ 53</t>
  </si>
  <si>
    <t>тапа Ф25 ПЕВП</t>
  </si>
  <si>
    <t>Позиция: , Основание: Анализ 54</t>
  </si>
  <si>
    <t>Машина за челно заваряване за 25</t>
  </si>
  <si>
    <t>Позиция: , Основание: Анализ 55</t>
  </si>
  <si>
    <t>Позиция: , Основание: Анализ 56</t>
  </si>
  <si>
    <t>Пневм. тръмбовка - тип пачи крак</t>
  </si>
  <si>
    <t>Позиция: , Основание: Анализ 57</t>
  </si>
  <si>
    <t>Едро трошени камъни - фракция (0/63мм)</t>
  </si>
  <si>
    <t>Позиция: , Основание: Анализ 58</t>
  </si>
  <si>
    <t>Трошенокаменна настилкаи - фракция (20/40мм)</t>
  </si>
  <si>
    <t>Позиция: , Основание: Анализ 59</t>
  </si>
  <si>
    <t>за тон</t>
  </si>
  <si>
    <t>Неплътен асфалтобетон</t>
  </si>
  <si>
    <t>Т</t>
  </si>
  <si>
    <t>Самосвал ( доставка)</t>
  </si>
  <si>
    <t>Асфалтополагаща машина ( компактен тип до 2,5шир.)</t>
  </si>
  <si>
    <t>Валяк - двубандажен</t>
  </si>
  <si>
    <t>Позиция: , Основание: Анализ 60</t>
  </si>
  <si>
    <t>Плътен асфалтобетон</t>
  </si>
  <si>
    <t>Позиция: , Основание: Анализ 61</t>
  </si>
  <si>
    <t>Самосвал</t>
  </si>
  <si>
    <t>Позиция: , Основание: Анализ 62</t>
  </si>
  <si>
    <t>Фадрома</t>
  </si>
  <si>
    <t>Позиция: , Основание: Анализ 63</t>
  </si>
  <si>
    <t>за м3/км</t>
  </si>
  <si>
    <t>Позиция: , Основание: Анализ 64</t>
  </si>
  <si>
    <t>Хлораторно в-во ( Натриев хипохлорид, таблетна разтворима форма)</t>
  </si>
  <si>
    <t>Помпа за дезинфекция</t>
  </si>
  <si>
    <t>Позиция: , Основание: Анализ 65</t>
  </si>
  <si>
    <t>Помпа за повишаване на налягането</t>
  </si>
  <si>
    <t>Позиция: , Основание: Анализ 66</t>
  </si>
  <si>
    <t>Тръби с висока плътност /ПЕВП/ ф 160, PN 10</t>
  </si>
  <si>
    <t>Позиция: , Основание: Анализ 67</t>
  </si>
  <si>
    <t>Машина за челно заваряване ф160</t>
  </si>
  <si>
    <t>Позиция: , Основание: Анализ 68</t>
  </si>
  <si>
    <t>шибър PN16 Dn150  охр. гърне и шиш</t>
  </si>
  <si>
    <t>Позиция: , Основание: Анализ 69</t>
  </si>
  <si>
    <t xml:space="preserve"> универсалeн фланшов адаптор ∅160-150</t>
  </si>
  <si>
    <t>Позиция: , Основание: Анализ 70</t>
  </si>
  <si>
    <t xml:space="preserve">  универсалeн адаптор ∅150  </t>
  </si>
  <si>
    <t>Позиция: , Основание: Анализ 71</t>
  </si>
  <si>
    <t>Позиция: , Основание: Анализ 72</t>
  </si>
  <si>
    <t>Тръби с висока плътност /ПЕВП/ ф 125, PN 10</t>
  </si>
  <si>
    <t>Позиция: , Основание: Анализ 73</t>
  </si>
  <si>
    <t>Машина за челно заваряване ф125</t>
  </si>
  <si>
    <t>Позиция: , Основание: Анализ 74</t>
  </si>
  <si>
    <t>HDPE тройник PN16 ∅125-90</t>
  </si>
  <si>
    <t>Позиция: , Основание: Анализ 75</t>
  </si>
  <si>
    <t>HDPE тапа PN16 ∅125</t>
  </si>
  <si>
    <t>Позиция: , Основание: Анализ 76</t>
  </si>
  <si>
    <t>Позиция: , Основание: Анализ 77</t>
  </si>
  <si>
    <t>тръби /ПЕВП / ø63, PN 10</t>
  </si>
  <si>
    <t>Позиция: , Основание: Анализ 78</t>
  </si>
  <si>
    <t>тротоарен спирателен кран 2" с охранителна гарнитура</t>
  </si>
  <si>
    <t>Позиция: , Основание: Анализ 79</t>
  </si>
  <si>
    <t>Позиция: , Основание: Анализ 80</t>
  </si>
  <si>
    <t xml:space="preserve">Ел.заварена водовземна скоба PE ∅200-3/4" </t>
  </si>
  <si>
    <t>Позиция: , Основание: Анализ 81</t>
  </si>
  <si>
    <t>Тръби с висока плътност /ПЕВП/ ф 90, PN 10</t>
  </si>
  <si>
    <t>Позиция: , Основание: Анализ 82</t>
  </si>
  <si>
    <t>Машина за челно заваряване за Ф90</t>
  </si>
  <si>
    <t>Позиция: , Основание: Анализ 83</t>
  </si>
  <si>
    <t>шибър PN10 Dn80 с охранителна гарнитура</t>
  </si>
  <si>
    <t>Позиция: , Основание: Анализ 84</t>
  </si>
  <si>
    <t>шибър PN16 Dn80 с охранителна гарнитура</t>
  </si>
  <si>
    <t>Позиция: , Основание: Анализ 85</t>
  </si>
  <si>
    <t>Полиет. фланшов накрайник ф90</t>
  </si>
  <si>
    <t>Позиция: , Основание: Анализ 86</t>
  </si>
  <si>
    <t xml:space="preserve">свободен фланец  OD90/Dn80 PN10 </t>
  </si>
  <si>
    <t>Позиция: , Основание: Анализ 87</t>
  </si>
  <si>
    <t>свободен фланец  OD90/Dn80 PN16</t>
  </si>
  <si>
    <t>Позиция: , Основание: Анализ 88</t>
  </si>
  <si>
    <t>Машина за челно заваряване за 90</t>
  </si>
  <si>
    <t>Позиция: , Основание: Анализ 89</t>
  </si>
  <si>
    <t>Пожарен хидрант ПХ80 -Надземен</t>
  </si>
  <si>
    <t>Чугунена пета</t>
  </si>
  <si>
    <t>Позиция: , Основание: Анализ 90</t>
  </si>
  <si>
    <t>Позиция: , Основание: Анализ 91</t>
  </si>
  <si>
    <t>Позиция: , Основание: Анализ 92</t>
  </si>
  <si>
    <t>Позиция: , Основание: Анализ 93</t>
  </si>
  <si>
    <t>Позиция: , Основание: Анализ 94</t>
  </si>
  <si>
    <t xml:space="preserve">СК DN90 </t>
  </si>
  <si>
    <t>Позиция: , Основание: Анализ 95</t>
  </si>
  <si>
    <t>табели за обозначаване на ПХ и СК</t>
  </si>
  <si>
    <t>Възложител:</t>
  </si>
  <si>
    <t>/[инвеститор]/</t>
  </si>
  <si>
    <t>Изпълнител:</t>
  </si>
  <si>
    <t>/[автор на сметката]/</t>
  </si>
  <si>
    <t>ОП 2 Близнаци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</si>
</sst>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0"/>
    <numFmt numFmtId="165" formatCode="#\ ##0.00"/>
    <numFmt numFmtId="166" formatCode="#\ ##0.0000"/>
    <numFmt numFmtId="167" formatCode="#\ ##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b/>
      <sz val="11"/>
      <name val="Calibri"/>
      <family val="2"/>
      <charset val="204"/>
      <scheme val="minor"/>
    </font>
    <font>
      <b/>
      <u/>
      <sz val="1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i/>
      <sz val="11"/>
      <name val="Calibri"/>
      <family val="2"/>
      <charset val="204"/>
      <scheme val="minor"/>
    </font>
    <font>
      <sz val="11"/>
      <color indexed="1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u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10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</patternFill>
    </fill>
    <fill>
      <patternFill patternType="solid">
        <fgColor rgb="FFD3D3D3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7" fillId="0" borderId="0"/>
    <xf numFmtId="0" fontId="8" fillId="0" borderId="0">
      <alignment readingOrder="1"/>
    </xf>
    <xf numFmtId="0" fontId="7" fillId="0" borderId="0"/>
  </cellStyleXfs>
  <cellXfs count="148">
    <xf numFmtId="0" fontId="0" fillId="0" borderId="0" xfId="0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wrapText="1"/>
    </xf>
    <xf numFmtId="0" fontId="6" fillId="0" borderId="4" xfId="0" applyFont="1" applyBorder="1" applyAlignment="1">
      <alignment horizont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5" fillId="0" borderId="0" xfId="0" applyFont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/>
    </xf>
    <xf numFmtId="0" fontId="5" fillId="0" borderId="0" xfId="0" applyFont="1" applyAlignment="1">
      <alignment wrapText="1"/>
    </xf>
    <xf numFmtId="0" fontId="9" fillId="3" borderId="5" xfId="1" applyFont="1" applyFill="1" applyBorder="1" applyAlignment="1">
      <alignment horizontal="center" vertical="center"/>
    </xf>
    <xf numFmtId="0" fontId="9" fillId="3" borderId="6" xfId="1" applyFont="1" applyFill="1" applyBorder="1" applyAlignment="1">
      <alignment horizontal="center" vertical="center" wrapText="1"/>
    </xf>
    <xf numFmtId="0" fontId="9" fillId="3" borderId="6" xfId="1" applyFont="1" applyFill="1" applyBorder="1" applyAlignment="1">
      <alignment horizontal="center" textRotation="90"/>
    </xf>
    <xf numFmtId="0" fontId="14" fillId="0" borderId="0" xfId="1" applyFont="1" applyBorder="1" applyAlignment="1">
      <alignment horizontal="center"/>
    </xf>
    <xf numFmtId="0" fontId="15" fillId="0" borderId="0" xfId="1" applyFont="1" applyBorder="1" applyAlignment="1">
      <alignment horizontal="left"/>
    </xf>
    <xf numFmtId="0" fontId="9" fillId="0" borderId="1" xfId="1" applyFont="1" applyFill="1" applyBorder="1" applyAlignment="1">
      <alignment horizontal="left" vertical="center" wrapText="1"/>
    </xf>
    <xf numFmtId="0" fontId="9" fillId="0" borderId="1" xfId="1" applyFont="1" applyFill="1" applyBorder="1" applyAlignment="1">
      <alignment horizontal="center" vertical="center"/>
    </xf>
    <xf numFmtId="0" fontId="9" fillId="0" borderId="1" xfId="3" applyFont="1" applyBorder="1" applyAlignment="1">
      <alignment horizontal="left" vertical="top" wrapText="1"/>
    </xf>
    <xf numFmtId="0" fontId="9" fillId="0" borderId="1" xfId="3" applyFont="1" applyBorder="1" applyAlignment="1">
      <alignment horizontal="center" vertical="top" wrapText="1"/>
    </xf>
    <xf numFmtId="0" fontId="9" fillId="0" borderId="1" xfId="2" applyFont="1" applyFill="1" applyBorder="1" applyAlignment="1">
      <alignment horizontal="left" vertical="top" wrapText="1"/>
    </xf>
    <xf numFmtId="0" fontId="9" fillId="0" borderId="1" xfId="3" applyFont="1" applyFill="1" applyBorder="1" applyAlignment="1">
      <alignment horizontal="left" vertical="top" wrapText="1"/>
    </xf>
    <xf numFmtId="0" fontId="9" fillId="0" borderId="1" xfId="3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vertical="top" wrapText="1"/>
    </xf>
    <xf numFmtId="0" fontId="9" fillId="0" borderId="1" xfId="1" applyFont="1" applyFill="1" applyBorder="1" applyAlignment="1">
      <alignment horizontal="left" vertical="top" wrapText="1"/>
    </xf>
    <xf numFmtId="0" fontId="9" fillId="0" borderId="1" xfId="1" applyFont="1" applyFill="1" applyBorder="1" applyAlignment="1">
      <alignment horizontal="center" vertical="top"/>
    </xf>
    <xf numFmtId="0" fontId="15" fillId="0" borderId="0" xfId="0" applyFont="1"/>
    <xf numFmtId="0" fontId="5" fillId="0" borderId="0" xfId="0" applyFont="1" applyFill="1"/>
    <xf numFmtId="0" fontId="5" fillId="0" borderId="0" xfId="0" applyFont="1" applyAlignment="1">
      <alignment horizontal="center"/>
    </xf>
    <xf numFmtId="0" fontId="15" fillId="0" borderId="0" xfId="1" applyFont="1" applyBorder="1" applyAlignment="1">
      <alignment horizontal="center"/>
    </xf>
    <xf numFmtId="0" fontId="14" fillId="0" borderId="0" xfId="1" applyFont="1" applyFill="1" applyBorder="1" applyAlignment="1">
      <alignment horizontal="center"/>
    </xf>
    <xf numFmtId="0" fontId="15" fillId="0" borderId="0" xfId="1" applyFont="1" applyFill="1" applyBorder="1" applyAlignment="1">
      <alignment horizontal="left"/>
    </xf>
    <xf numFmtId="0" fontId="9" fillId="0" borderId="1" xfId="1" applyFont="1" applyBorder="1" applyAlignment="1">
      <alignment horizontal="left" vertical="top" wrapText="1"/>
    </xf>
    <xf numFmtId="0" fontId="15" fillId="0" borderId="1" xfId="1" applyFont="1" applyBorder="1" applyAlignment="1">
      <alignment horizontal="left" vertical="top" wrapText="1"/>
    </xf>
    <xf numFmtId="0" fontId="9" fillId="0" borderId="1" xfId="1" applyFont="1" applyBorder="1" applyAlignment="1">
      <alignment horizontal="center" vertical="top" wrapText="1"/>
    </xf>
    <xf numFmtId="164" fontId="13" fillId="3" borderId="6" xfId="0" applyNumberFormat="1" applyFont="1" applyFill="1" applyBorder="1" applyAlignment="1">
      <alignment horizontal="center" vertical="center" wrapText="1"/>
    </xf>
    <xf numFmtId="164" fontId="5" fillId="0" borderId="0" xfId="0" applyNumberFormat="1" applyFont="1"/>
    <xf numFmtId="0" fontId="6" fillId="0" borderId="1" xfId="0" applyFont="1" applyFill="1" applyBorder="1" applyAlignment="1">
      <alignment wrapText="1"/>
    </xf>
    <xf numFmtId="0" fontId="6" fillId="0" borderId="1" xfId="0" applyFont="1" applyFill="1" applyBorder="1" applyAlignment="1">
      <alignment horizontal="center"/>
    </xf>
    <xf numFmtId="164" fontId="9" fillId="3" borderId="7" xfId="1" applyNumberFormat="1" applyFont="1" applyFill="1" applyBorder="1" applyAlignment="1">
      <alignment horizontal="center" vertical="center" wrapText="1"/>
    </xf>
    <xf numFmtId="164" fontId="9" fillId="0" borderId="0" xfId="0" applyNumberFormat="1" applyFont="1" applyAlignment="1">
      <alignment horizontal="center"/>
    </xf>
    <xf numFmtId="0" fontId="9" fillId="0" borderId="1" xfId="0" applyFont="1" applyBorder="1" applyAlignment="1">
      <alignment horizontal="center"/>
    </xf>
    <xf numFmtId="0" fontId="15" fillId="0" borderId="0" xfId="0" applyFont="1" applyFill="1"/>
    <xf numFmtId="0" fontId="4" fillId="0" borderId="0" xfId="0" applyFont="1"/>
    <xf numFmtId="0" fontId="9" fillId="0" borderId="1" xfId="1" applyFont="1" applyFill="1" applyBorder="1" applyAlignment="1">
      <alignment horizontal="center" vertical="top" wrapText="1"/>
    </xf>
    <xf numFmtId="0" fontId="11" fillId="0" borderId="0" xfId="0" applyFont="1" applyBorder="1" applyAlignment="1">
      <alignment vertical="center" wrapText="1"/>
    </xf>
    <xf numFmtId="164" fontId="6" fillId="0" borderId="0" xfId="0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4" fontId="0" fillId="0" borderId="0" xfId="0" applyNumberFormat="1" applyBorder="1"/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4" fontId="0" fillId="0" borderId="16" xfId="0" applyNumberFormat="1" applyBorder="1" applyAlignment="1">
      <alignment horizontal="center" vertical="center"/>
    </xf>
    <xf numFmtId="4" fontId="0" fillId="0" borderId="17" xfId="0" applyNumberFormat="1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0" fontId="7" fillId="0" borderId="19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16" fillId="3" borderId="22" xfId="0" applyFont="1" applyFill="1" applyBorder="1" applyAlignment="1">
      <alignment horizontal="center" vertical="center" wrapText="1"/>
    </xf>
    <xf numFmtId="4" fontId="16" fillId="3" borderId="12" xfId="0" applyNumberFormat="1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vertical="center"/>
    </xf>
    <xf numFmtId="0" fontId="16" fillId="3" borderId="23" xfId="0" applyFont="1" applyFill="1" applyBorder="1" applyAlignment="1">
      <alignment vertical="center"/>
    </xf>
    <xf numFmtId="0" fontId="16" fillId="3" borderId="22" xfId="0" applyFont="1" applyFill="1" applyBorder="1" applyAlignment="1">
      <alignment horizontal="right" vertical="center" wrapText="1"/>
    </xf>
    <xf numFmtId="0" fontId="16" fillId="3" borderId="11" xfId="0" applyFont="1" applyFill="1" applyBorder="1" applyAlignment="1">
      <alignment horizontal="right" vertical="center" wrapText="1"/>
    </xf>
    <xf numFmtId="4" fontId="16" fillId="3" borderId="23" xfId="0" applyNumberFormat="1" applyFont="1" applyFill="1" applyBorder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 wrapText="1"/>
    </xf>
    <xf numFmtId="2" fontId="3" fillId="0" borderId="0" xfId="0" applyNumberFormat="1" applyFont="1" applyBorder="1" applyAlignment="1">
      <alignment horizontal="center"/>
    </xf>
    <xf numFmtId="2" fontId="6" fillId="0" borderId="0" xfId="0" applyNumberFormat="1" applyFont="1"/>
    <xf numFmtId="0" fontId="6" fillId="0" borderId="0" xfId="0" applyFont="1" applyBorder="1"/>
    <xf numFmtId="0" fontId="6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4" fontId="10" fillId="2" borderId="1" xfId="0" applyNumberFormat="1" applyFont="1" applyFill="1" applyBorder="1" applyAlignment="1">
      <alignment horizontal="center"/>
    </xf>
    <xf numFmtId="4" fontId="9" fillId="0" borderId="1" xfId="1" applyNumberFormat="1" applyFont="1" applyFill="1" applyBorder="1" applyAlignment="1">
      <alignment horizontal="center" vertical="center"/>
    </xf>
    <xf numFmtId="4" fontId="9" fillId="0" borderId="1" xfId="1" applyNumberFormat="1" applyFont="1" applyFill="1" applyBorder="1" applyAlignment="1">
      <alignment horizontal="center"/>
    </xf>
    <xf numFmtId="4" fontId="5" fillId="0" borderId="1" xfId="0" applyNumberFormat="1" applyFont="1" applyBorder="1"/>
    <xf numFmtId="4" fontId="9" fillId="0" borderId="1" xfId="0" applyNumberFormat="1" applyFont="1" applyBorder="1" applyAlignment="1">
      <alignment horizontal="center"/>
    </xf>
    <xf numFmtId="4" fontId="6" fillId="0" borderId="1" xfId="0" applyNumberFormat="1" applyFont="1" applyBorder="1"/>
    <xf numFmtId="4" fontId="9" fillId="0" borderId="1" xfId="0" applyNumberFormat="1" applyFont="1" applyBorder="1"/>
    <xf numFmtId="4" fontId="9" fillId="0" borderId="1" xfId="0" applyNumberFormat="1" applyFont="1" applyFill="1" applyBorder="1"/>
    <xf numFmtId="4" fontId="9" fillId="0" borderId="1" xfId="1" applyNumberFormat="1" applyFont="1" applyBorder="1" applyAlignment="1">
      <alignment horizontal="right" vertical="top"/>
    </xf>
    <xf numFmtId="4" fontId="6" fillId="0" borderId="1" xfId="0" applyNumberFormat="1" applyFont="1" applyFill="1" applyBorder="1"/>
    <xf numFmtId="164" fontId="9" fillId="5" borderId="6" xfId="1" applyNumberFormat="1" applyFont="1" applyFill="1" applyBorder="1" applyAlignment="1">
      <alignment horizontal="center" vertical="center"/>
    </xf>
    <xf numFmtId="4" fontId="9" fillId="5" borderId="1" xfId="1" applyNumberFormat="1" applyFont="1" applyFill="1" applyBorder="1" applyAlignment="1">
      <alignment horizontal="center" vertical="center"/>
    </xf>
    <xf numFmtId="4" fontId="6" fillId="5" borderId="1" xfId="0" applyNumberFormat="1" applyFont="1" applyFill="1" applyBorder="1" applyAlignment="1">
      <alignment horizontal="center"/>
    </xf>
    <xf numFmtId="164" fontId="6" fillId="5" borderId="0" xfId="0" applyNumberFormat="1" applyFont="1" applyFill="1" applyAlignment="1">
      <alignment horizontal="center"/>
    </xf>
    <xf numFmtId="0" fontId="12" fillId="0" borderId="0" xfId="0" applyFont="1" applyBorder="1"/>
    <xf numFmtId="0" fontId="12" fillId="0" borderId="0" xfId="0" applyFont="1" applyBorder="1" applyAlignment="1">
      <alignment vertical="center" wrapText="1"/>
    </xf>
    <xf numFmtId="0" fontId="1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9" fillId="3" borderId="24" xfId="1" applyFont="1" applyFill="1" applyBorder="1" applyAlignment="1">
      <alignment horizontal="center" vertical="center"/>
    </xf>
    <xf numFmtId="0" fontId="9" fillId="5" borderId="1" xfId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4" fontId="11" fillId="0" borderId="0" xfId="0" applyNumberFormat="1" applyFont="1" applyBorder="1" applyAlignment="1">
      <alignment vertical="center" wrapText="1"/>
    </xf>
    <xf numFmtId="0" fontId="18" fillId="0" borderId="1" xfId="0" applyFont="1" applyBorder="1" applyAlignment="1">
      <alignment wrapText="1"/>
    </xf>
    <xf numFmtId="4" fontId="11" fillId="0" borderId="0" xfId="0" applyNumberFormat="1" applyFont="1" applyFill="1" applyBorder="1" applyAlignment="1">
      <alignment vertical="center" wrapText="1"/>
    </xf>
    <xf numFmtId="165" fontId="19" fillId="0" borderId="0" xfId="0" applyNumberFormat="1" applyFont="1"/>
    <xf numFmtId="165" fontId="20" fillId="6" borderId="0" xfId="0" applyNumberFormat="1" applyFont="1" applyFill="1" applyAlignment="1">
      <alignment horizontal="left"/>
    </xf>
    <xf numFmtId="165" fontId="20" fillId="6" borderId="0" xfId="0" applyNumberFormat="1" applyFont="1" applyFill="1" applyAlignment="1">
      <alignment horizontal="center"/>
    </xf>
    <xf numFmtId="165" fontId="19" fillId="0" borderId="0" xfId="0" applyNumberFormat="1" applyFont="1" applyAlignment="1">
      <alignment horizontal="center"/>
    </xf>
    <xf numFmtId="165" fontId="20" fillId="7" borderId="0" xfId="0" applyNumberFormat="1" applyFont="1" applyFill="1"/>
    <xf numFmtId="165" fontId="20" fillId="7" borderId="0" xfId="0" applyNumberFormat="1" applyFont="1" applyFill="1" applyAlignment="1">
      <alignment horizontal="center"/>
    </xf>
    <xf numFmtId="165" fontId="20" fillId="0" borderId="0" xfId="0" applyNumberFormat="1" applyFont="1"/>
    <xf numFmtId="165" fontId="20" fillId="0" borderId="0" xfId="0" applyNumberFormat="1" applyFont="1" applyAlignment="1">
      <alignment horizontal="right"/>
    </xf>
    <xf numFmtId="165" fontId="20" fillId="0" borderId="0" xfId="0" applyNumberFormat="1" applyFont="1" applyAlignment="1">
      <alignment horizontal="center"/>
    </xf>
    <xf numFmtId="166" fontId="19" fillId="0" borderId="0" xfId="0" applyNumberFormat="1" applyFont="1"/>
    <xf numFmtId="167" fontId="19" fillId="0" borderId="0" xfId="0" applyNumberFormat="1" applyFont="1" applyAlignment="1">
      <alignment horizontal="center"/>
    </xf>
    <xf numFmtId="166" fontId="20" fillId="0" borderId="0" xfId="0" applyNumberFormat="1" applyFont="1"/>
    <xf numFmtId="4" fontId="5" fillId="0" borderId="0" xfId="0" applyNumberFormat="1" applyFont="1" applyFill="1"/>
    <xf numFmtId="4" fontId="5" fillId="0" borderId="0" xfId="0" applyNumberFormat="1" applyFont="1"/>
    <xf numFmtId="165" fontId="19" fillId="0" borderId="0" xfId="0" applyNumberFormat="1" applyFont="1" applyAlignment="1">
      <alignment vertical="center"/>
    </xf>
    <xf numFmtId="165" fontId="21" fillId="0" borderId="0" xfId="0" applyNumberFormat="1" applyFont="1" applyAlignment="1">
      <alignment horizontal="center" vertical="center"/>
    </xf>
    <xf numFmtId="165" fontId="19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6" fillId="2" borderId="3" xfId="0" applyNumberFormat="1" applyFont="1" applyFill="1" applyBorder="1" applyAlignment="1">
      <alignment horizontal="center"/>
    </xf>
    <xf numFmtId="2" fontId="6" fillId="2" borderId="4" xfId="0" applyNumberFormat="1" applyFont="1" applyFill="1" applyBorder="1" applyAlignment="1">
      <alignment horizontal="center"/>
    </xf>
    <xf numFmtId="2" fontId="11" fillId="2" borderId="3" xfId="0" applyNumberFormat="1" applyFont="1" applyFill="1" applyBorder="1" applyAlignment="1">
      <alignment horizontal="center"/>
    </xf>
    <xf numFmtId="2" fontId="11" fillId="2" borderId="4" xfId="0" applyNumberFormat="1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9" fillId="4" borderId="8" xfId="1" applyFont="1" applyFill="1" applyBorder="1" applyAlignment="1">
      <alignment horizontal="center" vertical="center"/>
    </xf>
    <xf numFmtId="0" fontId="9" fillId="4" borderId="9" xfId="1" applyFont="1" applyFill="1" applyBorder="1" applyAlignment="1">
      <alignment horizontal="center" vertical="center"/>
    </xf>
    <xf numFmtId="0" fontId="9" fillId="4" borderId="10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2" borderId="2" xfId="2" applyFont="1" applyFill="1" applyBorder="1" applyAlignment="1">
      <alignment horizontal="center" vertical="center" wrapText="1"/>
    </xf>
    <xf numFmtId="0" fontId="9" fillId="2" borderId="3" xfId="2" applyFont="1" applyFill="1" applyBorder="1" applyAlignment="1">
      <alignment horizontal="center" vertical="center" wrapText="1"/>
    </xf>
    <xf numFmtId="0" fontId="9" fillId="2" borderId="4" xfId="2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horizontal="center" vertical="center" wrapText="1"/>
    </xf>
    <xf numFmtId="165" fontId="21" fillId="0" borderId="0" xfId="0" applyNumberFormat="1" applyFont="1" applyAlignment="1">
      <alignment horizontal="center" vertical="center"/>
    </xf>
  </cellXfs>
  <cellStyles count="4">
    <cellStyle name="Normal" xfId="0" builtinId="0"/>
    <cellStyle name="Normal 2" xfId="1"/>
    <cellStyle name="Normal 2 2" xfId="3"/>
    <cellStyle name="Normal_Quantity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548639</xdr:colOff>
      <xdr:row>0</xdr:row>
      <xdr:rowOff>146124</xdr:rowOff>
    </xdr:from>
    <xdr:to>
      <xdr:col>11</xdr:col>
      <xdr:colOff>393998</xdr:colOff>
      <xdr:row>0</xdr:row>
      <xdr:rowOff>492184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2879" y="146124"/>
          <a:ext cx="1925619" cy="3460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571500</xdr:colOff>
      <xdr:row>0</xdr:row>
      <xdr:rowOff>0</xdr:rowOff>
    </xdr:from>
    <xdr:to>
      <xdr:col>14</xdr:col>
      <xdr:colOff>594360</xdr:colOff>
      <xdr:row>1</xdr:row>
      <xdr:rowOff>140320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1220" y="0"/>
          <a:ext cx="1897380" cy="3308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761999</xdr:colOff>
      <xdr:row>0</xdr:row>
      <xdr:rowOff>0</xdr:rowOff>
    </xdr:from>
    <xdr:to>
      <xdr:col>10</xdr:col>
      <xdr:colOff>424478</xdr:colOff>
      <xdr:row>1</xdr:row>
      <xdr:rowOff>163180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0419" y="123264"/>
          <a:ext cx="1925619" cy="3460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190500</xdr:colOff>
      <xdr:row>0</xdr:row>
      <xdr:rowOff>0</xdr:rowOff>
    </xdr:from>
    <xdr:to>
      <xdr:col>8</xdr:col>
      <xdr:colOff>497317</xdr:colOff>
      <xdr:row>2</xdr:row>
      <xdr:rowOff>155560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8920" y="0"/>
          <a:ext cx="1914637" cy="5213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3575050</xdr:colOff>
      <xdr:row>1</xdr:row>
      <xdr:rowOff>44450</xdr:rowOff>
    </xdr:from>
    <xdr:to>
      <xdr:col>2</xdr:col>
      <xdr:colOff>1391920</xdr:colOff>
      <xdr:row>2</xdr:row>
      <xdr:rowOff>73010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552450"/>
          <a:ext cx="1855470" cy="3460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2110740</xdr:colOff>
      <xdr:row>1</xdr:row>
      <xdr:rowOff>38100</xdr:rowOff>
    </xdr:from>
    <xdr:to>
      <xdr:col>4</xdr:col>
      <xdr:colOff>651510</xdr:colOff>
      <xdr:row>1</xdr:row>
      <xdr:rowOff>384160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541020"/>
          <a:ext cx="1855470" cy="3460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99060</xdr:rowOff>
    </xdr:from>
    <xdr:to>
      <xdr:col>6</xdr:col>
      <xdr:colOff>407670</xdr:colOff>
      <xdr:row>1</xdr:row>
      <xdr:rowOff>186040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4320" y="99060"/>
          <a:ext cx="1855470" cy="346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Views>
    <sheetView view="pageBreakPreview" zoomScaleNormal="85" zoomScaleSheetLayoutView="100" workbookViewId="0">
      <pane ySplit="3" topLeftCell="A64" activePane="bottomLeft" state="frozen"/>
      <selection pane="bottomLeft" sqref="A1:XFD1"/>
    </sheetView>
  </sheetViews>
  <sheetFormatPr defaultColWidth="9.140625" defaultRowHeight="15" x14ac:dyDescent="0.25"/>
  <cols>
    <col min="1" max="1" width="9" style="79" customWidth="1"/>
    <col min="2" max="2" width="16.85546875" style="79" customWidth="1"/>
    <col min="3" max="3" width="37.85546875" style="11" customWidth="1"/>
    <col min="4" max="4" width="6.5703125" style="30" customWidth="1"/>
    <col min="5" max="5" width="13.5703125" style="38" customWidth="1"/>
    <col min="6" max="6" width="9.5703125" style="94" bestFit="1" customWidth="1"/>
    <col min="7" max="7" width="12.28515625" style="42" customWidth="1"/>
    <col min="8" max="8" width="8.140625" style="6" customWidth="1"/>
    <col min="9" max="9" width="5.42578125" style="6" customWidth="1"/>
    <col min="10" max="10" width="9.28515625" style="6" customWidth="1"/>
    <col min="11" max="11" width="7.5703125" style="6" customWidth="1"/>
    <col min="12" max="16384" width="9.140625" style="6"/>
  </cols>
  <sheetData>
    <row r="1" spans="1:11" ht="57.6" customHeight="1" thickBot="1" x14ac:dyDescent="0.3">
      <c r="A1" s="142" t="s">
        <v>140</v>
      </c>
      <c r="B1" s="142"/>
      <c r="C1" s="142"/>
      <c r="D1" s="142"/>
      <c r="E1" s="142"/>
      <c r="F1" s="142"/>
      <c r="G1" s="142"/>
    </row>
    <row r="2" spans="1:11" ht="36" thickBot="1" x14ac:dyDescent="0.3">
      <c r="A2" s="12" t="s">
        <v>0</v>
      </c>
      <c r="B2" s="100"/>
      <c r="C2" s="13" t="s">
        <v>1</v>
      </c>
      <c r="D2" s="14" t="s">
        <v>2</v>
      </c>
      <c r="E2" s="37" t="s">
        <v>3</v>
      </c>
      <c r="F2" s="91" t="s">
        <v>56</v>
      </c>
      <c r="G2" s="41" t="s">
        <v>57</v>
      </c>
      <c r="H2" s="31"/>
      <c r="I2" s="16"/>
      <c r="J2" s="16" t="s">
        <v>3</v>
      </c>
      <c r="K2" s="28"/>
    </row>
    <row r="3" spans="1:11" ht="28.5" customHeight="1" x14ac:dyDescent="0.25">
      <c r="A3" s="133" t="s">
        <v>114</v>
      </c>
      <c r="B3" s="134"/>
      <c r="C3" s="134"/>
      <c r="D3" s="134"/>
      <c r="E3" s="134"/>
      <c r="F3" s="134"/>
      <c r="G3" s="135"/>
      <c r="H3" s="15"/>
      <c r="I3" s="16"/>
      <c r="J3" s="16"/>
    </row>
    <row r="4" spans="1:11" ht="28.5" customHeight="1" x14ac:dyDescent="0.25">
      <c r="A4" s="136" t="s">
        <v>47</v>
      </c>
      <c r="B4" s="137"/>
      <c r="C4" s="137"/>
      <c r="D4" s="137"/>
      <c r="E4" s="137"/>
      <c r="F4" s="137"/>
      <c r="G4" s="138"/>
      <c r="H4" s="15"/>
      <c r="I4" s="16"/>
      <c r="J4" s="16"/>
    </row>
    <row r="5" spans="1:11" s="29" customFormat="1" x14ac:dyDescent="0.25">
      <c r="A5" s="18">
        <v>1</v>
      </c>
      <c r="B5" s="101" t="s">
        <v>147</v>
      </c>
      <c r="C5" s="17" t="s">
        <v>4</v>
      </c>
      <c r="D5" s="18" t="s">
        <v>44</v>
      </c>
      <c r="E5" s="82">
        <v>1290.5</v>
      </c>
      <c r="F5" s="92">
        <f>'Ед. Цени'!E4</f>
        <v>1.51</v>
      </c>
      <c r="G5" s="83">
        <f t="shared" ref="G5:G15" si="0">ROUND(E5*F5,2)</f>
        <v>1948.66</v>
      </c>
      <c r="H5" s="32"/>
      <c r="I5" s="33"/>
      <c r="J5" s="33">
        <v>1290.5</v>
      </c>
      <c r="K5" s="120">
        <f>E5-J5</f>
        <v>0</v>
      </c>
    </row>
    <row r="6" spans="1:11" ht="30" x14ac:dyDescent="0.25">
      <c r="A6" s="75">
        <v>2</v>
      </c>
      <c r="B6" s="102" t="s">
        <v>148</v>
      </c>
      <c r="C6" s="2" t="s">
        <v>43</v>
      </c>
      <c r="D6" s="1" t="s">
        <v>46</v>
      </c>
      <c r="E6" s="86">
        <v>65.02</v>
      </c>
      <c r="F6" s="92">
        <f>'Ед. Цени'!E5</f>
        <v>1.65</v>
      </c>
      <c r="G6" s="83">
        <f t="shared" si="0"/>
        <v>107.28</v>
      </c>
      <c r="J6" s="6">
        <v>65.02</v>
      </c>
      <c r="K6" s="120">
        <f t="shared" ref="K6:K69" si="1">E6-J6</f>
        <v>0</v>
      </c>
    </row>
    <row r="7" spans="1:11" ht="30" x14ac:dyDescent="0.25">
      <c r="A7" s="18">
        <v>3</v>
      </c>
      <c r="B7" s="102" t="s">
        <v>149</v>
      </c>
      <c r="C7" s="2" t="s">
        <v>45</v>
      </c>
      <c r="D7" s="1" t="s">
        <v>46</v>
      </c>
      <c r="E7" s="86">
        <v>406.36</v>
      </c>
      <c r="F7" s="92">
        <f>'Ед. Цени'!E6</f>
        <v>1.38</v>
      </c>
      <c r="G7" s="83">
        <f t="shared" si="0"/>
        <v>560.78</v>
      </c>
      <c r="J7" s="6">
        <v>406.36</v>
      </c>
      <c r="K7" s="120">
        <f t="shared" si="1"/>
        <v>0</v>
      </c>
    </row>
    <row r="8" spans="1:11" x14ac:dyDescent="0.25">
      <c r="A8" s="75">
        <v>4</v>
      </c>
      <c r="B8" s="102"/>
      <c r="C8" s="106" t="s">
        <v>71</v>
      </c>
      <c r="D8" s="99"/>
      <c r="E8" s="86">
        <v>806.49</v>
      </c>
      <c r="F8" s="92"/>
      <c r="G8" s="83"/>
      <c r="J8" s="6">
        <v>806.49</v>
      </c>
      <c r="K8" s="120">
        <f t="shared" si="1"/>
        <v>0</v>
      </c>
    </row>
    <row r="9" spans="1:11" ht="30" x14ac:dyDescent="0.25">
      <c r="A9" s="18">
        <v>5</v>
      </c>
      <c r="B9" s="102" t="s">
        <v>150</v>
      </c>
      <c r="C9" s="2" t="s">
        <v>115</v>
      </c>
      <c r="D9" s="1" t="s">
        <v>46</v>
      </c>
      <c r="E9" s="86">
        <v>604.87</v>
      </c>
      <c r="F9" s="92">
        <f>'Ед. Цени'!E8</f>
        <v>6.5</v>
      </c>
      <c r="G9" s="83">
        <f t="shared" si="0"/>
        <v>3931.66</v>
      </c>
      <c r="J9" s="6">
        <v>604.87</v>
      </c>
      <c r="K9" s="120">
        <f t="shared" si="1"/>
        <v>0</v>
      </c>
    </row>
    <row r="10" spans="1:11" x14ac:dyDescent="0.25">
      <c r="A10" s="75">
        <v>6</v>
      </c>
      <c r="B10" s="102" t="s">
        <v>151</v>
      </c>
      <c r="C10" s="2" t="s">
        <v>116</v>
      </c>
      <c r="D10" s="1" t="s">
        <v>46</v>
      </c>
      <c r="E10" s="86">
        <v>120.98</v>
      </c>
      <c r="F10" s="92">
        <f>'Ед. Цени'!E9</f>
        <v>12.28</v>
      </c>
      <c r="G10" s="83">
        <f t="shared" si="0"/>
        <v>1485.63</v>
      </c>
      <c r="J10" s="6">
        <v>120.98</v>
      </c>
      <c r="K10" s="120">
        <f t="shared" si="1"/>
        <v>0</v>
      </c>
    </row>
    <row r="11" spans="1:11" x14ac:dyDescent="0.25">
      <c r="A11" s="18">
        <v>7</v>
      </c>
      <c r="B11" s="102" t="s">
        <v>152</v>
      </c>
      <c r="C11" s="2" t="s">
        <v>117</v>
      </c>
      <c r="D11" s="1" t="s">
        <v>46</v>
      </c>
      <c r="E11" s="86">
        <v>80.650000000000006</v>
      </c>
      <c r="F11" s="92">
        <f>'Ед. Цени'!E10</f>
        <v>20.68</v>
      </c>
      <c r="G11" s="83">
        <f t="shared" si="0"/>
        <v>1667.84</v>
      </c>
      <c r="J11" s="6">
        <v>80.650000000000006</v>
      </c>
      <c r="K11" s="120">
        <f t="shared" si="1"/>
        <v>0</v>
      </c>
    </row>
    <row r="12" spans="1:11" ht="30" x14ac:dyDescent="0.25">
      <c r="A12" s="75">
        <v>8</v>
      </c>
      <c r="B12" s="102" t="s">
        <v>153</v>
      </c>
      <c r="C12" s="2" t="s">
        <v>54</v>
      </c>
      <c r="D12" s="1" t="s">
        <v>46</v>
      </c>
      <c r="E12" s="86">
        <v>135.16999999999999</v>
      </c>
      <c r="F12" s="92">
        <f>'Ед. Цени'!E11</f>
        <v>4</v>
      </c>
      <c r="G12" s="83">
        <f t="shared" si="0"/>
        <v>540.67999999999995</v>
      </c>
      <c r="J12" s="6">
        <v>135.16999999999999</v>
      </c>
      <c r="K12" s="120">
        <f t="shared" si="1"/>
        <v>0</v>
      </c>
    </row>
    <row r="13" spans="1:11" ht="30" x14ac:dyDescent="0.25">
      <c r="A13" s="18">
        <v>9</v>
      </c>
      <c r="B13" s="102" t="s">
        <v>154</v>
      </c>
      <c r="C13" s="19" t="s">
        <v>12</v>
      </c>
      <c r="D13" s="20" t="s">
        <v>6</v>
      </c>
      <c r="E13" s="86">
        <v>2125.12</v>
      </c>
      <c r="F13" s="92">
        <f>'Ед. Цени'!E12</f>
        <v>1.86</v>
      </c>
      <c r="G13" s="83">
        <f t="shared" si="0"/>
        <v>3952.72</v>
      </c>
      <c r="J13" s="6">
        <v>2125.12</v>
      </c>
      <c r="K13" s="120">
        <f t="shared" si="1"/>
        <v>0</v>
      </c>
    </row>
    <row r="14" spans="1:11" ht="30" x14ac:dyDescent="0.25">
      <c r="A14" s="75">
        <v>10</v>
      </c>
      <c r="B14" s="102" t="s">
        <v>155</v>
      </c>
      <c r="C14" s="2" t="s">
        <v>55</v>
      </c>
      <c r="D14" s="1" t="s">
        <v>46</v>
      </c>
      <c r="E14" s="86">
        <v>67.349999999999994</v>
      </c>
      <c r="F14" s="92">
        <f>'Ед. Цени'!E13</f>
        <v>31.11</v>
      </c>
      <c r="G14" s="83">
        <f t="shared" si="0"/>
        <v>2095.2600000000002</v>
      </c>
      <c r="J14" s="6">
        <v>67.349999999999994</v>
      </c>
      <c r="K14" s="120">
        <f t="shared" si="1"/>
        <v>0</v>
      </c>
    </row>
    <row r="15" spans="1:11" ht="30" x14ac:dyDescent="0.25">
      <c r="A15" s="18">
        <v>11</v>
      </c>
      <c r="B15" s="102" t="s">
        <v>156</v>
      </c>
      <c r="C15" s="21" t="s">
        <v>39</v>
      </c>
      <c r="D15" s="18" t="s">
        <v>44</v>
      </c>
      <c r="E15" s="86">
        <v>645.25</v>
      </c>
      <c r="F15" s="92">
        <f>'Ед. Цени'!E14</f>
        <v>0.56000000000000005</v>
      </c>
      <c r="G15" s="83">
        <f t="shared" si="0"/>
        <v>361.34</v>
      </c>
      <c r="J15" s="6">
        <v>645.25</v>
      </c>
      <c r="K15" s="120">
        <f t="shared" si="1"/>
        <v>0</v>
      </c>
    </row>
    <row r="16" spans="1:11" x14ac:dyDescent="0.25">
      <c r="A16" s="75"/>
      <c r="B16" s="75"/>
      <c r="C16" s="7"/>
      <c r="D16" s="8"/>
      <c r="E16" s="84"/>
      <c r="F16" s="84"/>
      <c r="G16" s="85"/>
      <c r="K16" s="120">
        <f t="shared" si="1"/>
        <v>0</v>
      </c>
    </row>
    <row r="17" spans="1:11" ht="24.75" customHeight="1" x14ac:dyDescent="0.25">
      <c r="A17" s="130" t="s">
        <v>118</v>
      </c>
      <c r="B17" s="131"/>
      <c r="C17" s="131"/>
      <c r="D17" s="131"/>
      <c r="E17" s="131"/>
      <c r="F17" s="131"/>
      <c r="G17" s="132"/>
      <c r="K17" s="120">
        <f t="shared" si="1"/>
        <v>0</v>
      </c>
    </row>
    <row r="18" spans="1:11" ht="45" x14ac:dyDescent="0.25">
      <c r="A18" s="18">
        <v>12</v>
      </c>
      <c r="B18" s="102" t="s">
        <v>157</v>
      </c>
      <c r="C18" s="34" t="s">
        <v>101</v>
      </c>
      <c r="D18" s="18" t="s">
        <v>44</v>
      </c>
      <c r="E18" s="86">
        <v>464</v>
      </c>
      <c r="F18" s="92">
        <f>'Ед. Цени'!E15</f>
        <v>40.869999999999997</v>
      </c>
      <c r="G18" s="83">
        <f t="shared" ref="G18:G26" si="2">ROUND(E18*F18,2)</f>
        <v>18963.68</v>
      </c>
      <c r="J18" s="6">
        <v>464</v>
      </c>
      <c r="K18" s="120">
        <f t="shared" si="1"/>
        <v>0</v>
      </c>
    </row>
    <row r="19" spans="1:11" x14ac:dyDescent="0.25">
      <c r="A19" s="18">
        <v>13</v>
      </c>
      <c r="B19" s="102" t="s">
        <v>158</v>
      </c>
      <c r="C19" s="34" t="s">
        <v>70</v>
      </c>
      <c r="D19" s="36" t="s">
        <v>13</v>
      </c>
      <c r="E19" s="86">
        <v>74</v>
      </c>
      <c r="F19" s="92">
        <f>'Ед. Цени'!E16</f>
        <v>7.85</v>
      </c>
      <c r="G19" s="83">
        <f t="shared" si="2"/>
        <v>580.9</v>
      </c>
      <c r="J19" s="6">
        <v>74</v>
      </c>
      <c r="K19" s="120">
        <f t="shared" si="1"/>
        <v>0</v>
      </c>
    </row>
    <row r="20" spans="1:11" ht="30" x14ac:dyDescent="0.25">
      <c r="A20" s="18">
        <v>14</v>
      </c>
      <c r="B20" s="102" t="s">
        <v>159</v>
      </c>
      <c r="C20" s="34" t="s">
        <v>19</v>
      </c>
      <c r="D20" s="36" t="s">
        <v>13</v>
      </c>
      <c r="E20" s="87">
        <v>1</v>
      </c>
      <c r="F20" s="92">
        <f>'Ед. Цени'!E17</f>
        <v>270.01</v>
      </c>
      <c r="G20" s="83">
        <f t="shared" si="2"/>
        <v>270.01</v>
      </c>
      <c r="J20" s="6">
        <v>1</v>
      </c>
      <c r="K20" s="120">
        <f t="shared" si="1"/>
        <v>0</v>
      </c>
    </row>
    <row r="21" spans="1:11" ht="30" x14ac:dyDescent="0.25">
      <c r="A21" s="18">
        <v>15</v>
      </c>
      <c r="B21" s="102" t="s">
        <v>160</v>
      </c>
      <c r="C21" s="34" t="s">
        <v>107</v>
      </c>
      <c r="D21" s="36" t="s">
        <v>13</v>
      </c>
      <c r="E21" s="87">
        <v>1</v>
      </c>
      <c r="F21" s="92">
        <f>'Ед. Цени'!E18</f>
        <v>65.27</v>
      </c>
      <c r="G21" s="83">
        <f t="shared" si="2"/>
        <v>65.27</v>
      </c>
      <c r="J21" s="6">
        <v>1</v>
      </c>
      <c r="K21" s="120">
        <f t="shared" si="1"/>
        <v>0</v>
      </c>
    </row>
    <row r="22" spans="1:11" ht="30" x14ac:dyDescent="0.25">
      <c r="A22" s="18">
        <v>16</v>
      </c>
      <c r="B22" s="102" t="s">
        <v>161</v>
      </c>
      <c r="C22" s="34" t="s">
        <v>108</v>
      </c>
      <c r="D22" s="36" t="s">
        <v>13</v>
      </c>
      <c r="E22" s="87">
        <v>1</v>
      </c>
      <c r="F22" s="92">
        <f>'Ед. Цени'!E19</f>
        <v>59.52</v>
      </c>
      <c r="G22" s="83">
        <f t="shared" si="2"/>
        <v>59.52</v>
      </c>
      <c r="J22" s="6">
        <v>1</v>
      </c>
      <c r="K22" s="120">
        <f t="shared" si="1"/>
        <v>0</v>
      </c>
    </row>
    <row r="23" spans="1:11" ht="30" x14ac:dyDescent="0.25">
      <c r="A23" s="18">
        <v>17</v>
      </c>
      <c r="B23" s="102" t="s">
        <v>162</v>
      </c>
      <c r="C23" s="34" t="s">
        <v>112</v>
      </c>
      <c r="D23" s="36" t="s">
        <v>13</v>
      </c>
      <c r="E23" s="87">
        <v>1</v>
      </c>
      <c r="F23" s="92">
        <f>'Ед. Цени'!E20</f>
        <v>64.14</v>
      </c>
      <c r="G23" s="83">
        <f t="shared" si="2"/>
        <v>64.14</v>
      </c>
      <c r="J23" s="6">
        <v>1</v>
      </c>
      <c r="K23" s="120">
        <f t="shared" si="1"/>
        <v>0</v>
      </c>
    </row>
    <row r="24" spans="1:11" ht="30" x14ac:dyDescent="0.25">
      <c r="A24" s="18">
        <v>18</v>
      </c>
      <c r="B24" s="102" t="s">
        <v>163</v>
      </c>
      <c r="C24" s="34" t="s">
        <v>32</v>
      </c>
      <c r="D24" s="36" t="s">
        <v>13</v>
      </c>
      <c r="E24" s="87">
        <v>8</v>
      </c>
      <c r="F24" s="92">
        <f>'Ед. Цени'!E21</f>
        <v>86.22</v>
      </c>
      <c r="G24" s="83">
        <f t="shared" si="2"/>
        <v>689.76</v>
      </c>
      <c r="J24" s="6">
        <v>8</v>
      </c>
      <c r="K24" s="120">
        <f t="shared" si="1"/>
        <v>0</v>
      </c>
    </row>
    <row r="25" spans="1:11" s="44" customFormat="1" x14ac:dyDescent="0.25">
      <c r="A25" s="18">
        <v>19</v>
      </c>
      <c r="B25" s="102" t="s">
        <v>164</v>
      </c>
      <c r="C25" s="26" t="s">
        <v>92</v>
      </c>
      <c r="D25" s="18" t="s">
        <v>59</v>
      </c>
      <c r="E25" s="88">
        <v>78</v>
      </c>
      <c r="F25" s="92">
        <f>'Ед. Цени'!E22</f>
        <v>7.85</v>
      </c>
      <c r="G25" s="83">
        <f t="shared" si="2"/>
        <v>612.29999999999995</v>
      </c>
      <c r="J25" s="44">
        <v>78</v>
      </c>
      <c r="K25" s="120">
        <f t="shared" si="1"/>
        <v>0</v>
      </c>
    </row>
    <row r="26" spans="1:11" x14ac:dyDescent="0.25">
      <c r="A26" s="18">
        <v>20</v>
      </c>
      <c r="B26" s="102" t="s">
        <v>165</v>
      </c>
      <c r="C26" s="26" t="s">
        <v>38</v>
      </c>
      <c r="D26" s="36" t="s">
        <v>13</v>
      </c>
      <c r="E26" s="87">
        <v>12</v>
      </c>
      <c r="F26" s="92">
        <f>'Ед. Цени'!E23</f>
        <v>20</v>
      </c>
      <c r="G26" s="83">
        <f t="shared" si="2"/>
        <v>240</v>
      </c>
      <c r="J26" s="6">
        <v>12</v>
      </c>
      <c r="K26" s="120">
        <f t="shared" si="1"/>
        <v>0</v>
      </c>
    </row>
    <row r="27" spans="1:11" ht="22.5" customHeight="1" x14ac:dyDescent="0.25">
      <c r="A27" s="139" t="s">
        <v>119</v>
      </c>
      <c r="B27" s="140"/>
      <c r="C27" s="140"/>
      <c r="D27" s="140"/>
      <c r="E27" s="140"/>
      <c r="F27" s="140"/>
      <c r="G27" s="141"/>
      <c r="K27" s="120">
        <f t="shared" si="1"/>
        <v>0</v>
      </c>
    </row>
    <row r="28" spans="1:11" s="29" customFormat="1" ht="30" x14ac:dyDescent="0.25">
      <c r="A28" s="4">
        <v>21</v>
      </c>
      <c r="B28" s="102" t="s">
        <v>166</v>
      </c>
      <c r="C28" s="5" t="s">
        <v>84</v>
      </c>
      <c r="D28" s="4" t="s">
        <v>46</v>
      </c>
      <c r="E28" s="89">
        <v>0.8</v>
      </c>
      <c r="F28" s="92">
        <f>'Ед. Цени'!E24</f>
        <v>115.81</v>
      </c>
      <c r="G28" s="83">
        <f t="shared" ref="G28:G56" si="3">ROUND(E28*F28,2)</f>
        <v>92.65</v>
      </c>
      <c r="J28" s="29">
        <v>0.8</v>
      </c>
      <c r="K28" s="120">
        <f t="shared" si="1"/>
        <v>0</v>
      </c>
    </row>
    <row r="29" spans="1:11" s="29" customFormat="1" x14ac:dyDescent="0.25">
      <c r="A29" s="4">
        <v>22</v>
      </c>
      <c r="B29" s="102" t="s">
        <v>167</v>
      </c>
      <c r="C29" s="5" t="s">
        <v>85</v>
      </c>
      <c r="D29" s="4" t="s">
        <v>86</v>
      </c>
      <c r="E29" s="89">
        <v>17.490000000000002</v>
      </c>
      <c r="F29" s="92">
        <f>'Ед. Цени'!E25</f>
        <v>2.86</v>
      </c>
      <c r="G29" s="83">
        <f t="shared" si="3"/>
        <v>50.02</v>
      </c>
      <c r="J29" s="29">
        <v>17.490000000000002</v>
      </c>
      <c r="K29" s="120">
        <f t="shared" si="1"/>
        <v>0</v>
      </c>
    </row>
    <row r="30" spans="1:11" s="29" customFormat="1" x14ac:dyDescent="0.25">
      <c r="A30" s="4">
        <v>23</v>
      </c>
      <c r="B30" s="102" t="s">
        <v>168</v>
      </c>
      <c r="C30" s="5" t="s">
        <v>87</v>
      </c>
      <c r="D30" s="4" t="s">
        <v>46</v>
      </c>
      <c r="E30" s="89">
        <v>1</v>
      </c>
      <c r="F30" s="92">
        <f>'Ед. Цени'!E26</f>
        <v>29.9</v>
      </c>
      <c r="G30" s="83">
        <f t="shared" si="3"/>
        <v>29.9</v>
      </c>
      <c r="J30" s="29">
        <v>1</v>
      </c>
      <c r="K30" s="120">
        <f t="shared" si="1"/>
        <v>0</v>
      </c>
    </row>
    <row r="31" spans="1:11" s="29" customFormat="1" x14ac:dyDescent="0.25">
      <c r="A31" s="4">
        <v>24</v>
      </c>
      <c r="B31" s="102" t="s">
        <v>170</v>
      </c>
      <c r="C31" s="5" t="s">
        <v>88</v>
      </c>
      <c r="D31" s="4" t="s">
        <v>46</v>
      </c>
      <c r="E31" s="89">
        <v>1</v>
      </c>
      <c r="F31" s="92">
        <f>'Ед. Цени'!E27</f>
        <v>31.11</v>
      </c>
      <c r="G31" s="83">
        <f t="shared" si="3"/>
        <v>31.11</v>
      </c>
      <c r="J31" s="29">
        <v>1</v>
      </c>
      <c r="K31" s="120">
        <f t="shared" si="1"/>
        <v>0</v>
      </c>
    </row>
    <row r="32" spans="1:11" x14ac:dyDescent="0.25">
      <c r="A32" s="4">
        <v>25</v>
      </c>
      <c r="B32" s="102" t="s">
        <v>171</v>
      </c>
      <c r="C32" s="2" t="s">
        <v>73</v>
      </c>
      <c r="D32" s="36" t="s">
        <v>13</v>
      </c>
      <c r="E32" s="86">
        <v>1</v>
      </c>
      <c r="F32" s="92">
        <f>'Ед. Цени'!E28</f>
        <v>173.21</v>
      </c>
      <c r="G32" s="83">
        <f t="shared" si="3"/>
        <v>173.21</v>
      </c>
      <c r="J32" s="6">
        <v>1</v>
      </c>
      <c r="K32" s="120">
        <f t="shared" si="1"/>
        <v>0</v>
      </c>
    </row>
    <row r="33" spans="1:11" ht="30" x14ac:dyDescent="0.25">
      <c r="A33" s="4">
        <v>26</v>
      </c>
      <c r="B33" s="102" t="s">
        <v>169</v>
      </c>
      <c r="C33" s="34" t="s">
        <v>30</v>
      </c>
      <c r="D33" s="36" t="s">
        <v>13</v>
      </c>
      <c r="E33" s="86">
        <v>1</v>
      </c>
      <c r="F33" s="92">
        <f>'Ед. Цени'!E29</f>
        <v>91.06</v>
      </c>
      <c r="G33" s="83">
        <f t="shared" si="3"/>
        <v>91.06</v>
      </c>
      <c r="J33" s="6">
        <v>1</v>
      </c>
      <c r="K33" s="120">
        <f t="shared" si="1"/>
        <v>0</v>
      </c>
    </row>
    <row r="34" spans="1:11" ht="30" x14ac:dyDescent="0.25">
      <c r="A34" s="4">
        <v>27</v>
      </c>
      <c r="B34" s="102" t="s">
        <v>172</v>
      </c>
      <c r="C34" s="34" t="s">
        <v>31</v>
      </c>
      <c r="D34" s="36" t="s">
        <v>13</v>
      </c>
      <c r="E34" s="86">
        <v>1</v>
      </c>
      <c r="F34" s="92">
        <f>'Ед. Цени'!E30</f>
        <v>66.86</v>
      </c>
      <c r="G34" s="83">
        <f t="shared" si="3"/>
        <v>66.86</v>
      </c>
      <c r="J34" s="6">
        <v>1</v>
      </c>
      <c r="K34" s="120">
        <f t="shared" si="1"/>
        <v>0</v>
      </c>
    </row>
    <row r="35" spans="1:11" ht="30" x14ac:dyDescent="0.25">
      <c r="A35" s="4">
        <v>28</v>
      </c>
      <c r="B35" s="102" t="s">
        <v>173</v>
      </c>
      <c r="C35" s="34" t="s">
        <v>109</v>
      </c>
      <c r="D35" s="36" t="s">
        <v>13</v>
      </c>
      <c r="E35" s="86">
        <v>1</v>
      </c>
      <c r="F35" s="92">
        <f>'Ед. Цени'!E31</f>
        <v>59.3</v>
      </c>
      <c r="G35" s="83">
        <f t="shared" si="3"/>
        <v>59.3</v>
      </c>
      <c r="J35" s="6">
        <v>1</v>
      </c>
      <c r="K35" s="120">
        <f t="shared" si="1"/>
        <v>0</v>
      </c>
    </row>
    <row r="36" spans="1:11" ht="30" x14ac:dyDescent="0.25">
      <c r="A36" s="4">
        <v>29</v>
      </c>
      <c r="B36" s="102" t="s">
        <v>174</v>
      </c>
      <c r="C36" s="34" t="s">
        <v>23</v>
      </c>
      <c r="D36" s="36" t="s">
        <v>13</v>
      </c>
      <c r="E36" s="86">
        <v>1</v>
      </c>
      <c r="F36" s="92">
        <f>'Ед. Цени'!E32</f>
        <v>190.15</v>
      </c>
      <c r="G36" s="83">
        <f t="shared" si="3"/>
        <v>190.15</v>
      </c>
      <c r="J36" s="6">
        <v>1</v>
      </c>
      <c r="K36" s="120">
        <f t="shared" si="1"/>
        <v>0</v>
      </c>
    </row>
    <row r="37" spans="1:11" ht="30" x14ac:dyDescent="0.25">
      <c r="A37" s="4">
        <v>30</v>
      </c>
      <c r="B37" s="102" t="s">
        <v>175</v>
      </c>
      <c r="C37" s="34" t="s">
        <v>24</v>
      </c>
      <c r="D37" s="36" t="s">
        <v>13</v>
      </c>
      <c r="E37" s="86">
        <v>2</v>
      </c>
      <c r="F37" s="92">
        <f>'Ед. Цени'!E33</f>
        <v>159.9</v>
      </c>
      <c r="G37" s="83">
        <f t="shared" si="3"/>
        <v>319.8</v>
      </c>
      <c r="J37" s="6">
        <v>2</v>
      </c>
      <c r="K37" s="120">
        <f t="shared" si="1"/>
        <v>0</v>
      </c>
    </row>
    <row r="38" spans="1:11" ht="30" x14ac:dyDescent="0.25">
      <c r="A38" s="4">
        <v>31</v>
      </c>
      <c r="B38" s="102" t="s">
        <v>176</v>
      </c>
      <c r="C38" s="34" t="s">
        <v>110</v>
      </c>
      <c r="D38" s="36" t="s">
        <v>13</v>
      </c>
      <c r="E38" s="86">
        <v>2</v>
      </c>
      <c r="F38" s="92">
        <f>'Ед. Цени'!E34</f>
        <v>53.17</v>
      </c>
      <c r="G38" s="83">
        <f t="shared" si="3"/>
        <v>106.34</v>
      </c>
      <c r="J38" s="6">
        <v>2</v>
      </c>
      <c r="K38" s="120">
        <f t="shared" si="1"/>
        <v>0</v>
      </c>
    </row>
    <row r="39" spans="1:11" ht="30" x14ac:dyDescent="0.25">
      <c r="A39" s="4">
        <v>32</v>
      </c>
      <c r="B39" s="102" t="s">
        <v>177</v>
      </c>
      <c r="C39" s="34" t="s">
        <v>111</v>
      </c>
      <c r="D39" s="36" t="s">
        <v>13</v>
      </c>
      <c r="E39" s="86">
        <v>2</v>
      </c>
      <c r="F39" s="92">
        <f>'Ед. Цени'!E35</f>
        <v>44.76</v>
      </c>
      <c r="G39" s="83">
        <f t="shared" si="3"/>
        <v>89.52</v>
      </c>
      <c r="J39" s="6">
        <v>2</v>
      </c>
      <c r="K39" s="120">
        <f t="shared" si="1"/>
        <v>0</v>
      </c>
    </row>
    <row r="40" spans="1:11" ht="30" x14ac:dyDescent="0.25">
      <c r="A40" s="4">
        <v>33</v>
      </c>
      <c r="B40" s="102" t="s">
        <v>178</v>
      </c>
      <c r="C40" s="34" t="s">
        <v>105</v>
      </c>
      <c r="D40" s="36" t="s">
        <v>13</v>
      </c>
      <c r="E40" s="86">
        <v>2</v>
      </c>
      <c r="F40" s="92">
        <f>'Ед. Цени'!E36</f>
        <v>58.86</v>
      </c>
      <c r="G40" s="83">
        <f t="shared" si="3"/>
        <v>117.72</v>
      </c>
      <c r="J40" s="6">
        <v>2</v>
      </c>
      <c r="K40" s="120">
        <f t="shared" si="1"/>
        <v>0</v>
      </c>
    </row>
    <row r="41" spans="1:11" ht="30" x14ac:dyDescent="0.25">
      <c r="A41" s="4">
        <v>34</v>
      </c>
      <c r="B41" s="102" t="s">
        <v>179</v>
      </c>
      <c r="C41" s="34" t="s">
        <v>106</v>
      </c>
      <c r="D41" s="36" t="s">
        <v>13</v>
      </c>
      <c r="E41" s="86">
        <v>2</v>
      </c>
      <c r="F41" s="92">
        <f>'Ед. Цени'!E37</f>
        <v>49.72</v>
      </c>
      <c r="G41" s="83">
        <f t="shared" si="3"/>
        <v>99.44</v>
      </c>
      <c r="J41" s="6">
        <v>2</v>
      </c>
      <c r="K41" s="120">
        <f t="shared" si="1"/>
        <v>0</v>
      </c>
    </row>
    <row r="42" spans="1:11" ht="30" x14ac:dyDescent="0.25">
      <c r="A42" s="4">
        <v>35</v>
      </c>
      <c r="B42" s="102" t="s">
        <v>180</v>
      </c>
      <c r="C42" s="34" t="s">
        <v>25</v>
      </c>
      <c r="D42" s="36" t="s">
        <v>13</v>
      </c>
      <c r="E42" s="86">
        <v>1</v>
      </c>
      <c r="F42" s="92">
        <f>'Ед. Цени'!E38</f>
        <v>2220.5300000000002</v>
      </c>
      <c r="G42" s="83">
        <f t="shared" si="3"/>
        <v>2220.5300000000002</v>
      </c>
      <c r="J42" s="6">
        <v>1</v>
      </c>
      <c r="K42" s="120">
        <f t="shared" si="1"/>
        <v>0</v>
      </c>
    </row>
    <row r="43" spans="1:11" ht="30" x14ac:dyDescent="0.25">
      <c r="A43" s="4">
        <v>36</v>
      </c>
      <c r="B43" s="102" t="s">
        <v>181</v>
      </c>
      <c r="C43" s="34" t="s">
        <v>26</v>
      </c>
      <c r="D43" s="36" t="s">
        <v>13</v>
      </c>
      <c r="E43" s="86">
        <v>1</v>
      </c>
      <c r="F43" s="92">
        <f>'Ед. Цени'!E39</f>
        <v>1343.28</v>
      </c>
      <c r="G43" s="83">
        <f t="shared" si="3"/>
        <v>1343.28</v>
      </c>
      <c r="J43" s="6">
        <v>1</v>
      </c>
      <c r="K43" s="120">
        <f t="shared" si="1"/>
        <v>0</v>
      </c>
    </row>
    <row r="44" spans="1:11" ht="30" x14ac:dyDescent="0.25">
      <c r="A44" s="4">
        <v>37</v>
      </c>
      <c r="B44" s="102" t="s">
        <v>182</v>
      </c>
      <c r="C44" s="34" t="s">
        <v>40</v>
      </c>
      <c r="D44" s="36" t="s">
        <v>13</v>
      </c>
      <c r="E44" s="86">
        <v>3</v>
      </c>
      <c r="F44" s="92">
        <f>'Ед. Цени'!E40</f>
        <v>150.22</v>
      </c>
      <c r="G44" s="83">
        <f t="shared" si="3"/>
        <v>450.66</v>
      </c>
      <c r="J44" s="6">
        <v>3</v>
      </c>
      <c r="K44" s="120">
        <f t="shared" si="1"/>
        <v>0</v>
      </c>
    </row>
    <row r="45" spans="1:11" ht="30" x14ac:dyDescent="0.25">
      <c r="A45" s="4">
        <v>38</v>
      </c>
      <c r="B45" s="102" t="s">
        <v>183</v>
      </c>
      <c r="C45" s="34" t="s">
        <v>41</v>
      </c>
      <c r="D45" s="36" t="s">
        <v>13</v>
      </c>
      <c r="E45" s="86">
        <v>17</v>
      </c>
      <c r="F45" s="92">
        <f>'Ед. Цени'!E41</f>
        <v>73.91</v>
      </c>
      <c r="G45" s="83">
        <f t="shared" si="3"/>
        <v>1256.47</v>
      </c>
      <c r="J45" s="6">
        <v>17</v>
      </c>
      <c r="K45" s="120">
        <f t="shared" si="1"/>
        <v>0</v>
      </c>
    </row>
    <row r="46" spans="1:11" ht="30" x14ac:dyDescent="0.25">
      <c r="A46" s="4">
        <v>39</v>
      </c>
      <c r="B46" s="102" t="s">
        <v>184</v>
      </c>
      <c r="C46" s="2" t="s">
        <v>74</v>
      </c>
      <c r="D46" s="36" t="s">
        <v>13</v>
      </c>
      <c r="E46" s="86">
        <v>2</v>
      </c>
      <c r="F46" s="92">
        <f>'Ед. Цени'!E42</f>
        <v>222.82</v>
      </c>
      <c r="G46" s="83">
        <f t="shared" si="3"/>
        <v>445.64</v>
      </c>
      <c r="J46" s="6">
        <v>2</v>
      </c>
      <c r="K46" s="120">
        <f t="shared" si="1"/>
        <v>0</v>
      </c>
    </row>
    <row r="47" spans="1:11" ht="30" x14ac:dyDescent="0.25">
      <c r="A47" s="4">
        <v>40</v>
      </c>
      <c r="B47" s="102" t="s">
        <v>185</v>
      </c>
      <c r="C47" s="2" t="s">
        <v>75</v>
      </c>
      <c r="D47" s="36" t="s">
        <v>13</v>
      </c>
      <c r="E47" s="86">
        <v>1</v>
      </c>
      <c r="F47" s="92">
        <f>'Ед. Цени'!E43</f>
        <v>256.7</v>
      </c>
      <c r="G47" s="83">
        <f t="shared" si="3"/>
        <v>256.7</v>
      </c>
      <c r="J47" s="6">
        <v>1</v>
      </c>
      <c r="K47" s="120">
        <f t="shared" si="1"/>
        <v>0</v>
      </c>
    </row>
    <row r="48" spans="1:11" ht="30" x14ac:dyDescent="0.25">
      <c r="A48" s="4">
        <v>41</v>
      </c>
      <c r="B48" s="102" t="s">
        <v>186</v>
      </c>
      <c r="C48" s="2" t="s">
        <v>76</v>
      </c>
      <c r="D48" s="36" t="s">
        <v>13</v>
      </c>
      <c r="E48" s="86">
        <v>1</v>
      </c>
      <c r="F48" s="92">
        <f>'Ед. Цени'!E44</f>
        <v>151.43</v>
      </c>
      <c r="G48" s="83">
        <f t="shared" si="3"/>
        <v>151.43</v>
      </c>
      <c r="J48" s="6">
        <v>1</v>
      </c>
      <c r="K48" s="120">
        <f t="shared" si="1"/>
        <v>0</v>
      </c>
    </row>
    <row r="49" spans="1:11" ht="30" x14ac:dyDescent="0.25">
      <c r="A49" s="4">
        <v>42</v>
      </c>
      <c r="B49" s="102" t="s">
        <v>187</v>
      </c>
      <c r="C49" s="2" t="s">
        <v>77</v>
      </c>
      <c r="D49" s="36" t="s">
        <v>13</v>
      </c>
      <c r="E49" s="86">
        <v>2</v>
      </c>
      <c r="F49" s="92">
        <f>'Ед. Цени'!E45</f>
        <v>121.18</v>
      </c>
      <c r="G49" s="83">
        <f t="shared" si="3"/>
        <v>242.36</v>
      </c>
      <c r="J49" s="6">
        <v>2</v>
      </c>
      <c r="K49" s="120">
        <f t="shared" si="1"/>
        <v>0</v>
      </c>
    </row>
    <row r="50" spans="1:11" ht="30" x14ac:dyDescent="0.25">
      <c r="A50" s="4">
        <v>43</v>
      </c>
      <c r="B50" s="102" t="s">
        <v>188</v>
      </c>
      <c r="C50" s="2" t="s">
        <v>78</v>
      </c>
      <c r="D50" s="36" t="s">
        <v>13</v>
      </c>
      <c r="E50" s="86">
        <v>2</v>
      </c>
      <c r="F50" s="92">
        <f>'Ед. Цени'!E46</f>
        <v>105.45</v>
      </c>
      <c r="G50" s="83">
        <f t="shared" si="3"/>
        <v>210.9</v>
      </c>
      <c r="J50" s="6">
        <v>2</v>
      </c>
      <c r="K50" s="120">
        <f t="shared" si="1"/>
        <v>0</v>
      </c>
    </row>
    <row r="51" spans="1:11" ht="30" x14ac:dyDescent="0.25">
      <c r="A51" s="4">
        <v>44</v>
      </c>
      <c r="B51" s="102" t="s">
        <v>189</v>
      </c>
      <c r="C51" s="2" t="s">
        <v>79</v>
      </c>
      <c r="D51" s="36" t="s">
        <v>13</v>
      </c>
      <c r="E51" s="86">
        <v>2</v>
      </c>
      <c r="F51" s="92">
        <f>'Ед. Цени'!E47</f>
        <v>107.87</v>
      </c>
      <c r="G51" s="83">
        <f t="shared" si="3"/>
        <v>215.74</v>
      </c>
      <c r="J51" s="6">
        <v>2</v>
      </c>
      <c r="K51" s="120">
        <f t="shared" si="1"/>
        <v>0</v>
      </c>
    </row>
    <row r="52" spans="1:11" ht="30" x14ac:dyDescent="0.25">
      <c r="A52" s="4">
        <v>45</v>
      </c>
      <c r="B52" s="102" t="s">
        <v>190</v>
      </c>
      <c r="C52" s="2" t="s">
        <v>80</v>
      </c>
      <c r="D52" s="36" t="s">
        <v>13</v>
      </c>
      <c r="E52" s="86">
        <v>2</v>
      </c>
      <c r="F52" s="92">
        <f>'Ед. Цени'!E48</f>
        <v>75.2</v>
      </c>
      <c r="G52" s="83">
        <f t="shared" si="3"/>
        <v>150.4</v>
      </c>
      <c r="J52" s="6">
        <v>2</v>
      </c>
      <c r="K52" s="120">
        <f t="shared" si="1"/>
        <v>0</v>
      </c>
    </row>
    <row r="53" spans="1:11" ht="30" x14ac:dyDescent="0.25">
      <c r="A53" s="4">
        <v>46</v>
      </c>
      <c r="B53" s="102" t="s">
        <v>191</v>
      </c>
      <c r="C53" s="2" t="s">
        <v>81</v>
      </c>
      <c r="D53" s="36" t="s">
        <v>44</v>
      </c>
      <c r="E53" s="86">
        <v>0.5</v>
      </c>
      <c r="F53" s="92">
        <f>'Ед. Цени'!E49</f>
        <v>45.93</v>
      </c>
      <c r="G53" s="83">
        <f t="shared" si="3"/>
        <v>22.97</v>
      </c>
      <c r="J53" s="6">
        <v>0.5</v>
      </c>
      <c r="K53" s="120">
        <f t="shared" si="1"/>
        <v>0</v>
      </c>
    </row>
    <row r="54" spans="1:11" ht="30" x14ac:dyDescent="0.25">
      <c r="A54" s="4">
        <v>47</v>
      </c>
      <c r="B54" s="102" t="s">
        <v>192</v>
      </c>
      <c r="C54" s="2" t="s">
        <v>82</v>
      </c>
      <c r="D54" s="36" t="s">
        <v>13</v>
      </c>
      <c r="E54" s="86">
        <v>1</v>
      </c>
      <c r="F54" s="92">
        <f>'Ед. Цени'!E50</f>
        <v>81.44</v>
      </c>
      <c r="G54" s="83">
        <f t="shared" si="3"/>
        <v>81.44</v>
      </c>
      <c r="J54" s="6">
        <v>1</v>
      </c>
      <c r="K54" s="120">
        <f t="shared" si="1"/>
        <v>0</v>
      </c>
    </row>
    <row r="55" spans="1:11" ht="30" x14ac:dyDescent="0.25">
      <c r="A55" s="4">
        <v>48</v>
      </c>
      <c r="B55" s="102" t="s">
        <v>193</v>
      </c>
      <c r="C55" s="2" t="s">
        <v>83</v>
      </c>
      <c r="D55" s="36" t="s">
        <v>13</v>
      </c>
      <c r="E55" s="86">
        <v>1</v>
      </c>
      <c r="F55" s="92">
        <f>'Ед. Цени'!E51</f>
        <v>73.22</v>
      </c>
      <c r="G55" s="83">
        <f t="shared" si="3"/>
        <v>73.22</v>
      </c>
      <c r="J55" s="6">
        <v>1</v>
      </c>
      <c r="K55" s="120">
        <f t="shared" si="1"/>
        <v>0</v>
      </c>
    </row>
    <row r="56" spans="1:11" ht="30" x14ac:dyDescent="0.25">
      <c r="A56" s="4">
        <v>49</v>
      </c>
      <c r="B56" s="102" t="s">
        <v>194</v>
      </c>
      <c r="C56" s="34" t="s">
        <v>89</v>
      </c>
      <c r="D56" s="18" t="s">
        <v>59</v>
      </c>
      <c r="E56" s="86">
        <v>1</v>
      </c>
      <c r="F56" s="92">
        <f>'Ед. Цени'!E52</f>
        <v>146.72999999999999</v>
      </c>
      <c r="G56" s="83">
        <f t="shared" si="3"/>
        <v>146.72999999999999</v>
      </c>
      <c r="J56" s="6">
        <v>1</v>
      </c>
      <c r="K56" s="120">
        <f t="shared" si="1"/>
        <v>0</v>
      </c>
    </row>
    <row r="57" spans="1:11" x14ac:dyDescent="0.25">
      <c r="A57" s="18"/>
      <c r="B57" s="18"/>
      <c r="C57" s="35"/>
      <c r="D57" s="18"/>
      <c r="E57" s="86"/>
      <c r="F57" s="86"/>
      <c r="G57" s="85"/>
      <c r="K57" s="120">
        <f t="shared" si="1"/>
        <v>0</v>
      </c>
    </row>
    <row r="58" spans="1:11" ht="34.5" customHeight="1" x14ac:dyDescent="0.25">
      <c r="A58" s="130" t="s">
        <v>128</v>
      </c>
      <c r="B58" s="131"/>
      <c r="C58" s="131"/>
      <c r="D58" s="131"/>
      <c r="E58" s="131"/>
      <c r="F58" s="131"/>
      <c r="G58" s="132"/>
      <c r="K58" s="120">
        <f t="shared" si="1"/>
        <v>0</v>
      </c>
    </row>
    <row r="59" spans="1:11" s="45" customFormat="1" ht="45" x14ac:dyDescent="0.25">
      <c r="A59" s="76">
        <v>50</v>
      </c>
      <c r="B59" s="102" t="s">
        <v>195</v>
      </c>
      <c r="C59" s="22" t="s">
        <v>97</v>
      </c>
      <c r="D59" s="23" t="s">
        <v>5</v>
      </c>
      <c r="E59" s="90">
        <v>181.25</v>
      </c>
      <c r="F59" s="92">
        <f>'Ед. Цени'!E53</f>
        <v>4.0199999999999996</v>
      </c>
      <c r="G59" s="83">
        <f>ROUND(E59*F59,2)</f>
        <v>728.63</v>
      </c>
      <c r="J59" s="45">
        <v>181.25</v>
      </c>
      <c r="K59" s="120">
        <f t="shared" si="1"/>
        <v>0</v>
      </c>
    </row>
    <row r="60" spans="1:11" s="45" customFormat="1" ht="45" x14ac:dyDescent="0.25">
      <c r="A60" s="76">
        <v>51</v>
      </c>
      <c r="B60" s="102" t="s">
        <v>196</v>
      </c>
      <c r="C60" s="19" t="s">
        <v>17</v>
      </c>
      <c r="D60" s="20" t="s">
        <v>13</v>
      </c>
      <c r="E60" s="90">
        <v>29</v>
      </c>
      <c r="F60" s="92">
        <f>'Ед. Цени'!E54</f>
        <v>122.14</v>
      </c>
      <c r="G60" s="83">
        <f>ROUND(E60*F60,2)</f>
        <v>3542.06</v>
      </c>
      <c r="J60" s="45">
        <v>29</v>
      </c>
      <c r="K60" s="120">
        <f t="shared" si="1"/>
        <v>0</v>
      </c>
    </row>
    <row r="61" spans="1:11" s="45" customFormat="1" ht="60" x14ac:dyDescent="0.25">
      <c r="A61" s="76">
        <v>52</v>
      </c>
      <c r="B61" s="102" t="s">
        <v>197</v>
      </c>
      <c r="C61" s="19" t="s">
        <v>28</v>
      </c>
      <c r="D61" s="20" t="s">
        <v>13</v>
      </c>
      <c r="E61" s="90">
        <v>29</v>
      </c>
      <c r="F61" s="92">
        <f>'Ед. Цени'!E55</f>
        <v>68.010000000000005</v>
      </c>
      <c r="G61" s="83">
        <f>ROUND(E61*F61,2)</f>
        <v>1972.29</v>
      </c>
      <c r="J61" s="45">
        <v>29</v>
      </c>
      <c r="K61" s="120">
        <f t="shared" si="1"/>
        <v>0</v>
      </c>
    </row>
    <row r="62" spans="1:11" s="45" customFormat="1" x14ac:dyDescent="0.25">
      <c r="A62" s="76">
        <v>53</v>
      </c>
      <c r="B62" s="102" t="s">
        <v>198</v>
      </c>
      <c r="C62" s="19" t="s">
        <v>72</v>
      </c>
      <c r="D62" s="20" t="s">
        <v>13</v>
      </c>
      <c r="E62" s="90">
        <v>29</v>
      </c>
      <c r="F62" s="92">
        <f>'Ед. Цени'!E56</f>
        <v>6.85</v>
      </c>
      <c r="G62" s="83">
        <f>ROUND(E62*F62,2)</f>
        <v>198.65</v>
      </c>
      <c r="J62" s="45">
        <v>29</v>
      </c>
      <c r="K62" s="120">
        <f t="shared" si="1"/>
        <v>0</v>
      </c>
    </row>
    <row r="63" spans="1:11" s="45" customFormat="1" x14ac:dyDescent="0.25">
      <c r="A63" s="76">
        <v>54</v>
      </c>
      <c r="B63" s="102" t="s">
        <v>199</v>
      </c>
      <c r="C63" s="22" t="s">
        <v>131</v>
      </c>
      <c r="D63" s="23" t="s">
        <v>59</v>
      </c>
      <c r="E63" s="90">
        <v>116</v>
      </c>
      <c r="F63" s="92">
        <f>'Ед. Цени'!E57</f>
        <v>2.48</v>
      </c>
      <c r="G63" s="83">
        <f>ROUND(E63*F63,2)</f>
        <v>287.68</v>
      </c>
      <c r="J63" s="45">
        <v>116</v>
      </c>
      <c r="K63" s="120">
        <f t="shared" si="1"/>
        <v>0</v>
      </c>
    </row>
    <row r="64" spans="1:11" ht="34.5" customHeight="1" x14ac:dyDescent="0.25">
      <c r="A64" s="130" t="s">
        <v>120</v>
      </c>
      <c r="B64" s="131"/>
      <c r="C64" s="131"/>
      <c r="D64" s="131"/>
      <c r="E64" s="131"/>
      <c r="F64" s="131"/>
      <c r="G64" s="132"/>
      <c r="K64" s="120">
        <f t="shared" si="1"/>
        <v>0</v>
      </c>
    </row>
    <row r="65" spans="1:11" x14ac:dyDescent="0.25">
      <c r="A65" s="75">
        <v>55</v>
      </c>
      <c r="B65" s="102" t="s">
        <v>200</v>
      </c>
      <c r="C65" s="2" t="s">
        <v>42</v>
      </c>
      <c r="D65" s="1" t="s">
        <v>46</v>
      </c>
      <c r="E65" s="86">
        <v>670.88</v>
      </c>
      <c r="F65" s="92">
        <f>'Ед. Цени'!E58</f>
        <v>31.11</v>
      </c>
      <c r="G65" s="83">
        <f t="shared" ref="G65:G73" si="4">ROUND(E65*F65,2)</f>
        <v>20871.080000000002</v>
      </c>
      <c r="J65" s="6">
        <v>670.88</v>
      </c>
      <c r="K65" s="120">
        <f t="shared" si="1"/>
        <v>0</v>
      </c>
    </row>
    <row r="66" spans="1:11" ht="30" x14ac:dyDescent="0.25">
      <c r="A66" s="75">
        <v>56</v>
      </c>
      <c r="B66" s="102" t="s">
        <v>201</v>
      </c>
      <c r="C66" s="2" t="s">
        <v>50</v>
      </c>
      <c r="D66" s="1" t="s">
        <v>46</v>
      </c>
      <c r="E66" s="86">
        <v>670.88</v>
      </c>
      <c r="F66" s="92">
        <f>'Ед. Цени'!E59</f>
        <v>4</v>
      </c>
      <c r="G66" s="83">
        <f t="shared" si="4"/>
        <v>2683.52</v>
      </c>
      <c r="J66" s="6">
        <v>670.88</v>
      </c>
      <c r="K66" s="120">
        <f t="shared" si="1"/>
        <v>0</v>
      </c>
    </row>
    <row r="67" spans="1:11" ht="30" x14ac:dyDescent="0.25">
      <c r="A67" s="75">
        <v>57</v>
      </c>
      <c r="B67" s="102" t="s">
        <v>202</v>
      </c>
      <c r="C67" s="24" t="s">
        <v>10</v>
      </c>
      <c r="D67" s="1" t="s">
        <v>46</v>
      </c>
      <c r="E67" s="86">
        <v>235.73</v>
      </c>
      <c r="F67" s="92">
        <f>'Ед. Цени'!E60</f>
        <v>31.11</v>
      </c>
      <c r="G67" s="83">
        <f t="shared" si="4"/>
        <v>7333.56</v>
      </c>
      <c r="J67" s="6">
        <v>235.73</v>
      </c>
      <c r="K67" s="120">
        <f t="shared" si="1"/>
        <v>0</v>
      </c>
    </row>
    <row r="68" spans="1:11" ht="30" x14ac:dyDescent="0.25">
      <c r="A68" s="75">
        <v>58</v>
      </c>
      <c r="B68" s="102" t="s">
        <v>203</v>
      </c>
      <c r="C68" s="25" t="s">
        <v>9</v>
      </c>
      <c r="D68" s="1" t="s">
        <v>46</v>
      </c>
      <c r="E68" s="86">
        <v>101.03</v>
      </c>
      <c r="F68" s="92">
        <f>'Ед. Цени'!E61</f>
        <v>31.11</v>
      </c>
      <c r="G68" s="83">
        <f t="shared" si="4"/>
        <v>3143.04</v>
      </c>
      <c r="J68" s="6">
        <v>101.03</v>
      </c>
      <c r="K68" s="120">
        <f t="shared" si="1"/>
        <v>0</v>
      </c>
    </row>
    <row r="69" spans="1:11" ht="45" x14ac:dyDescent="0.25">
      <c r="A69" s="75">
        <v>59</v>
      </c>
      <c r="B69" s="102" t="s">
        <v>204</v>
      </c>
      <c r="C69" s="26" t="s">
        <v>7</v>
      </c>
      <c r="D69" s="27" t="s">
        <v>8</v>
      </c>
      <c r="E69" s="86">
        <v>78.02</v>
      </c>
      <c r="F69" s="92">
        <f>'Ед. Цени'!E62</f>
        <v>125.82</v>
      </c>
      <c r="G69" s="83">
        <f t="shared" si="4"/>
        <v>9816.48</v>
      </c>
      <c r="J69" s="6">
        <v>78.02</v>
      </c>
      <c r="K69" s="120">
        <f t="shared" si="1"/>
        <v>0</v>
      </c>
    </row>
    <row r="70" spans="1:11" ht="45" x14ac:dyDescent="0.25">
      <c r="A70" s="75">
        <v>60</v>
      </c>
      <c r="B70" s="102" t="s">
        <v>205</v>
      </c>
      <c r="C70" s="26" t="s">
        <v>93</v>
      </c>
      <c r="D70" s="27" t="s">
        <v>8</v>
      </c>
      <c r="E70" s="86">
        <v>78.02</v>
      </c>
      <c r="F70" s="92">
        <f>'Ед. Цени'!E63</f>
        <v>129.44999999999999</v>
      </c>
      <c r="G70" s="83">
        <f t="shared" si="4"/>
        <v>10099.69</v>
      </c>
      <c r="J70" s="6">
        <v>78.02</v>
      </c>
      <c r="K70" s="120">
        <f t="shared" ref="K70:K76" si="5">E70-J70</f>
        <v>0</v>
      </c>
    </row>
    <row r="71" spans="1:11" ht="30" x14ac:dyDescent="0.25">
      <c r="A71" s="75">
        <v>61</v>
      </c>
      <c r="B71" s="102" t="s">
        <v>206</v>
      </c>
      <c r="C71" s="2" t="s">
        <v>51</v>
      </c>
      <c r="D71" s="1" t="s">
        <v>46</v>
      </c>
      <c r="E71" s="86">
        <v>1612.99</v>
      </c>
      <c r="F71" s="92">
        <f>'Ед. Цени'!E64</f>
        <v>3.78</v>
      </c>
      <c r="G71" s="83">
        <f t="shared" si="4"/>
        <v>6097.1</v>
      </c>
      <c r="J71" s="6">
        <v>1612.99</v>
      </c>
      <c r="K71" s="120">
        <f t="shared" si="5"/>
        <v>0</v>
      </c>
    </row>
    <row r="72" spans="1:11" x14ac:dyDescent="0.25">
      <c r="A72" s="75">
        <v>62</v>
      </c>
      <c r="B72" s="102" t="s">
        <v>207</v>
      </c>
      <c r="C72" s="2" t="s">
        <v>11</v>
      </c>
      <c r="D72" s="3" t="s">
        <v>46</v>
      </c>
      <c r="E72" s="86">
        <v>1612.99</v>
      </c>
      <c r="F72" s="92">
        <f>'Ед. Цени'!E65</f>
        <v>2.48</v>
      </c>
      <c r="G72" s="83">
        <f t="shared" si="4"/>
        <v>4000.22</v>
      </c>
      <c r="J72" s="6">
        <v>1612.99</v>
      </c>
      <c r="K72" s="120">
        <f t="shared" si="5"/>
        <v>0</v>
      </c>
    </row>
    <row r="73" spans="1:11" ht="30" x14ac:dyDescent="0.25">
      <c r="A73" s="75">
        <v>63</v>
      </c>
      <c r="B73" s="102" t="s">
        <v>208</v>
      </c>
      <c r="C73" s="39" t="s">
        <v>96</v>
      </c>
      <c r="D73" s="40" t="s">
        <v>52</v>
      </c>
      <c r="E73" s="86">
        <v>975.3</v>
      </c>
      <c r="F73" s="92">
        <f>'Ед. Цени'!E66</f>
        <v>6.53</v>
      </c>
      <c r="G73" s="83">
        <f t="shared" si="4"/>
        <v>6368.71</v>
      </c>
      <c r="J73" s="6">
        <v>975.3</v>
      </c>
      <c r="K73" s="120">
        <f t="shared" si="5"/>
        <v>0</v>
      </c>
    </row>
    <row r="74" spans="1:11" ht="34.5" customHeight="1" x14ac:dyDescent="0.25">
      <c r="A74" s="130" t="s">
        <v>53</v>
      </c>
      <c r="B74" s="131"/>
      <c r="C74" s="131"/>
      <c r="D74" s="131"/>
      <c r="E74" s="131"/>
      <c r="F74" s="131"/>
      <c r="G74" s="132"/>
      <c r="K74" s="120">
        <f t="shared" si="5"/>
        <v>0</v>
      </c>
    </row>
    <row r="75" spans="1:11" x14ac:dyDescent="0.25">
      <c r="A75" s="75">
        <v>64</v>
      </c>
      <c r="B75" s="102" t="s">
        <v>209</v>
      </c>
      <c r="C75" s="26" t="s">
        <v>15</v>
      </c>
      <c r="D75" s="27" t="s">
        <v>5</v>
      </c>
      <c r="E75" s="86">
        <v>645.25</v>
      </c>
      <c r="F75" s="92">
        <f>'Ед. Цени'!E67</f>
        <v>1.36</v>
      </c>
      <c r="G75" s="83">
        <f>ROUND(E75*F75,2)</f>
        <v>877.54</v>
      </c>
      <c r="J75" s="6">
        <v>645.25</v>
      </c>
      <c r="K75" s="120">
        <f t="shared" si="5"/>
        <v>0</v>
      </c>
    </row>
    <row r="76" spans="1:11" x14ac:dyDescent="0.25">
      <c r="A76" s="75">
        <v>65</v>
      </c>
      <c r="B76" s="102" t="s">
        <v>210</v>
      </c>
      <c r="C76" s="26" t="s">
        <v>16</v>
      </c>
      <c r="D76" s="27" t="s">
        <v>5</v>
      </c>
      <c r="E76" s="86">
        <v>645.25</v>
      </c>
      <c r="F76" s="92">
        <f>'Ед. Цени'!E68</f>
        <v>1.49</v>
      </c>
      <c r="G76" s="83">
        <f>ROUND(E76*F76,2)</f>
        <v>961.42</v>
      </c>
      <c r="J76" s="6">
        <v>645.25</v>
      </c>
      <c r="K76" s="120">
        <f t="shared" si="5"/>
        <v>0</v>
      </c>
    </row>
    <row r="77" spans="1:11" x14ac:dyDescent="0.25">
      <c r="A77" s="75"/>
      <c r="B77" s="75"/>
      <c r="C77" s="7"/>
      <c r="D77" s="8"/>
      <c r="E77" s="84"/>
      <c r="F77" s="84"/>
      <c r="G77" s="85"/>
    </row>
    <row r="78" spans="1:11" x14ac:dyDescent="0.25">
      <c r="A78" s="75"/>
      <c r="B78" s="75"/>
      <c r="C78" s="7"/>
      <c r="D78" s="8"/>
      <c r="E78" s="84"/>
      <c r="F78" s="84"/>
      <c r="G78" s="85"/>
      <c r="K78" s="121">
        <f>SUM(K5:K77)</f>
        <v>0</v>
      </c>
    </row>
    <row r="79" spans="1:11" x14ac:dyDescent="0.25">
      <c r="A79" s="78"/>
      <c r="B79" s="78"/>
      <c r="C79" s="9"/>
      <c r="D79" s="10"/>
      <c r="E79" s="128"/>
      <c r="F79" s="129"/>
      <c r="G79" s="81">
        <f>SUM(G5:G78)</f>
        <v>125964.65000000001</v>
      </c>
    </row>
    <row r="80" spans="1:11" x14ac:dyDescent="0.25">
      <c r="A80" s="78"/>
      <c r="B80" s="78"/>
      <c r="C80" s="9"/>
      <c r="D80" s="10"/>
      <c r="E80" s="128"/>
      <c r="F80" s="129"/>
      <c r="G80" s="81">
        <f>0.2*G79</f>
        <v>25192.930000000004</v>
      </c>
    </row>
    <row r="81" spans="1:10" x14ac:dyDescent="0.25">
      <c r="A81" s="78"/>
      <c r="B81" s="78"/>
      <c r="C81" s="9"/>
      <c r="D81" s="10"/>
      <c r="E81" s="126" t="s">
        <v>95</v>
      </c>
      <c r="F81" s="127"/>
      <c r="G81" s="81">
        <f>G79+G80</f>
        <v>151157.58000000002</v>
      </c>
      <c r="J81" s="6" t="s">
        <v>95</v>
      </c>
    </row>
  </sheetData>
  <autoFilter ref="A2:G81"/>
  <mergeCells count="11">
    <mergeCell ref="A3:G3"/>
    <mergeCell ref="A4:G4"/>
    <mergeCell ref="A17:G17"/>
    <mergeCell ref="A27:G27"/>
    <mergeCell ref="A1:G1"/>
    <mergeCell ref="E81:F81"/>
    <mergeCell ref="E79:F79"/>
    <mergeCell ref="E80:F80"/>
    <mergeCell ref="A58:G58"/>
    <mergeCell ref="A64:G64"/>
    <mergeCell ref="A74:G74"/>
  </mergeCells>
  <pageMargins left="0.39" right="0.24" top="0.37" bottom="0.28999999999999998" header="0.3" footer="0.3"/>
  <pageSetup paperSize="9" scale="7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view="pageBreakPreview" zoomScaleNormal="85" zoomScaleSheetLayoutView="100" workbookViewId="0">
      <pane ySplit="1" topLeftCell="A20" activePane="bottomLeft" state="frozen"/>
      <selection pane="bottomLeft" activeCell="B9" sqref="B9"/>
    </sheetView>
  </sheetViews>
  <sheetFormatPr defaultColWidth="9.140625" defaultRowHeight="15" x14ac:dyDescent="0.25"/>
  <cols>
    <col min="1" max="1" width="9" style="79" customWidth="1"/>
    <col min="2" max="2" width="16.85546875" style="79" customWidth="1"/>
    <col min="3" max="3" width="37.85546875" style="11" customWidth="1"/>
    <col min="4" max="4" width="6.5703125" style="30" customWidth="1"/>
    <col min="5" max="5" width="13.5703125" style="38" customWidth="1"/>
    <col min="6" max="6" width="9.5703125" style="94" bestFit="1" customWidth="1"/>
    <col min="7" max="7" width="12.28515625" style="42" customWidth="1"/>
    <col min="8" max="8" width="8.140625" style="6" customWidth="1"/>
    <col min="9" max="9" width="5.42578125" style="6" customWidth="1"/>
    <col min="10" max="10" width="7.140625" style="6" customWidth="1"/>
    <col min="11" max="11" width="7.5703125" style="6" customWidth="1"/>
    <col min="12" max="16384" width="9.140625" style="6"/>
  </cols>
  <sheetData>
    <row r="1" spans="1:10" ht="15" customHeight="1" thickBot="1" x14ac:dyDescent="0.3">
      <c r="A1" s="142" t="s">
        <v>113</v>
      </c>
      <c r="B1" s="142"/>
      <c r="C1" s="142"/>
      <c r="D1" s="142"/>
      <c r="E1" s="142"/>
      <c r="F1" s="142"/>
      <c r="G1" s="142"/>
    </row>
    <row r="2" spans="1:10" ht="15.75" thickBot="1" x14ac:dyDescent="0.3">
      <c r="A2" s="142"/>
      <c r="B2" s="142"/>
      <c r="C2" s="142"/>
      <c r="D2" s="142"/>
      <c r="E2" s="142"/>
      <c r="F2" s="142"/>
      <c r="G2" s="142"/>
    </row>
    <row r="3" spans="1:10" ht="36" thickBot="1" x14ac:dyDescent="0.3">
      <c r="A3" s="12" t="s">
        <v>0</v>
      </c>
      <c r="B3" s="100"/>
      <c r="C3" s="13" t="s">
        <v>1</v>
      </c>
      <c r="D3" s="14" t="s">
        <v>2</v>
      </c>
      <c r="E3" s="37" t="s">
        <v>3</v>
      </c>
      <c r="F3" s="91" t="s">
        <v>56</v>
      </c>
      <c r="G3" s="41" t="s">
        <v>57</v>
      </c>
      <c r="J3" s="6" t="s">
        <v>3</v>
      </c>
    </row>
    <row r="4" spans="1:10" x14ac:dyDescent="0.25">
      <c r="A4" s="133" t="s">
        <v>121</v>
      </c>
      <c r="B4" s="134"/>
      <c r="C4" s="134"/>
      <c r="D4" s="134"/>
      <c r="E4" s="134"/>
      <c r="F4" s="134"/>
      <c r="G4" s="135"/>
    </row>
    <row r="5" spans="1:10" x14ac:dyDescent="0.25">
      <c r="A5" s="136" t="s">
        <v>47</v>
      </c>
      <c r="B5" s="137"/>
      <c r="C5" s="137"/>
      <c r="D5" s="137"/>
      <c r="E5" s="137"/>
      <c r="F5" s="137"/>
      <c r="G5" s="138"/>
    </row>
    <row r="6" spans="1:10" x14ac:dyDescent="0.25">
      <c r="A6" s="18">
        <v>1</v>
      </c>
      <c r="B6" s="101" t="s">
        <v>147</v>
      </c>
      <c r="C6" s="17" t="s">
        <v>4</v>
      </c>
      <c r="D6" s="18" t="s">
        <v>44</v>
      </c>
      <c r="E6" s="82">
        <v>1214</v>
      </c>
      <c r="F6" s="92">
        <f>'Ед. Цени'!E4</f>
        <v>1.51</v>
      </c>
      <c r="G6" s="83">
        <f t="shared" ref="G6:G16" si="0">ROUND(E6*F6,2)</f>
        <v>1833.14</v>
      </c>
      <c r="J6" s="6">
        <v>1214</v>
      </c>
    </row>
    <row r="7" spans="1:10" ht="30" x14ac:dyDescent="0.25">
      <c r="A7" s="1">
        <v>2</v>
      </c>
      <c r="B7" s="102" t="s">
        <v>148</v>
      </c>
      <c r="C7" s="2" t="s">
        <v>43</v>
      </c>
      <c r="D7" s="1" t="s">
        <v>46</v>
      </c>
      <c r="E7" s="86">
        <v>46.62</v>
      </c>
      <c r="F7" s="92">
        <f>'Ед. Цени'!E5</f>
        <v>1.65</v>
      </c>
      <c r="G7" s="83">
        <f t="shared" si="0"/>
        <v>76.92</v>
      </c>
      <c r="J7" s="6">
        <v>46.62</v>
      </c>
    </row>
    <row r="8" spans="1:10" ht="30" x14ac:dyDescent="0.25">
      <c r="A8" s="1">
        <v>3</v>
      </c>
      <c r="B8" s="102" t="s">
        <v>149</v>
      </c>
      <c r="C8" s="2" t="s">
        <v>45</v>
      </c>
      <c r="D8" s="1" t="s">
        <v>46</v>
      </c>
      <c r="E8" s="86">
        <v>291.36</v>
      </c>
      <c r="F8" s="92">
        <f>'Ед. Цени'!E6</f>
        <v>1.38</v>
      </c>
      <c r="G8" s="83">
        <f t="shared" si="0"/>
        <v>402.08</v>
      </c>
      <c r="J8" s="6">
        <v>291.36</v>
      </c>
    </row>
    <row r="9" spans="1:10" x14ac:dyDescent="0.25">
      <c r="A9" s="75">
        <v>4</v>
      </c>
      <c r="B9" s="102"/>
      <c r="C9" s="106" t="s">
        <v>71</v>
      </c>
      <c r="D9" s="99"/>
      <c r="E9" s="86">
        <v>767.01</v>
      </c>
      <c r="F9" s="92"/>
      <c r="G9" s="83"/>
      <c r="J9" s="6">
        <v>767.01</v>
      </c>
    </row>
    <row r="10" spans="1:10" s="29" customFormat="1" ht="30" x14ac:dyDescent="0.25">
      <c r="A10" s="18">
        <v>5</v>
      </c>
      <c r="B10" s="102" t="s">
        <v>150</v>
      </c>
      <c r="C10" s="2" t="s">
        <v>115</v>
      </c>
      <c r="D10" s="1" t="s">
        <v>46</v>
      </c>
      <c r="E10" s="86">
        <v>575.25</v>
      </c>
      <c r="F10" s="92">
        <f>'Ед. Цени'!E8</f>
        <v>6.5</v>
      </c>
      <c r="G10" s="83">
        <f t="shared" si="0"/>
        <v>3739.13</v>
      </c>
      <c r="H10" s="32"/>
      <c r="I10" s="33"/>
      <c r="J10" s="33">
        <v>575.25</v>
      </c>
    </row>
    <row r="11" spans="1:10" x14ac:dyDescent="0.25">
      <c r="A11" s="1">
        <v>6</v>
      </c>
      <c r="B11" s="102" t="s">
        <v>151</v>
      </c>
      <c r="C11" s="2" t="s">
        <v>122</v>
      </c>
      <c r="D11" s="1" t="s">
        <v>46</v>
      </c>
      <c r="E11" s="86">
        <v>115.05</v>
      </c>
      <c r="F11" s="92">
        <f>'Ед. Цени'!E9</f>
        <v>12.28</v>
      </c>
      <c r="G11" s="83">
        <f t="shared" si="0"/>
        <v>1412.81</v>
      </c>
      <c r="J11" s="6">
        <v>115.05</v>
      </c>
    </row>
    <row r="12" spans="1:10" x14ac:dyDescent="0.25">
      <c r="A12" s="1">
        <v>7</v>
      </c>
      <c r="B12" s="102" t="s">
        <v>152</v>
      </c>
      <c r="C12" s="2" t="s">
        <v>123</v>
      </c>
      <c r="D12" s="1" t="s">
        <v>46</v>
      </c>
      <c r="E12" s="86">
        <v>76.7</v>
      </c>
      <c r="F12" s="92">
        <f>'Ед. Цени'!E10</f>
        <v>20.68</v>
      </c>
      <c r="G12" s="83">
        <f t="shared" si="0"/>
        <v>1586.16</v>
      </c>
      <c r="J12" s="6">
        <v>76.7</v>
      </c>
    </row>
    <row r="13" spans="1:10" ht="30" x14ac:dyDescent="0.25">
      <c r="A13" s="75">
        <v>8</v>
      </c>
      <c r="B13" s="102" t="s">
        <v>153</v>
      </c>
      <c r="C13" s="2" t="s">
        <v>54</v>
      </c>
      <c r="D13" s="1" t="s">
        <v>46</v>
      </c>
      <c r="E13" s="86">
        <v>115.05</v>
      </c>
      <c r="F13" s="92">
        <f>'Ед. Цени'!E11</f>
        <v>4</v>
      </c>
      <c r="G13" s="83">
        <f t="shared" si="0"/>
        <v>460.2</v>
      </c>
      <c r="J13" s="6">
        <v>115.05</v>
      </c>
    </row>
    <row r="14" spans="1:10" ht="30" x14ac:dyDescent="0.25">
      <c r="A14" s="18">
        <v>9</v>
      </c>
      <c r="B14" s="102" t="s">
        <v>154</v>
      </c>
      <c r="C14" s="19" t="s">
        <v>12</v>
      </c>
      <c r="D14" s="20" t="s">
        <v>6</v>
      </c>
      <c r="E14" s="86">
        <v>2780.06</v>
      </c>
      <c r="F14" s="92">
        <f>'Ед. Цени'!E12</f>
        <v>1.86</v>
      </c>
      <c r="G14" s="83">
        <f t="shared" si="0"/>
        <v>5170.91</v>
      </c>
      <c r="J14" s="6">
        <v>2780.06</v>
      </c>
    </row>
    <row r="15" spans="1:10" ht="30" x14ac:dyDescent="0.25">
      <c r="A15" s="1">
        <v>10</v>
      </c>
      <c r="B15" s="102" t="s">
        <v>155</v>
      </c>
      <c r="C15" s="2" t="s">
        <v>55</v>
      </c>
      <c r="D15" s="1" t="s">
        <v>46</v>
      </c>
      <c r="E15" s="86">
        <v>49.17</v>
      </c>
      <c r="F15" s="92">
        <f>'Ед. Цени'!E13</f>
        <v>31.11</v>
      </c>
      <c r="G15" s="83">
        <f t="shared" si="0"/>
        <v>1529.68</v>
      </c>
      <c r="J15" s="6">
        <v>49.17</v>
      </c>
    </row>
    <row r="16" spans="1:10" ht="30" x14ac:dyDescent="0.25">
      <c r="A16" s="1">
        <v>11</v>
      </c>
      <c r="B16" s="102" t="s">
        <v>156</v>
      </c>
      <c r="C16" s="21" t="s">
        <v>39</v>
      </c>
      <c r="D16" s="18" t="s">
        <v>44</v>
      </c>
      <c r="E16" s="86">
        <v>607</v>
      </c>
      <c r="F16" s="92">
        <f>'Ед. Цени'!E14</f>
        <v>0.56000000000000005</v>
      </c>
      <c r="G16" s="83">
        <f t="shared" si="0"/>
        <v>339.92</v>
      </c>
      <c r="J16" s="6">
        <v>607</v>
      </c>
    </row>
    <row r="17" spans="1:10" x14ac:dyDescent="0.25">
      <c r="A17" s="130" t="s">
        <v>48</v>
      </c>
      <c r="B17" s="131"/>
      <c r="C17" s="131"/>
      <c r="D17" s="131"/>
      <c r="E17" s="131"/>
      <c r="F17" s="131"/>
      <c r="G17" s="132"/>
    </row>
    <row r="18" spans="1:10" ht="45" x14ac:dyDescent="0.25">
      <c r="A18" s="27">
        <v>12</v>
      </c>
      <c r="B18" s="102" t="s">
        <v>211</v>
      </c>
      <c r="C18" s="34" t="s">
        <v>100</v>
      </c>
      <c r="D18" s="18" t="s">
        <v>44</v>
      </c>
      <c r="E18" s="86">
        <v>607</v>
      </c>
      <c r="F18" s="92">
        <f>'Ед. Цени'!E69</f>
        <v>45.22</v>
      </c>
      <c r="G18" s="83">
        <f t="shared" ref="G18:G26" si="1">ROUND(E18*F18,2)</f>
        <v>27448.54</v>
      </c>
      <c r="J18" s="6">
        <v>607</v>
      </c>
    </row>
    <row r="19" spans="1:10" x14ac:dyDescent="0.25">
      <c r="A19" s="27">
        <v>13</v>
      </c>
      <c r="B19" s="102" t="s">
        <v>212</v>
      </c>
      <c r="C19" s="34" t="s">
        <v>69</v>
      </c>
      <c r="D19" s="36" t="s">
        <v>13</v>
      </c>
      <c r="E19" s="86">
        <v>102</v>
      </c>
      <c r="F19" s="92">
        <f>'Ед. Цени'!E70</f>
        <v>7.19</v>
      </c>
      <c r="G19" s="83">
        <f t="shared" si="1"/>
        <v>733.38</v>
      </c>
      <c r="J19" s="6">
        <v>102</v>
      </c>
    </row>
    <row r="20" spans="1:10" ht="30" x14ac:dyDescent="0.25">
      <c r="A20" s="80">
        <v>14</v>
      </c>
      <c r="B20" s="102" t="s">
        <v>213</v>
      </c>
      <c r="C20" s="26" t="s">
        <v>22</v>
      </c>
      <c r="D20" s="46" t="s">
        <v>13</v>
      </c>
      <c r="E20" s="88">
        <v>1</v>
      </c>
      <c r="F20" s="92">
        <f>'Ед. Цени'!E71</f>
        <v>205.88</v>
      </c>
      <c r="G20" s="83">
        <f t="shared" si="1"/>
        <v>205.88</v>
      </c>
      <c r="J20" s="6">
        <v>1</v>
      </c>
    </row>
    <row r="21" spans="1:10" ht="30" x14ac:dyDescent="0.25">
      <c r="A21" s="27">
        <v>15</v>
      </c>
      <c r="B21" s="102" t="s">
        <v>178</v>
      </c>
      <c r="C21" s="26" t="s">
        <v>105</v>
      </c>
      <c r="D21" s="46" t="s">
        <v>13</v>
      </c>
      <c r="E21" s="88">
        <v>2</v>
      </c>
      <c r="F21" s="92">
        <f>'Ед. Цени'!E36</f>
        <v>58.86</v>
      </c>
      <c r="G21" s="83">
        <f t="shared" si="1"/>
        <v>117.72</v>
      </c>
      <c r="J21" s="6">
        <v>2</v>
      </c>
    </row>
    <row r="22" spans="1:10" ht="30" x14ac:dyDescent="0.25">
      <c r="A22" s="27">
        <v>16</v>
      </c>
      <c r="B22" s="102" t="s">
        <v>179</v>
      </c>
      <c r="C22" s="26" t="s">
        <v>106</v>
      </c>
      <c r="D22" s="46" t="s">
        <v>13</v>
      </c>
      <c r="E22" s="88">
        <v>2</v>
      </c>
      <c r="F22" s="92">
        <f>'Ед. Цени'!E37</f>
        <v>49.72</v>
      </c>
      <c r="G22" s="83">
        <f t="shared" si="1"/>
        <v>99.44</v>
      </c>
      <c r="J22" s="6">
        <v>2</v>
      </c>
    </row>
    <row r="23" spans="1:10" ht="30" x14ac:dyDescent="0.25">
      <c r="A23" s="80">
        <v>17</v>
      </c>
      <c r="B23" s="102" t="s">
        <v>214</v>
      </c>
      <c r="C23" s="26" t="s">
        <v>35</v>
      </c>
      <c r="D23" s="46" t="s">
        <v>13</v>
      </c>
      <c r="E23" s="88">
        <v>1</v>
      </c>
      <c r="F23" s="92">
        <f>'Ед. Цени'!E72</f>
        <v>118.2</v>
      </c>
      <c r="G23" s="83">
        <f t="shared" si="1"/>
        <v>118.2</v>
      </c>
      <c r="J23" s="6">
        <v>1</v>
      </c>
    </row>
    <row r="24" spans="1:10" ht="30" x14ac:dyDescent="0.25">
      <c r="A24" s="27">
        <v>18</v>
      </c>
      <c r="B24" s="102" t="s">
        <v>215</v>
      </c>
      <c r="C24" s="26" t="s">
        <v>36</v>
      </c>
      <c r="D24" s="46" t="s">
        <v>13</v>
      </c>
      <c r="E24" s="88">
        <v>1</v>
      </c>
      <c r="F24" s="92">
        <f>'Ед. Цени'!E73</f>
        <v>118.2</v>
      </c>
      <c r="G24" s="83">
        <f t="shared" si="1"/>
        <v>118.2</v>
      </c>
      <c r="J24" s="6">
        <v>1</v>
      </c>
    </row>
    <row r="25" spans="1:10" x14ac:dyDescent="0.25">
      <c r="A25" s="27">
        <v>19</v>
      </c>
      <c r="B25" s="102" t="s">
        <v>216</v>
      </c>
      <c r="C25" s="26" t="s">
        <v>91</v>
      </c>
      <c r="D25" s="18" t="s">
        <v>59</v>
      </c>
      <c r="E25" s="88">
        <v>45</v>
      </c>
      <c r="F25" s="92">
        <f>'Ед. Цени'!E74</f>
        <v>7.19</v>
      </c>
      <c r="G25" s="83">
        <f t="shared" si="1"/>
        <v>323.55</v>
      </c>
      <c r="J25" s="6">
        <v>45</v>
      </c>
    </row>
    <row r="26" spans="1:10" x14ac:dyDescent="0.25">
      <c r="A26" s="80">
        <v>20</v>
      </c>
      <c r="B26" s="102" t="s">
        <v>165</v>
      </c>
      <c r="C26" s="26" t="s">
        <v>38</v>
      </c>
      <c r="D26" s="36" t="s">
        <v>13</v>
      </c>
      <c r="E26" s="87">
        <v>20</v>
      </c>
      <c r="F26" s="92">
        <f>'Ед. Цени'!E23</f>
        <v>20</v>
      </c>
      <c r="G26" s="83">
        <f t="shared" si="1"/>
        <v>400</v>
      </c>
      <c r="J26" s="6">
        <v>20</v>
      </c>
    </row>
    <row r="27" spans="1:10" x14ac:dyDescent="0.25">
      <c r="A27" s="130" t="s">
        <v>49</v>
      </c>
      <c r="B27" s="131"/>
      <c r="C27" s="131"/>
      <c r="D27" s="131"/>
      <c r="E27" s="131"/>
      <c r="F27" s="131"/>
      <c r="G27" s="132"/>
    </row>
    <row r="28" spans="1:10" x14ac:dyDescent="0.25">
      <c r="A28" s="1">
        <v>21</v>
      </c>
      <c r="B28" s="102" t="s">
        <v>200</v>
      </c>
      <c r="C28" s="2" t="s">
        <v>42</v>
      </c>
      <c r="D28" s="1" t="s">
        <v>46</v>
      </c>
      <c r="E28" s="86">
        <v>654.19000000000005</v>
      </c>
      <c r="F28" s="92">
        <f>'Ед. Цени'!E58</f>
        <v>31.11</v>
      </c>
      <c r="G28" s="83">
        <f t="shared" ref="G28:G36" si="2">ROUND(E28*F28,2)</f>
        <v>20351.849999999999</v>
      </c>
      <c r="J28" s="6">
        <v>654.19000000000005</v>
      </c>
    </row>
    <row r="29" spans="1:10" ht="30" x14ac:dyDescent="0.25">
      <c r="A29" s="1">
        <v>22</v>
      </c>
      <c r="B29" s="102" t="s">
        <v>201</v>
      </c>
      <c r="C29" s="2" t="s">
        <v>50</v>
      </c>
      <c r="D29" s="1" t="s">
        <v>46</v>
      </c>
      <c r="E29" s="86">
        <v>654.19000000000005</v>
      </c>
      <c r="F29" s="92">
        <f>'Ед. Цени'!E59</f>
        <v>4</v>
      </c>
      <c r="G29" s="83">
        <f t="shared" si="2"/>
        <v>2616.7600000000002</v>
      </c>
      <c r="J29" s="6">
        <v>654.19000000000005</v>
      </c>
    </row>
    <row r="30" spans="1:10" ht="30" x14ac:dyDescent="0.25">
      <c r="A30" s="1">
        <v>23</v>
      </c>
      <c r="B30" s="102" t="s">
        <v>202</v>
      </c>
      <c r="C30" s="24" t="s">
        <v>10</v>
      </c>
      <c r="D30" s="1" t="s">
        <v>46</v>
      </c>
      <c r="E30" s="86">
        <v>172.08</v>
      </c>
      <c r="F30" s="92">
        <f>'Ед. Цени'!E60</f>
        <v>31.11</v>
      </c>
      <c r="G30" s="83">
        <f t="shared" si="2"/>
        <v>5353.41</v>
      </c>
      <c r="J30" s="6">
        <v>172.08</v>
      </c>
    </row>
    <row r="31" spans="1:10" ht="30" x14ac:dyDescent="0.25">
      <c r="A31" s="1">
        <v>24</v>
      </c>
      <c r="B31" s="102" t="s">
        <v>203</v>
      </c>
      <c r="C31" s="25" t="s">
        <v>9</v>
      </c>
      <c r="D31" s="1" t="s">
        <v>46</v>
      </c>
      <c r="E31" s="86">
        <v>73.75</v>
      </c>
      <c r="F31" s="92">
        <f>'Ед. Цени'!E61</f>
        <v>31.11</v>
      </c>
      <c r="G31" s="83">
        <f t="shared" si="2"/>
        <v>2294.36</v>
      </c>
      <c r="J31" s="6">
        <v>73.75</v>
      </c>
    </row>
    <row r="32" spans="1:10" ht="45" x14ac:dyDescent="0.25">
      <c r="A32" s="1">
        <v>25</v>
      </c>
      <c r="B32" s="102" t="s">
        <v>204</v>
      </c>
      <c r="C32" s="26" t="s">
        <v>7</v>
      </c>
      <c r="D32" s="27" t="s">
        <v>8</v>
      </c>
      <c r="E32" s="86">
        <v>55.94</v>
      </c>
      <c r="F32" s="92">
        <f>'Ед. Цени'!E62</f>
        <v>125.82</v>
      </c>
      <c r="G32" s="83">
        <f t="shared" si="2"/>
        <v>7038.37</v>
      </c>
      <c r="J32" s="6">
        <v>55.94</v>
      </c>
    </row>
    <row r="33" spans="1:10" ht="45" x14ac:dyDescent="0.25">
      <c r="A33" s="1">
        <v>26</v>
      </c>
      <c r="B33" s="102" t="s">
        <v>205</v>
      </c>
      <c r="C33" s="26" t="s">
        <v>93</v>
      </c>
      <c r="D33" s="27" t="s">
        <v>8</v>
      </c>
      <c r="E33" s="86">
        <v>55.94</v>
      </c>
      <c r="F33" s="92">
        <f>'Ед. Цени'!E63</f>
        <v>129.44999999999999</v>
      </c>
      <c r="G33" s="83">
        <f t="shared" si="2"/>
        <v>7241.43</v>
      </c>
      <c r="J33" s="6">
        <v>55.94</v>
      </c>
    </row>
    <row r="34" spans="1:10" ht="30" x14ac:dyDescent="0.25">
      <c r="A34" s="1">
        <v>27</v>
      </c>
      <c r="B34" s="102" t="s">
        <v>206</v>
      </c>
      <c r="C34" s="2" t="s">
        <v>51</v>
      </c>
      <c r="D34" s="1" t="s">
        <v>46</v>
      </c>
      <c r="E34" s="86">
        <v>1058.3600000000001</v>
      </c>
      <c r="F34" s="92">
        <f>'Ед. Цени'!E64</f>
        <v>3.78</v>
      </c>
      <c r="G34" s="83">
        <f t="shared" si="2"/>
        <v>4000.6</v>
      </c>
      <c r="J34" s="6">
        <v>1058.3600000000001</v>
      </c>
    </row>
    <row r="35" spans="1:10" x14ac:dyDescent="0.25">
      <c r="A35" s="1">
        <v>28</v>
      </c>
      <c r="B35" s="102" t="s">
        <v>207</v>
      </c>
      <c r="C35" s="2" t="s">
        <v>11</v>
      </c>
      <c r="D35" s="3" t="s">
        <v>46</v>
      </c>
      <c r="E35" s="86">
        <v>1058.3600000000001</v>
      </c>
      <c r="F35" s="92">
        <f>'Ед. Цени'!E65</f>
        <v>2.48</v>
      </c>
      <c r="G35" s="83">
        <f t="shared" si="2"/>
        <v>2624.73</v>
      </c>
      <c r="J35" s="6">
        <v>1058.3600000000001</v>
      </c>
    </row>
    <row r="36" spans="1:10" ht="30" x14ac:dyDescent="0.25">
      <c r="A36" s="1">
        <v>29</v>
      </c>
      <c r="B36" s="102" t="s">
        <v>208</v>
      </c>
      <c r="C36" s="39" t="s">
        <v>96</v>
      </c>
      <c r="D36" s="40" t="s">
        <v>52</v>
      </c>
      <c r="E36" s="86">
        <v>699.3</v>
      </c>
      <c r="F36" s="92">
        <f>'Ед. Цени'!E66</f>
        <v>6.53</v>
      </c>
      <c r="G36" s="83">
        <f t="shared" si="2"/>
        <v>4566.43</v>
      </c>
      <c r="J36" s="6">
        <v>699.3</v>
      </c>
    </row>
    <row r="37" spans="1:10" x14ac:dyDescent="0.25">
      <c r="A37" s="130" t="s">
        <v>53</v>
      </c>
      <c r="B37" s="131"/>
      <c r="C37" s="131"/>
      <c r="D37" s="131"/>
      <c r="E37" s="131"/>
      <c r="F37" s="131"/>
      <c r="G37" s="132"/>
    </row>
    <row r="38" spans="1:10" x14ac:dyDescent="0.25">
      <c r="A38" s="1">
        <v>30</v>
      </c>
      <c r="B38" s="102" t="s">
        <v>209</v>
      </c>
      <c r="C38" s="26" t="s">
        <v>15</v>
      </c>
      <c r="D38" s="27" t="s">
        <v>5</v>
      </c>
      <c r="E38" s="86">
        <v>607</v>
      </c>
      <c r="F38" s="92">
        <f>'Ед. Цени'!E67</f>
        <v>1.36</v>
      </c>
      <c r="G38" s="83">
        <f>ROUND(E38*F38,2)</f>
        <v>825.52</v>
      </c>
      <c r="J38" s="6">
        <v>607</v>
      </c>
    </row>
    <row r="39" spans="1:10" x14ac:dyDescent="0.25">
      <c r="A39" s="1">
        <v>31</v>
      </c>
      <c r="B39" s="102" t="s">
        <v>210</v>
      </c>
      <c r="C39" s="26" t="s">
        <v>16</v>
      </c>
      <c r="D39" s="27" t="s">
        <v>5</v>
      </c>
      <c r="E39" s="86">
        <v>607</v>
      </c>
      <c r="F39" s="92">
        <f>'Ед. Цени'!E68</f>
        <v>1.49</v>
      </c>
      <c r="G39" s="83">
        <f>ROUND(E39*F39,2)</f>
        <v>904.43</v>
      </c>
      <c r="J39" s="6">
        <v>607</v>
      </c>
    </row>
    <row r="40" spans="1:10" x14ac:dyDescent="0.25">
      <c r="A40" s="74"/>
      <c r="B40" s="74"/>
      <c r="C40" s="9"/>
      <c r="D40" s="10"/>
      <c r="E40" s="128"/>
      <c r="F40" s="129"/>
      <c r="G40" s="81">
        <f>SUM(G6:G39)</f>
        <v>103933.74999999999</v>
      </c>
    </row>
    <row r="41" spans="1:10" x14ac:dyDescent="0.25">
      <c r="A41" s="74"/>
      <c r="B41" s="74"/>
      <c r="C41" s="9"/>
      <c r="D41" s="10"/>
      <c r="E41" s="128"/>
      <c r="F41" s="129"/>
      <c r="G41" s="81">
        <f>0.2*G40</f>
        <v>20786.75</v>
      </c>
    </row>
    <row r="42" spans="1:10" x14ac:dyDescent="0.25">
      <c r="A42" s="74"/>
      <c r="B42" s="74"/>
      <c r="C42" s="9"/>
      <c r="D42" s="10"/>
      <c r="E42" s="128"/>
      <c r="F42" s="129"/>
      <c r="G42" s="81">
        <f>G40+G41</f>
        <v>124720.49999999999</v>
      </c>
    </row>
  </sheetData>
  <autoFilter ref="A3:G42"/>
  <mergeCells count="9">
    <mergeCell ref="E40:F40"/>
    <mergeCell ref="E41:F41"/>
    <mergeCell ref="E42:F42"/>
    <mergeCell ref="A37:G37"/>
    <mergeCell ref="A1:G2"/>
    <mergeCell ref="A4:G4"/>
    <mergeCell ref="A5:G5"/>
    <mergeCell ref="A17:G17"/>
    <mergeCell ref="A27:G27"/>
  </mergeCells>
  <pageMargins left="0.34" right="0.24" top="0.21" bottom="0.33" header="0.3" footer="0.3"/>
  <pageSetup paperSize="9" scale="7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view="pageBreakPreview" zoomScaleNormal="85" zoomScaleSheetLayoutView="100" workbookViewId="0">
      <pane ySplit="1" topLeftCell="A32" activePane="bottomLeft" state="frozen"/>
      <selection pane="bottomLeft" activeCell="F6" sqref="F6:F16"/>
    </sheetView>
  </sheetViews>
  <sheetFormatPr defaultColWidth="9.140625" defaultRowHeight="15" x14ac:dyDescent="0.25"/>
  <cols>
    <col min="1" max="1" width="9" style="79" customWidth="1"/>
    <col min="2" max="2" width="16.85546875" style="79" customWidth="1"/>
    <col min="3" max="3" width="37.85546875" style="11" customWidth="1"/>
    <col min="4" max="4" width="6.5703125" style="30" customWidth="1"/>
    <col min="5" max="5" width="13.5703125" style="38" customWidth="1"/>
    <col min="6" max="6" width="9.5703125" style="94" bestFit="1" customWidth="1"/>
    <col min="7" max="7" width="12.28515625" style="42" customWidth="1"/>
    <col min="8" max="8" width="8.140625" style="6" customWidth="1"/>
    <col min="9" max="9" width="5.42578125" style="6" customWidth="1"/>
    <col min="10" max="10" width="7.140625" style="6" customWidth="1"/>
    <col min="11" max="11" width="7.5703125" style="6" customWidth="1"/>
    <col min="12" max="16384" width="9.140625" style="6"/>
  </cols>
  <sheetData>
    <row r="1" spans="1:10" x14ac:dyDescent="0.25">
      <c r="A1" s="143" t="s">
        <v>113</v>
      </c>
      <c r="B1" s="143"/>
      <c r="C1" s="143"/>
      <c r="D1" s="143"/>
      <c r="E1" s="143"/>
      <c r="F1" s="143"/>
      <c r="G1" s="143"/>
    </row>
    <row r="2" spans="1:10" ht="15" customHeight="1" thickBot="1" x14ac:dyDescent="0.3">
      <c r="A2" s="142"/>
      <c r="B2" s="142"/>
      <c r="C2" s="142"/>
      <c r="D2" s="142"/>
      <c r="E2" s="142"/>
      <c r="F2" s="142"/>
      <c r="G2" s="142"/>
    </row>
    <row r="3" spans="1:10" ht="36" thickBot="1" x14ac:dyDescent="0.3">
      <c r="A3" s="12" t="s">
        <v>0</v>
      </c>
      <c r="B3" s="100"/>
      <c r="C3" s="13" t="s">
        <v>1</v>
      </c>
      <c r="D3" s="14" t="s">
        <v>2</v>
      </c>
      <c r="E3" s="37" t="s">
        <v>3</v>
      </c>
      <c r="F3" s="91" t="s">
        <v>56</v>
      </c>
      <c r="G3" s="41" t="s">
        <v>57</v>
      </c>
      <c r="J3" s="6" t="s">
        <v>3</v>
      </c>
    </row>
    <row r="4" spans="1:10" x14ac:dyDescent="0.25">
      <c r="A4" s="133" t="s">
        <v>124</v>
      </c>
      <c r="B4" s="134"/>
      <c r="C4" s="134"/>
      <c r="D4" s="134"/>
      <c r="E4" s="134"/>
      <c r="F4" s="134"/>
      <c r="G4" s="135"/>
    </row>
    <row r="5" spans="1:10" x14ac:dyDescent="0.25">
      <c r="A5" s="136" t="s">
        <v>47</v>
      </c>
      <c r="B5" s="137"/>
      <c r="C5" s="137"/>
      <c r="D5" s="137"/>
      <c r="E5" s="137"/>
      <c r="F5" s="137"/>
      <c r="G5" s="138"/>
    </row>
    <row r="6" spans="1:10" x14ac:dyDescent="0.25">
      <c r="A6" s="18">
        <v>1</v>
      </c>
      <c r="B6" s="101" t="s">
        <v>147</v>
      </c>
      <c r="C6" s="17" t="s">
        <v>4</v>
      </c>
      <c r="D6" s="18" t="s">
        <v>44</v>
      </c>
      <c r="E6" s="82">
        <v>1457.75</v>
      </c>
      <c r="F6" s="92">
        <f>'Ед. Цени'!E4</f>
        <v>1.51</v>
      </c>
      <c r="G6" s="83">
        <f>ROUND(E6*F6,2)</f>
        <v>2201.1999999999998</v>
      </c>
      <c r="J6" s="6">
        <v>1457.75</v>
      </c>
    </row>
    <row r="7" spans="1:10" ht="30" x14ac:dyDescent="0.25">
      <c r="A7" s="75">
        <v>2</v>
      </c>
      <c r="B7" s="102" t="s">
        <v>148</v>
      </c>
      <c r="C7" s="2" t="s">
        <v>43</v>
      </c>
      <c r="D7" s="1" t="s">
        <v>46</v>
      </c>
      <c r="E7" s="86">
        <v>63.680000000000007</v>
      </c>
      <c r="F7" s="92">
        <f>'Ед. Цени'!E5</f>
        <v>1.65</v>
      </c>
      <c r="G7" s="83">
        <f t="shared" ref="G7:G16" si="0">ROUND(E7*F7,2)</f>
        <v>105.07</v>
      </c>
      <c r="J7" s="6">
        <v>63.680000000000007</v>
      </c>
    </row>
    <row r="8" spans="1:10" ht="30" x14ac:dyDescent="0.25">
      <c r="A8" s="75">
        <v>3</v>
      </c>
      <c r="B8" s="102" t="s">
        <v>149</v>
      </c>
      <c r="C8" s="2" t="s">
        <v>45</v>
      </c>
      <c r="D8" s="1" t="s">
        <v>46</v>
      </c>
      <c r="E8" s="86">
        <v>398.02</v>
      </c>
      <c r="F8" s="92">
        <f>'Ед. Цени'!E6</f>
        <v>1.38</v>
      </c>
      <c r="G8" s="83">
        <f t="shared" si="0"/>
        <v>549.27</v>
      </c>
      <c r="J8" s="6">
        <v>398.02</v>
      </c>
    </row>
    <row r="9" spans="1:10" x14ac:dyDescent="0.25">
      <c r="A9" s="18">
        <v>4</v>
      </c>
      <c r="B9" s="102"/>
      <c r="C9" s="106" t="s">
        <v>71</v>
      </c>
      <c r="D9" s="99"/>
      <c r="E9" s="86">
        <v>769.81</v>
      </c>
      <c r="F9" s="92"/>
      <c r="G9" s="83"/>
      <c r="J9" s="6">
        <v>769.81</v>
      </c>
    </row>
    <row r="10" spans="1:10" ht="30" x14ac:dyDescent="0.25">
      <c r="A10" s="75">
        <v>5</v>
      </c>
      <c r="B10" s="102" t="s">
        <v>150</v>
      </c>
      <c r="C10" s="2" t="s">
        <v>115</v>
      </c>
      <c r="D10" s="1" t="s">
        <v>46</v>
      </c>
      <c r="E10" s="86">
        <v>577.35</v>
      </c>
      <c r="F10" s="92">
        <f>'Ед. Цени'!E8</f>
        <v>6.5</v>
      </c>
      <c r="G10" s="83">
        <f t="shared" si="0"/>
        <v>3752.78</v>
      </c>
      <c r="J10" s="6">
        <v>577.35</v>
      </c>
    </row>
    <row r="11" spans="1:10" x14ac:dyDescent="0.25">
      <c r="A11" s="75">
        <v>6</v>
      </c>
      <c r="B11" s="102" t="s">
        <v>151</v>
      </c>
      <c r="C11" s="2" t="s">
        <v>125</v>
      </c>
      <c r="D11" s="1" t="s">
        <v>46</v>
      </c>
      <c r="E11" s="86">
        <v>115.47</v>
      </c>
      <c r="F11" s="92">
        <f>'Ед. Цени'!E9</f>
        <v>12.28</v>
      </c>
      <c r="G11" s="83">
        <f t="shared" si="0"/>
        <v>1417.97</v>
      </c>
      <c r="J11" s="6">
        <v>115.47</v>
      </c>
    </row>
    <row r="12" spans="1:10" x14ac:dyDescent="0.25">
      <c r="A12" s="18">
        <v>7</v>
      </c>
      <c r="B12" s="102" t="s">
        <v>152</v>
      </c>
      <c r="C12" s="2" t="s">
        <v>123</v>
      </c>
      <c r="D12" s="1" t="s">
        <v>46</v>
      </c>
      <c r="E12" s="86">
        <v>76.989999999999995</v>
      </c>
      <c r="F12" s="92">
        <f>'Ед. Цени'!E10</f>
        <v>20.68</v>
      </c>
      <c r="G12" s="83">
        <f t="shared" si="0"/>
        <v>1592.15</v>
      </c>
      <c r="J12" s="6">
        <v>76.989999999999995</v>
      </c>
    </row>
    <row r="13" spans="1:10" ht="30" x14ac:dyDescent="0.25">
      <c r="A13" s="75">
        <v>8</v>
      </c>
      <c r="B13" s="102" t="s">
        <v>153</v>
      </c>
      <c r="C13" s="2" t="s">
        <v>54</v>
      </c>
      <c r="D13" s="1" t="s">
        <v>46</v>
      </c>
      <c r="E13" s="86">
        <v>115.47</v>
      </c>
      <c r="F13" s="92">
        <f>'Ед. Цени'!E11</f>
        <v>4</v>
      </c>
      <c r="G13" s="83">
        <f t="shared" si="0"/>
        <v>461.88</v>
      </c>
      <c r="J13" s="6">
        <v>115.47</v>
      </c>
    </row>
    <row r="14" spans="1:10" ht="30" x14ac:dyDescent="0.25">
      <c r="A14" s="75">
        <v>9</v>
      </c>
      <c r="B14" s="102" t="s">
        <v>154</v>
      </c>
      <c r="C14" s="19" t="s">
        <v>12</v>
      </c>
      <c r="D14" s="20" t="s">
        <v>6</v>
      </c>
      <c r="E14" s="86">
        <v>1043.25</v>
      </c>
      <c r="F14" s="92">
        <f>'Ед. Цени'!E12</f>
        <v>1.86</v>
      </c>
      <c r="G14" s="83">
        <f t="shared" si="0"/>
        <v>1940.45</v>
      </c>
      <c r="J14" s="6">
        <v>1043.25</v>
      </c>
    </row>
    <row r="15" spans="1:10" ht="30" x14ac:dyDescent="0.25">
      <c r="A15" s="18">
        <v>10</v>
      </c>
      <c r="B15" s="102" t="s">
        <v>155</v>
      </c>
      <c r="C15" s="2" t="s">
        <v>55</v>
      </c>
      <c r="D15" s="1" t="s">
        <v>46</v>
      </c>
      <c r="E15" s="86">
        <v>70.5</v>
      </c>
      <c r="F15" s="92">
        <f>'Ед. Цени'!E13</f>
        <v>31.11</v>
      </c>
      <c r="G15" s="83">
        <f t="shared" si="0"/>
        <v>2193.2600000000002</v>
      </c>
      <c r="J15" s="6">
        <v>70.5</v>
      </c>
    </row>
    <row r="16" spans="1:10" ht="30" x14ac:dyDescent="0.25">
      <c r="A16" s="75">
        <v>11</v>
      </c>
      <c r="B16" s="102" t="s">
        <v>156</v>
      </c>
      <c r="C16" s="21" t="s">
        <v>39</v>
      </c>
      <c r="D16" s="18" t="s">
        <v>44</v>
      </c>
      <c r="E16" s="86">
        <v>850.75</v>
      </c>
      <c r="F16" s="92">
        <f>'Ед. Цени'!E14</f>
        <v>0.56000000000000005</v>
      </c>
      <c r="G16" s="83">
        <f t="shared" si="0"/>
        <v>476.42</v>
      </c>
      <c r="J16" s="6">
        <v>850.75</v>
      </c>
    </row>
    <row r="17" spans="1:10" x14ac:dyDescent="0.25">
      <c r="A17" s="130" t="s">
        <v>126</v>
      </c>
      <c r="B17" s="131"/>
      <c r="C17" s="131"/>
      <c r="D17" s="131"/>
      <c r="E17" s="131"/>
      <c r="F17" s="131"/>
      <c r="G17" s="132"/>
    </row>
    <row r="18" spans="1:10" ht="45" x14ac:dyDescent="0.25">
      <c r="A18" s="18">
        <v>12</v>
      </c>
      <c r="B18" s="102" t="s">
        <v>217</v>
      </c>
      <c r="C18" s="34" t="s">
        <v>99</v>
      </c>
      <c r="D18" s="18" t="s">
        <v>44</v>
      </c>
      <c r="E18" s="87">
        <v>607</v>
      </c>
      <c r="F18" s="92">
        <f>'Ед. Цени'!E75</f>
        <v>39.409999999999997</v>
      </c>
      <c r="G18" s="83">
        <f t="shared" ref="G18:G23" si="1">ROUND(E18*F18,2)</f>
        <v>23921.87</v>
      </c>
      <c r="J18" s="6">
        <v>607</v>
      </c>
    </row>
    <row r="19" spans="1:10" x14ac:dyDescent="0.25">
      <c r="A19" s="18">
        <v>13</v>
      </c>
      <c r="B19" s="102" t="s">
        <v>218</v>
      </c>
      <c r="C19" s="34" t="s">
        <v>68</v>
      </c>
      <c r="D19" s="36" t="s">
        <v>13</v>
      </c>
      <c r="E19" s="87">
        <v>102</v>
      </c>
      <c r="F19" s="92">
        <f>'Ед. Цени'!E76</f>
        <v>6.63</v>
      </c>
      <c r="G19" s="83">
        <f t="shared" si="1"/>
        <v>676.26</v>
      </c>
      <c r="J19" s="6">
        <v>102</v>
      </c>
    </row>
    <row r="20" spans="1:10" ht="30" x14ac:dyDescent="0.25">
      <c r="A20" s="77">
        <v>14</v>
      </c>
      <c r="B20" s="102" t="s">
        <v>219</v>
      </c>
      <c r="C20" s="34" t="s">
        <v>33</v>
      </c>
      <c r="D20" s="36" t="s">
        <v>13</v>
      </c>
      <c r="E20" s="87">
        <v>17</v>
      </c>
      <c r="F20" s="92">
        <f>'Ед. Цени'!E77</f>
        <v>70.73</v>
      </c>
      <c r="G20" s="83">
        <f t="shared" si="1"/>
        <v>1202.4100000000001</v>
      </c>
      <c r="J20" s="6">
        <v>17</v>
      </c>
    </row>
    <row r="21" spans="1:10" ht="30" x14ac:dyDescent="0.25">
      <c r="A21" s="18">
        <v>15</v>
      </c>
      <c r="B21" s="102" t="s">
        <v>220</v>
      </c>
      <c r="C21" s="34" t="s">
        <v>34</v>
      </c>
      <c r="D21" s="36" t="s">
        <v>13</v>
      </c>
      <c r="E21" s="87">
        <v>1</v>
      </c>
      <c r="F21" s="92">
        <f>'Ед. Цени'!E78</f>
        <v>36.22</v>
      </c>
      <c r="G21" s="83">
        <f t="shared" si="1"/>
        <v>36.22</v>
      </c>
      <c r="J21" s="6">
        <v>1</v>
      </c>
    </row>
    <row r="22" spans="1:10" x14ac:dyDescent="0.25">
      <c r="A22" s="18">
        <v>16</v>
      </c>
      <c r="B22" s="102" t="s">
        <v>221</v>
      </c>
      <c r="C22" s="26" t="s">
        <v>90</v>
      </c>
      <c r="D22" s="18" t="s">
        <v>59</v>
      </c>
      <c r="E22" s="88">
        <v>4</v>
      </c>
      <c r="F22" s="92">
        <f>'Ед. Цени'!E79</f>
        <v>6.63</v>
      </c>
      <c r="G22" s="83">
        <f t="shared" si="1"/>
        <v>26.52</v>
      </c>
      <c r="J22" s="6">
        <v>4</v>
      </c>
    </row>
    <row r="23" spans="1:10" x14ac:dyDescent="0.25">
      <c r="A23" s="77">
        <v>17</v>
      </c>
      <c r="B23" s="102" t="s">
        <v>165</v>
      </c>
      <c r="C23" s="26" t="s">
        <v>38</v>
      </c>
      <c r="D23" s="36" t="s">
        <v>13</v>
      </c>
      <c r="E23" s="87">
        <v>27</v>
      </c>
      <c r="F23" s="92">
        <f>'Ед. Цени'!E23</f>
        <v>20</v>
      </c>
      <c r="G23" s="83">
        <f t="shared" si="1"/>
        <v>540</v>
      </c>
      <c r="J23" s="6">
        <v>27</v>
      </c>
    </row>
    <row r="24" spans="1:10" x14ac:dyDescent="0.25">
      <c r="A24" s="130" t="s">
        <v>127</v>
      </c>
      <c r="B24" s="131"/>
      <c r="C24" s="131"/>
      <c r="D24" s="131"/>
      <c r="E24" s="131"/>
      <c r="F24" s="131"/>
      <c r="G24" s="132"/>
    </row>
    <row r="25" spans="1:10" ht="45" x14ac:dyDescent="0.25">
      <c r="A25" s="18">
        <v>18</v>
      </c>
      <c r="B25" s="102" t="s">
        <v>222</v>
      </c>
      <c r="C25" s="22" t="s">
        <v>130</v>
      </c>
      <c r="D25" s="23" t="s">
        <v>5</v>
      </c>
      <c r="E25" s="90">
        <v>25</v>
      </c>
      <c r="F25" s="92">
        <f>'Ед. Цени'!E80</f>
        <v>5.95</v>
      </c>
      <c r="G25" s="83">
        <f t="shared" ref="G25:G32" si="2">ROUND(E25*F25,2)</f>
        <v>148.75</v>
      </c>
      <c r="J25" s="6">
        <v>25</v>
      </c>
    </row>
    <row r="26" spans="1:10" ht="45" x14ac:dyDescent="0.25">
      <c r="A26" s="76">
        <v>19</v>
      </c>
      <c r="B26" s="102" t="s">
        <v>195</v>
      </c>
      <c r="C26" s="22" t="s">
        <v>97</v>
      </c>
      <c r="D26" s="23" t="s">
        <v>5</v>
      </c>
      <c r="E26" s="90">
        <v>218.75</v>
      </c>
      <c r="F26" s="92">
        <f>'Ед. Цени'!E53</f>
        <v>4.0199999999999996</v>
      </c>
      <c r="G26" s="83">
        <f t="shared" si="2"/>
        <v>879.38</v>
      </c>
      <c r="J26" s="6">
        <v>218.75</v>
      </c>
    </row>
    <row r="27" spans="1:10" ht="45" x14ac:dyDescent="0.25">
      <c r="A27" s="18">
        <v>20</v>
      </c>
      <c r="B27" s="102" t="s">
        <v>223</v>
      </c>
      <c r="C27" s="19" t="s">
        <v>18</v>
      </c>
      <c r="D27" s="20" t="s">
        <v>13</v>
      </c>
      <c r="E27" s="90">
        <v>4</v>
      </c>
      <c r="F27" s="92">
        <f>'Ед. Цени'!E81</f>
        <v>130.61000000000001</v>
      </c>
      <c r="G27" s="83">
        <f t="shared" si="2"/>
        <v>522.44000000000005</v>
      </c>
      <c r="J27" s="6">
        <v>4</v>
      </c>
    </row>
    <row r="28" spans="1:10" ht="45" x14ac:dyDescent="0.25">
      <c r="A28" s="76">
        <v>21</v>
      </c>
      <c r="B28" s="102" t="s">
        <v>196</v>
      </c>
      <c r="C28" s="19" t="s">
        <v>17</v>
      </c>
      <c r="D28" s="20" t="s">
        <v>13</v>
      </c>
      <c r="E28" s="90">
        <v>35</v>
      </c>
      <c r="F28" s="92">
        <f>'Ед. Цени'!E54</f>
        <v>122.14</v>
      </c>
      <c r="G28" s="83">
        <f t="shared" si="2"/>
        <v>4274.8999999999996</v>
      </c>
      <c r="J28" s="6">
        <v>35</v>
      </c>
    </row>
    <row r="29" spans="1:10" ht="45" x14ac:dyDescent="0.25">
      <c r="A29" s="18">
        <v>22</v>
      </c>
      <c r="B29" s="102" t="s">
        <v>224</v>
      </c>
      <c r="C29" s="19" t="s">
        <v>29</v>
      </c>
      <c r="D29" s="20" t="s">
        <v>13</v>
      </c>
      <c r="E29" s="90">
        <v>35</v>
      </c>
      <c r="F29" s="92">
        <f>'Ед. Цени'!E82</f>
        <v>73.22</v>
      </c>
      <c r="G29" s="83">
        <f t="shared" si="2"/>
        <v>2562.6999999999998</v>
      </c>
      <c r="J29" s="6">
        <v>35</v>
      </c>
    </row>
    <row r="30" spans="1:10" ht="60" x14ac:dyDescent="0.25">
      <c r="A30" s="76">
        <v>23</v>
      </c>
      <c r="B30" s="102" t="s">
        <v>225</v>
      </c>
      <c r="C30" s="19" t="s">
        <v>27</v>
      </c>
      <c r="D30" s="20" t="s">
        <v>13</v>
      </c>
      <c r="E30" s="90">
        <v>4</v>
      </c>
      <c r="F30" s="92">
        <f>'Ед. Цени'!E83</f>
        <v>90.4</v>
      </c>
      <c r="G30" s="83">
        <f t="shared" si="2"/>
        <v>361.6</v>
      </c>
      <c r="J30" s="6">
        <v>4</v>
      </c>
    </row>
    <row r="31" spans="1:10" x14ac:dyDescent="0.25">
      <c r="A31" s="18">
        <v>24</v>
      </c>
      <c r="B31" s="102" t="s">
        <v>198</v>
      </c>
      <c r="C31" s="19" t="s">
        <v>72</v>
      </c>
      <c r="D31" s="20" t="s">
        <v>13</v>
      </c>
      <c r="E31" s="90">
        <v>39</v>
      </c>
      <c r="F31" s="93">
        <f>'Ед. Цени'!E56</f>
        <v>6.85</v>
      </c>
      <c r="G31" s="83">
        <f t="shared" si="2"/>
        <v>267.14999999999998</v>
      </c>
      <c r="J31" s="6">
        <v>39</v>
      </c>
    </row>
    <row r="32" spans="1:10" x14ac:dyDescent="0.25">
      <c r="A32" s="76">
        <v>25</v>
      </c>
      <c r="B32" s="102" t="s">
        <v>199</v>
      </c>
      <c r="C32" s="22" t="s">
        <v>131</v>
      </c>
      <c r="D32" s="23" t="s">
        <v>59</v>
      </c>
      <c r="E32" s="90">
        <v>156</v>
      </c>
      <c r="F32" s="93">
        <f>'Ед. Цени'!E57</f>
        <v>2.48</v>
      </c>
      <c r="G32" s="83">
        <f t="shared" si="2"/>
        <v>386.88</v>
      </c>
      <c r="J32" s="6">
        <v>156</v>
      </c>
    </row>
    <row r="33" spans="1:10" x14ac:dyDescent="0.25">
      <c r="A33" s="130" t="s">
        <v>129</v>
      </c>
      <c r="B33" s="131"/>
      <c r="C33" s="131"/>
      <c r="D33" s="131"/>
      <c r="E33" s="131"/>
      <c r="F33" s="131"/>
      <c r="G33" s="132"/>
    </row>
    <row r="34" spans="1:10" x14ac:dyDescent="0.25">
      <c r="A34" s="75">
        <v>26</v>
      </c>
      <c r="B34" s="102" t="s">
        <v>200</v>
      </c>
      <c r="C34" s="2" t="s">
        <v>42</v>
      </c>
      <c r="D34" s="1" t="s">
        <v>46</v>
      </c>
      <c r="E34" s="86">
        <v>630.87</v>
      </c>
      <c r="F34" s="92">
        <f>'Ед. Цени'!E58</f>
        <v>31.11</v>
      </c>
      <c r="G34" s="83">
        <f t="shared" ref="G34:G42" si="3">ROUND(E34*F34,2)</f>
        <v>19626.37</v>
      </c>
      <c r="J34" s="6">
        <v>630.87</v>
      </c>
    </row>
    <row r="35" spans="1:10" ht="30" x14ac:dyDescent="0.25">
      <c r="A35" s="75">
        <v>27</v>
      </c>
      <c r="B35" s="102" t="s">
        <v>201</v>
      </c>
      <c r="C35" s="2" t="s">
        <v>50</v>
      </c>
      <c r="D35" s="1" t="s">
        <v>46</v>
      </c>
      <c r="E35" s="86">
        <v>630.87</v>
      </c>
      <c r="F35" s="92">
        <f>'Ед. Цени'!E59</f>
        <v>4</v>
      </c>
      <c r="G35" s="83">
        <f t="shared" si="3"/>
        <v>2523.48</v>
      </c>
      <c r="J35" s="6">
        <v>630.87</v>
      </c>
    </row>
    <row r="36" spans="1:10" ht="30" x14ac:dyDescent="0.25">
      <c r="A36" s="75">
        <v>28</v>
      </c>
      <c r="B36" s="102" t="s">
        <v>202</v>
      </c>
      <c r="C36" s="24" t="s">
        <v>10</v>
      </c>
      <c r="D36" s="1" t="s">
        <v>46</v>
      </c>
      <c r="E36" s="86">
        <v>246.74</v>
      </c>
      <c r="F36" s="92">
        <f>'Ед. Цени'!E60</f>
        <v>31.11</v>
      </c>
      <c r="G36" s="83">
        <f t="shared" si="3"/>
        <v>7676.08</v>
      </c>
      <c r="J36" s="6">
        <v>246.74</v>
      </c>
    </row>
    <row r="37" spans="1:10" ht="30" x14ac:dyDescent="0.25">
      <c r="A37" s="75">
        <v>29</v>
      </c>
      <c r="B37" s="102" t="s">
        <v>203</v>
      </c>
      <c r="C37" s="25" t="s">
        <v>9</v>
      </c>
      <c r="D37" s="1" t="s">
        <v>46</v>
      </c>
      <c r="E37" s="86">
        <v>105.75</v>
      </c>
      <c r="F37" s="92">
        <f>'Ед. Цени'!E61</f>
        <v>31.11</v>
      </c>
      <c r="G37" s="83">
        <f t="shared" si="3"/>
        <v>3289.88</v>
      </c>
      <c r="J37" s="6">
        <v>105.75</v>
      </c>
    </row>
    <row r="38" spans="1:10" ht="45" x14ac:dyDescent="0.25">
      <c r="A38" s="75">
        <v>30</v>
      </c>
      <c r="B38" s="102" t="s">
        <v>204</v>
      </c>
      <c r="C38" s="26" t="s">
        <v>7</v>
      </c>
      <c r="D38" s="27" t="s">
        <v>8</v>
      </c>
      <c r="E38" s="86">
        <v>76.42</v>
      </c>
      <c r="F38" s="92">
        <f>'Ед. Цени'!E62</f>
        <v>125.82</v>
      </c>
      <c r="G38" s="83">
        <f t="shared" si="3"/>
        <v>9615.16</v>
      </c>
      <c r="J38" s="6">
        <v>76.42</v>
      </c>
    </row>
    <row r="39" spans="1:10" ht="45" x14ac:dyDescent="0.25">
      <c r="A39" s="75">
        <v>31</v>
      </c>
      <c r="B39" s="102" t="s">
        <v>205</v>
      </c>
      <c r="C39" s="26" t="s">
        <v>93</v>
      </c>
      <c r="D39" s="27" t="s">
        <v>8</v>
      </c>
      <c r="E39" s="86">
        <v>76.42</v>
      </c>
      <c r="F39" s="92">
        <f>'Ед. Цени'!E63</f>
        <v>129.44999999999999</v>
      </c>
      <c r="G39" s="83">
        <f t="shared" si="3"/>
        <v>9892.57</v>
      </c>
      <c r="J39" s="6">
        <v>76.42</v>
      </c>
    </row>
    <row r="40" spans="1:10" ht="30" x14ac:dyDescent="0.25">
      <c r="A40" s="75">
        <v>32</v>
      </c>
      <c r="B40" s="102" t="s">
        <v>206</v>
      </c>
      <c r="C40" s="2" t="s">
        <v>51</v>
      </c>
      <c r="D40" s="1" t="s">
        <v>46</v>
      </c>
      <c r="E40" s="86">
        <v>1167.83</v>
      </c>
      <c r="F40" s="92">
        <f>'Ед. Цени'!E64</f>
        <v>3.78</v>
      </c>
      <c r="G40" s="83">
        <f t="shared" si="3"/>
        <v>4414.3999999999996</v>
      </c>
      <c r="J40" s="6">
        <v>1167.83</v>
      </c>
    </row>
    <row r="41" spans="1:10" x14ac:dyDescent="0.25">
      <c r="A41" s="75">
        <v>33</v>
      </c>
      <c r="B41" s="102" t="s">
        <v>207</v>
      </c>
      <c r="C41" s="2" t="s">
        <v>11</v>
      </c>
      <c r="D41" s="3" t="s">
        <v>46</v>
      </c>
      <c r="E41" s="86">
        <v>1167.83</v>
      </c>
      <c r="F41" s="92">
        <f>'Ед. Цени'!E65</f>
        <v>2.48</v>
      </c>
      <c r="G41" s="83">
        <f t="shared" si="3"/>
        <v>2896.22</v>
      </c>
      <c r="J41" s="6">
        <v>1167.83</v>
      </c>
    </row>
    <row r="42" spans="1:10" ht="30" x14ac:dyDescent="0.25">
      <c r="A42" s="75">
        <v>34</v>
      </c>
      <c r="B42" s="102" t="s">
        <v>208</v>
      </c>
      <c r="C42" s="39" t="s">
        <v>96</v>
      </c>
      <c r="D42" s="40" t="s">
        <v>52</v>
      </c>
      <c r="E42" s="86">
        <v>955.2</v>
      </c>
      <c r="F42" s="92">
        <f>'Ед. Цени'!E66</f>
        <v>6.53</v>
      </c>
      <c r="G42" s="83">
        <f t="shared" si="3"/>
        <v>6237.46</v>
      </c>
      <c r="J42" s="6">
        <v>955.2</v>
      </c>
    </row>
    <row r="43" spans="1:10" x14ac:dyDescent="0.25">
      <c r="A43" s="130" t="s">
        <v>53</v>
      </c>
      <c r="B43" s="131"/>
      <c r="C43" s="131"/>
      <c r="D43" s="131"/>
      <c r="E43" s="131"/>
      <c r="F43" s="131"/>
      <c r="G43" s="132"/>
    </row>
    <row r="44" spans="1:10" x14ac:dyDescent="0.25">
      <c r="A44" s="75">
        <v>35</v>
      </c>
      <c r="B44" s="102" t="s">
        <v>209</v>
      </c>
      <c r="C44" s="26" t="s">
        <v>15</v>
      </c>
      <c r="D44" s="27" t="s">
        <v>5</v>
      </c>
      <c r="E44" s="86">
        <v>850.75</v>
      </c>
      <c r="F44" s="92">
        <f>'Ед. Цени'!E67</f>
        <v>1.36</v>
      </c>
      <c r="G44" s="83">
        <f>ROUND(E44*F44,2)</f>
        <v>1157.02</v>
      </c>
      <c r="J44" s="6">
        <v>850.75</v>
      </c>
    </row>
    <row r="45" spans="1:10" x14ac:dyDescent="0.25">
      <c r="A45" s="75">
        <v>36</v>
      </c>
      <c r="B45" s="102" t="s">
        <v>210</v>
      </c>
      <c r="C45" s="26" t="s">
        <v>16</v>
      </c>
      <c r="D45" s="27" t="s">
        <v>5</v>
      </c>
      <c r="E45" s="86">
        <v>850.75</v>
      </c>
      <c r="F45" s="92">
        <f>'Ед. Цени'!E68</f>
        <v>1.49</v>
      </c>
      <c r="G45" s="83">
        <f>ROUND(E45*F45,2)</f>
        <v>1267.6199999999999</v>
      </c>
      <c r="J45" s="6">
        <v>850.75</v>
      </c>
    </row>
    <row r="46" spans="1:10" x14ac:dyDescent="0.25">
      <c r="A46" s="78"/>
      <c r="B46" s="78"/>
      <c r="C46" s="9"/>
      <c r="D46" s="10"/>
      <c r="E46" s="126"/>
      <c r="F46" s="127"/>
      <c r="G46" s="81">
        <f>SUM(G6:G45)</f>
        <v>119093.79000000001</v>
      </c>
    </row>
    <row r="47" spans="1:10" x14ac:dyDescent="0.25">
      <c r="A47" s="78"/>
      <c r="B47" s="78"/>
      <c r="C47" s="9"/>
      <c r="D47" s="10"/>
      <c r="E47" s="126"/>
      <c r="F47" s="127"/>
      <c r="G47" s="81">
        <f>0.2*G46</f>
        <v>23818.758000000002</v>
      </c>
    </row>
    <row r="48" spans="1:10" x14ac:dyDescent="0.25">
      <c r="A48" s="78"/>
      <c r="B48" s="78"/>
      <c r="C48" s="9"/>
      <c r="D48" s="10"/>
      <c r="E48" s="126"/>
      <c r="F48" s="127"/>
      <c r="G48" s="81">
        <f>G46+G47</f>
        <v>142912.54800000001</v>
      </c>
    </row>
  </sheetData>
  <autoFilter ref="A3:G48"/>
  <mergeCells count="10">
    <mergeCell ref="A1:G2"/>
    <mergeCell ref="E48:F48"/>
    <mergeCell ref="A43:G43"/>
    <mergeCell ref="E46:F46"/>
    <mergeCell ref="E47:F47"/>
    <mergeCell ref="A4:G4"/>
    <mergeCell ref="A5:G5"/>
    <mergeCell ref="A17:G17"/>
    <mergeCell ref="A24:G24"/>
    <mergeCell ref="A33:G33"/>
  </mergeCells>
  <pageMargins left="0.3" right="0.28000000000000003" top="0.36" bottom="0.33" header="0.3" footer="0.3"/>
  <pageSetup paperSize="9" scale="7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view="pageBreakPreview" zoomScaleNormal="85" zoomScaleSheetLayoutView="100" workbookViewId="0">
      <pane ySplit="1" topLeftCell="A35" activePane="bottomLeft" state="frozen"/>
      <selection pane="bottomLeft" activeCell="G8" sqref="G8:G17"/>
    </sheetView>
  </sheetViews>
  <sheetFormatPr defaultColWidth="9.140625" defaultRowHeight="15" x14ac:dyDescent="0.25"/>
  <cols>
    <col min="1" max="1" width="9" style="79" customWidth="1"/>
    <col min="2" max="2" width="16.85546875" style="79" customWidth="1"/>
    <col min="3" max="3" width="37.85546875" style="11" customWidth="1"/>
    <col min="4" max="4" width="6.5703125" style="30" customWidth="1"/>
    <col min="5" max="5" width="13.5703125" style="38" customWidth="1"/>
    <col min="6" max="6" width="9.5703125" style="94" bestFit="1" customWidth="1"/>
    <col min="7" max="7" width="12.28515625" style="42" customWidth="1"/>
    <col min="8" max="8" width="11.140625" style="6" customWidth="1"/>
    <col min="9" max="9" width="9.7109375" style="6" customWidth="1"/>
    <col min="10" max="10" width="7.140625" style="6" customWidth="1"/>
    <col min="11" max="11" width="7.5703125" style="6" customWidth="1"/>
    <col min="12" max="16384" width="9.140625" style="6"/>
  </cols>
  <sheetData>
    <row r="1" spans="1:11" x14ac:dyDescent="0.25">
      <c r="F1" s="38"/>
    </row>
    <row r="2" spans="1:11" x14ac:dyDescent="0.25">
      <c r="F2" s="38"/>
    </row>
    <row r="3" spans="1:11" ht="15" customHeight="1" x14ac:dyDescent="0.25">
      <c r="A3" s="143" t="s">
        <v>113</v>
      </c>
      <c r="B3" s="143"/>
      <c r="C3" s="143"/>
      <c r="D3" s="143"/>
      <c r="E3" s="143"/>
      <c r="F3" s="143"/>
      <c r="G3" s="143"/>
    </row>
    <row r="4" spans="1:11" ht="15.75" thickBot="1" x14ac:dyDescent="0.3">
      <c r="A4" s="142"/>
      <c r="B4" s="142"/>
      <c r="C4" s="142"/>
      <c r="D4" s="142"/>
      <c r="E4" s="142"/>
      <c r="F4" s="142"/>
      <c r="G4" s="142"/>
    </row>
    <row r="5" spans="1:11" ht="36" thickBot="1" x14ac:dyDescent="0.3">
      <c r="A5" s="12" t="s">
        <v>0</v>
      </c>
      <c r="B5" s="100"/>
      <c r="C5" s="13" t="s">
        <v>1</v>
      </c>
      <c r="D5" s="14" t="s">
        <v>2</v>
      </c>
      <c r="E5" s="37" t="s">
        <v>3</v>
      </c>
      <c r="F5" s="91" t="s">
        <v>56</v>
      </c>
      <c r="G5" s="41" t="s">
        <v>57</v>
      </c>
      <c r="I5" s="6" t="s">
        <v>3</v>
      </c>
    </row>
    <row r="6" spans="1:11" x14ac:dyDescent="0.25">
      <c r="A6" s="133" t="s">
        <v>132</v>
      </c>
      <c r="B6" s="134"/>
      <c r="C6" s="134"/>
      <c r="D6" s="134"/>
      <c r="E6" s="134"/>
      <c r="F6" s="134"/>
      <c r="G6" s="135"/>
    </row>
    <row r="7" spans="1:11" x14ac:dyDescent="0.25">
      <c r="A7" s="136" t="s">
        <v>47</v>
      </c>
      <c r="B7" s="137"/>
      <c r="C7" s="137"/>
      <c r="D7" s="137"/>
      <c r="E7" s="137"/>
      <c r="F7" s="137"/>
      <c r="G7" s="138"/>
    </row>
    <row r="8" spans="1:11" x14ac:dyDescent="0.25">
      <c r="A8" s="18">
        <v>1</v>
      </c>
      <c r="B8" s="101" t="s">
        <v>147</v>
      </c>
      <c r="C8" s="17" t="s">
        <v>4</v>
      </c>
      <c r="D8" s="18" t="s">
        <v>44</v>
      </c>
      <c r="E8" s="82">
        <v>322</v>
      </c>
      <c r="F8" s="92">
        <f>'Ед. Цени'!E4</f>
        <v>1.51</v>
      </c>
      <c r="G8" s="83">
        <f t="shared" ref="G8:G17" si="0">ROUND(E8*F8,2)</f>
        <v>486.22</v>
      </c>
      <c r="I8" s="125">
        <v>322</v>
      </c>
      <c r="K8" s="121">
        <f>E8-I8</f>
        <v>0</v>
      </c>
    </row>
    <row r="9" spans="1:11" ht="30" x14ac:dyDescent="0.25">
      <c r="A9" s="1">
        <v>2</v>
      </c>
      <c r="B9" s="102" t="s">
        <v>148</v>
      </c>
      <c r="C9" s="2" t="s">
        <v>43</v>
      </c>
      <c r="D9" s="1" t="s">
        <v>46</v>
      </c>
      <c r="E9" s="86">
        <v>11.59</v>
      </c>
      <c r="F9" s="92">
        <f>'Ед. Цени'!E5</f>
        <v>1.65</v>
      </c>
      <c r="G9" s="83">
        <f t="shared" si="0"/>
        <v>19.12</v>
      </c>
      <c r="I9" s="125">
        <v>11.59</v>
      </c>
      <c r="K9" s="121">
        <f t="shared" ref="K9:K48" si="1">E9-I9</f>
        <v>0</v>
      </c>
    </row>
    <row r="10" spans="1:11" ht="30" x14ac:dyDescent="0.25">
      <c r="A10" s="1">
        <v>3</v>
      </c>
      <c r="B10" s="102" t="s">
        <v>149</v>
      </c>
      <c r="C10" s="2" t="s">
        <v>45</v>
      </c>
      <c r="D10" s="1" t="s">
        <v>46</v>
      </c>
      <c r="E10" s="86">
        <v>72.45</v>
      </c>
      <c r="F10" s="92">
        <f>'Ед. Цени'!E6</f>
        <v>1.38</v>
      </c>
      <c r="G10" s="83">
        <f t="shared" si="0"/>
        <v>99.98</v>
      </c>
      <c r="I10" s="125">
        <v>72.45</v>
      </c>
      <c r="K10" s="121">
        <f t="shared" si="1"/>
        <v>0</v>
      </c>
    </row>
    <row r="11" spans="1:11" x14ac:dyDescent="0.25">
      <c r="A11" s="18">
        <v>4</v>
      </c>
      <c r="B11" s="102"/>
      <c r="C11" s="106" t="s">
        <v>71</v>
      </c>
      <c r="D11" s="99"/>
      <c r="E11" s="86">
        <v>104.33000000000001</v>
      </c>
      <c r="F11" s="92"/>
      <c r="G11" s="83"/>
      <c r="I11" s="125">
        <v>104.33000000000001</v>
      </c>
      <c r="K11" s="121">
        <f t="shared" si="1"/>
        <v>0</v>
      </c>
    </row>
    <row r="12" spans="1:11" ht="30" x14ac:dyDescent="0.25">
      <c r="A12" s="1">
        <v>5</v>
      </c>
      <c r="B12" s="102" t="s">
        <v>150</v>
      </c>
      <c r="C12" s="2" t="s">
        <v>115</v>
      </c>
      <c r="D12" s="1" t="s">
        <v>46</v>
      </c>
      <c r="E12" s="86">
        <v>78.25</v>
      </c>
      <c r="F12" s="92">
        <f>'Ед. Цени'!E8</f>
        <v>6.5</v>
      </c>
      <c r="G12" s="83">
        <f t="shared" si="0"/>
        <v>508.63</v>
      </c>
      <c r="I12" s="125">
        <v>78.25</v>
      </c>
      <c r="K12" s="121">
        <f t="shared" si="1"/>
        <v>0</v>
      </c>
    </row>
    <row r="13" spans="1:11" x14ac:dyDescent="0.25">
      <c r="A13" s="1">
        <v>6</v>
      </c>
      <c r="B13" s="102" t="s">
        <v>151</v>
      </c>
      <c r="C13" s="2" t="s">
        <v>125</v>
      </c>
      <c r="D13" s="1" t="s">
        <v>46</v>
      </c>
      <c r="E13" s="86">
        <v>15.65</v>
      </c>
      <c r="F13" s="92">
        <f>'Ед. Цени'!E9</f>
        <v>12.28</v>
      </c>
      <c r="G13" s="83">
        <f t="shared" si="0"/>
        <v>192.18</v>
      </c>
      <c r="I13" s="125">
        <v>15.65</v>
      </c>
      <c r="K13" s="121">
        <f t="shared" si="1"/>
        <v>0</v>
      </c>
    </row>
    <row r="14" spans="1:11" x14ac:dyDescent="0.25">
      <c r="A14" s="18">
        <v>7</v>
      </c>
      <c r="B14" s="102" t="s">
        <v>152</v>
      </c>
      <c r="C14" s="2" t="s">
        <v>123</v>
      </c>
      <c r="D14" s="1" t="s">
        <v>46</v>
      </c>
      <c r="E14" s="86">
        <v>10.43</v>
      </c>
      <c r="F14" s="92">
        <f>'Ед. Цени'!E10</f>
        <v>20.68</v>
      </c>
      <c r="G14" s="83">
        <f t="shared" si="0"/>
        <v>215.69</v>
      </c>
      <c r="I14" s="125">
        <v>10.43</v>
      </c>
      <c r="K14" s="121">
        <f t="shared" si="1"/>
        <v>0</v>
      </c>
    </row>
    <row r="15" spans="1:11" ht="30" x14ac:dyDescent="0.25">
      <c r="A15" s="1">
        <v>8</v>
      </c>
      <c r="B15" s="102" t="s">
        <v>153</v>
      </c>
      <c r="C15" s="2" t="s">
        <v>54</v>
      </c>
      <c r="D15" s="1" t="s">
        <v>46</v>
      </c>
      <c r="E15" s="86">
        <v>122.15</v>
      </c>
      <c r="F15" s="92">
        <f>'Ед. Цени'!E11</f>
        <v>4</v>
      </c>
      <c r="G15" s="83">
        <f t="shared" si="0"/>
        <v>488.6</v>
      </c>
      <c r="I15" s="125">
        <v>122.15</v>
      </c>
      <c r="K15" s="121">
        <f t="shared" si="1"/>
        <v>0</v>
      </c>
    </row>
    <row r="16" spans="1:11" ht="30" x14ac:dyDescent="0.25">
      <c r="A16" s="1">
        <v>9</v>
      </c>
      <c r="B16" s="102" t="s">
        <v>155</v>
      </c>
      <c r="C16" s="2" t="s">
        <v>55</v>
      </c>
      <c r="D16" s="1" t="s">
        <v>46</v>
      </c>
      <c r="E16" s="86">
        <v>16.97</v>
      </c>
      <c r="F16" s="92">
        <f>'Ед. Цени'!E13</f>
        <v>31.11</v>
      </c>
      <c r="G16" s="83">
        <f t="shared" si="0"/>
        <v>527.94000000000005</v>
      </c>
      <c r="I16" s="125">
        <v>16.97</v>
      </c>
      <c r="K16" s="121">
        <f t="shared" si="1"/>
        <v>0</v>
      </c>
    </row>
    <row r="17" spans="1:11" ht="30" x14ac:dyDescent="0.25">
      <c r="A17" s="18">
        <v>10</v>
      </c>
      <c r="B17" s="102" t="s">
        <v>156</v>
      </c>
      <c r="C17" s="21" t="s">
        <v>39</v>
      </c>
      <c r="D17" s="18" t="s">
        <v>44</v>
      </c>
      <c r="E17" s="86">
        <v>188.5</v>
      </c>
      <c r="F17" s="92">
        <f>'Ед. Цени'!E14</f>
        <v>0.56000000000000005</v>
      </c>
      <c r="G17" s="83">
        <f t="shared" si="0"/>
        <v>105.56</v>
      </c>
      <c r="I17" s="125">
        <v>188.5</v>
      </c>
      <c r="K17" s="121">
        <f t="shared" si="1"/>
        <v>0</v>
      </c>
    </row>
    <row r="18" spans="1:11" x14ac:dyDescent="0.25">
      <c r="A18" s="130" t="s">
        <v>48</v>
      </c>
      <c r="B18" s="131"/>
      <c r="C18" s="131"/>
      <c r="D18" s="131"/>
      <c r="E18" s="131"/>
      <c r="F18" s="131"/>
      <c r="G18" s="132"/>
      <c r="I18" s="125"/>
      <c r="K18" s="121">
        <f t="shared" si="1"/>
        <v>0</v>
      </c>
    </row>
    <row r="19" spans="1:11" ht="45" x14ac:dyDescent="0.25">
      <c r="A19" s="27">
        <v>11</v>
      </c>
      <c r="B19" s="102" t="s">
        <v>226</v>
      </c>
      <c r="C19" s="34" t="s">
        <v>98</v>
      </c>
      <c r="D19" s="18" t="s">
        <v>44</v>
      </c>
      <c r="E19" s="86">
        <v>161</v>
      </c>
      <c r="F19" s="92">
        <f>'Ед. Цени'!E84</f>
        <v>17.95</v>
      </c>
      <c r="G19" s="83">
        <f t="shared" ref="G19:G28" si="2">ROUND(E19*F19,2)</f>
        <v>2889.95</v>
      </c>
      <c r="I19" s="125">
        <v>161</v>
      </c>
      <c r="K19" s="121">
        <f t="shared" si="1"/>
        <v>0</v>
      </c>
    </row>
    <row r="20" spans="1:11" x14ac:dyDescent="0.25">
      <c r="A20" s="27">
        <v>12</v>
      </c>
      <c r="B20" s="102" t="s">
        <v>227</v>
      </c>
      <c r="C20" s="34" t="s">
        <v>67</v>
      </c>
      <c r="D20" s="36" t="s">
        <v>13</v>
      </c>
      <c r="E20" s="86">
        <v>27</v>
      </c>
      <c r="F20" s="92">
        <f>'Ед. Цени'!E85</f>
        <v>4.09</v>
      </c>
      <c r="G20" s="83">
        <f t="shared" si="2"/>
        <v>110.43</v>
      </c>
      <c r="I20" s="125">
        <v>27</v>
      </c>
      <c r="K20" s="121">
        <f t="shared" si="1"/>
        <v>0</v>
      </c>
    </row>
    <row r="21" spans="1:11" ht="30" x14ac:dyDescent="0.25">
      <c r="A21" s="43">
        <v>13</v>
      </c>
      <c r="B21" s="102" t="s">
        <v>228</v>
      </c>
      <c r="C21" s="34" t="s">
        <v>20</v>
      </c>
      <c r="D21" s="36" t="s">
        <v>13</v>
      </c>
      <c r="E21" s="87">
        <v>8</v>
      </c>
      <c r="F21" s="92">
        <f>'Ед. Цени'!E86</f>
        <v>150.22</v>
      </c>
      <c r="G21" s="83">
        <f t="shared" si="2"/>
        <v>1201.76</v>
      </c>
      <c r="I21" s="125">
        <v>8</v>
      </c>
      <c r="K21" s="121">
        <f t="shared" si="1"/>
        <v>0</v>
      </c>
    </row>
    <row r="22" spans="1:11" ht="30" x14ac:dyDescent="0.25">
      <c r="A22" s="27">
        <v>14</v>
      </c>
      <c r="B22" s="102" t="s">
        <v>229</v>
      </c>
      <c r="C22" s="34" t="s">
        <v>21</v>
      </c>
      <c r="D22" s="36" t="s">
        <v>13</v>
      </c>
      <c r="E22" s="87">
        <v>17</v>
      </c>
      <c r="F22" s="92">
        <f>'Ед. Цени'!E87</f>
        <v>157.47999999999999</v>
      </c>
      <c r="G22" s="83">
        <f t="shared" si="2"/>
        <v>2677.16</v>
      </c>
      <c r="I22" s="125">
        <v>17</v>
      </c>
      <c r="K22" s="121">
        <f t="shared" si="1"/>
        <v>0</v>
      </c>
    </row>
    <row r="23" spans="1:11" ht="30" x14ac:dyDescent="0.25">
      <c r="A23" s="27">
        <v>15</v>
      </c>
      <c r="B23" s="102" t="s">
        <v>230</v>
      </c>
      <c r="C23" s="34" t="s">
        <v>102</v>
      </c>
      <c r="D23" s="36" t="s">
        <v>13</v>
      </c>
      <c r="E23" s="87">
        <v>50</v>
      </c>
      <c r="F23" s="92">
        <f>'Ед. Цени'!E88</f>
        <v>34.97</v>
      </c>
      <c r="G23" s="83">
        <f t="shared" si="2"/>
        <v>1748.5</v>
      </c>
      <c r="I23" s="125">
        <v>50</v>
      </c>
      <c r="K23" s="121">
        <f t="shared" si="1"/>
        <v>0</v>
      </c>
    </row>
    <row r="24" spans="1:11" ht="30" x14ac:dyDescent="0.25">
      <c r="A24" s="43">
        <v>16</v>
      </c>
      <c r="B24" s="102" t="s">
        <v>231</v>
      </c>
      <c r="C24" s="26" t="s">
        <v>103</v>
      </c>
      <c r="D24" s="46" t="s">
        <v>13</v>
      </c>
      <c r="E24" s="88">
        <v>16</v>
      </c>
      <c r="F24" s="92">
        <f>'Ед. Цени'!E89</f>
        <v>33.869999999999997</v>
      </c>
      <c r="G24" s="83">
        <f t="shared" si="2"/>
        <v>541.91999999999996</v>
      </c>
      <c r="I24" s="125">
        <v>16</v>
      </c>
      <c r="K24" s="121">
        <f t="shared" si="1"/>
        <v>0</v>
      </c>
    </row>
    <row r="25" spans="1:11" ht="30" x14ac:dyDescent="0.25">
      <c r="A25" s="27">
        <v>17</v>
      </c>
      <c r="B25" s="102" t="s">
        <v>232</v>
      </c>
      <c r="C25" s="26" t="s">
        <v>104</v>
      </c>
      <c r="D25" s="46" t="s">
        <v>13</v>
      </c>
      <c r="E25" s="88">
        <v>34</v>
      </c>
      <c r="F25" s="92">
        <f>'Ед. Цени'!E90</f>
        <v>35.93</v>
      </c>
      <c r="G25" s="83">
        <f t="shared" si="2"/>
        <v>1221.6199999999999</v>
      </c>
      <c r="I25" s="125">
        <v>34</v>
      </c>
      <c r="K25" s="121">
        <f t="shared" si="1"/>
        <v>0</v>
      </c>
    </row>
    <row r="26" spans="1:11" ht="30" x14ac:dyDescent="0.25">
      <c r="A26" s="27">
        <v>18</v>
      </c>
      <c r="B26" s="102" t="s">
        <v>183</v>
      </c>
      <c r="C26" s="34" t="s">
        <v>37</v>
      </c>
      <c r="D26" s="36" t="s">
        <v>13</v>
      </c>
      <c r="E26" s="87">
        <v>6</v>
      </c>
      <c r="F26" s="92">
        <f>'Ед. Цени'!E41</f>
        <v>73.91</v>
      </c>
      <c r="G26" s="83">
        <f t="shared" si="2"/>
        <v>443.46</v>
      </c>
      <c r="I26" s="125">
        <v>6</v>
      </c>
      <c r="K26" s="121">
        <f t="shared" si="1"/>
        <v>0</v>
      </c>
    </row>
    <row r="27" spans="1:11" x14ac:dyDescent="0.25">
      <c r="A27" s="43">
        <v>19</v>
      </c>
      <c r="B27" s="102" t="s">
        <v>233</v>
      </c>
      <c r="C27" s="26" t="s">
        <v>66</v>
      </c>
      <c r="D27" s="18" t="s">
        <v>59</v>
      </c>
      <c r="E27" s="88">
        <v>72</v>
      </c>
      <c r="F27" s="92">
        <f>'Ед. Цени'!E91</f>
        <v>4.09</v>
      </c>
      <c r="G27" s="83">
        <f t="shared" si="2"/>
        <v>294.48</v>
      </c>
      <c r="I27" s="125">
        <v>72</v>
      </c>
      <c r="K27" s="121">
        <f t="shared" si="1"/>
        <v>0</v>
      </c>
    </row>
    <row r="28" spans="1:11" x14ac:dyDescent="0.25">
      <c r="A28" s="27">
        <v>20</v>
      </c>
      <c r="B28" s="102" t="s">
        <v>165</v>
      </c>
      <c r="C28" s="26" t="s">
        <v>38</v>
      </c>
      <c r="D28" s="36" t="s">
        <v>13</v>
      </c>
      <c r="E28" s="87">
        <v>16</v>
      </c>
      <c r="F28" s="92">
        <f>'Ед. Цени'!E23</f>
        <v>20</v>
      </c>
      <c r="G28" s="83">
        <f t="shared" si="2"/>
        <v>320</v>
      </c>
      <c r="I28" s="125">
        <v>16</v>
      </c>
      <c r="K28" s="121">
        <f t="shared" si="1"/>
        <v>0</v>
      </c>
    </row>
    <row r="29" spans="1:11" x14ac:dyDescent="0.25">
      <c r="A29" s="144" t="s">
        <v>139</v>
      </c>
      <c r="B29" s="145"/>
      <c r="C29" s="145"/>
      <c r="D29" s="145"/>
      <c r="E29" s="145"/>
      <c r="F29" s="145"/>
      <c r="G29" s="146"/>
      <c r="I29" s="125"/>
      <c r="K29" s="121">
        <f t="shared" si="1"/>
        <v>0</v>
      </c>
    </row>
    <row r="30" spans="1:11" ht="30" x14ac:dyDescent="0.25">
      <c r="A30" s="1">
        <v>21</v>
      </c>
      <c r="B30" s="102" t="s">
        <v>234</v>
      </c>
      <c r="C30" s="34" t="s">
        <v>63</v>
      </c>
      <c r="D30" s="36" t="s">
        <v>13</v>
      </c>
      <c r="E30" s="86">
        <v>10</v>
      </c>
      <c r="F30" s="92">
        <f>'Ед. Цени'!E92</f>
        <v>330.07</v>
      </c>
      <c r="G30" s="83">
        <f t="shared" ref="G30:G38" si="3">ROUND(E30*F30,2)</f>
        <v>3300.7</v>
      </c>
      <c r="I30" s="125">
        <v>10</v>
      </c>
      <c r="K30" s="121">
        <f t="shared" si="1"/>
        <v>0</v>
      </c>
    </row>
    <row r="31" spans="1:11" x14ac:dyDescent="0.25">
      <c r="A31" s="27">
        <v>22</v>
      </c>
      <c r="B31" s="102" t="s">
        <v>235</v>
      </c>
      <c r="C31" s="34" t="s">
        <v>58</v>
      </c>
      <c r="D31" s="18" t="s">
        <v>59</v>
      </c>
      <c r="E31" s="86">
        <v>10</v>
      </c>
      <c r="F31" s="92">
        <f>'Ед. Цени'!E93</f>
        <v>60.08</v>
      </c>
      <c r="G31" s="83">
        <f t="shared" si="3"/>
        <v>600.79999999999995</v>
      </c>
      <c r="I31" s="125">
        <v>10</v>
      </c>
      <c r="K31" s="121">
        <f t="shared" si="1"/>
        <v>0</v>
      </c>
    </row>
    <row r="32" spans="1:11" x14ac:dyDescent="0.25">
      <c r="A32" s="27">
        <v>23</v>
      </c>
      <c r="B32" s="102" t="s">
        <v>236</v>
      </c>
      <c r="C32" s="34" t="s">
        <v>60</v>
      </c>
      <c r="D32" s="18" t="s">
        <v>59</v>
      </c>
      <c r="E32" s="86">
        <v>20</v>
      </c>
      <c r="F32" s="92">
        <f>'Ед. Цени'!E94</f>
        <v>40.79</v>
      </c>
      <c r="G32" s="83">
        <f t="shared" si="3"/>
        <v>815.8</v>
      </c>
      <c r="I32" s="125">
        <v>20</v>
      </c>
      <c r="K32" s="121">
        <f t="shared" si="1"/>
        <v>0</v>
      </c>
    </row>
    <row r="33" spans="1:11" x14ac:dyDescent="0.25">
      <c r="A33" s="1">
        <v>24</v>
      </c>
      <c r="B33" s="102" t="s">
        <v>237</v>
      </c>
      <c r="C33" s="34" t="s">
        <v>61</v>
      </c>
      <c r="D33" s="18" t="s">
        <v>59</v>
      </c>
      <c r="E33" s="86">
        <v>20</v>
      </c>
      <c r="F33" s="92">
        <f>'Ед. Цени'!E95</f>
        <v>33.869999999999997</v>
      </c>
      <c r="G33" s="83">
        <f t="shared" si="3"/>
        <v>677.4</v>
      </c>
      <c r="I33" s="125">
        <v>20</v>
      </c>
      <c r="K33" s="121">
        <f t="shared" si="1"/>
        <v>0</v>
      </c>
    </row>
    <row r="34" spans="1:11" x14ac:dyDescent="0.25">
      <c r="A34" s="27">
        <v>25</v>
      </c>
      <c r="B34" s="102" t="s">
        <v>238</v>
      </c>
      <c r="C34" s="34" t="s">
        <v>62</v>
      </c>
      <c r="D34" s="18" t="s">
        <v>59</v>
      </c>
      <c r="E34" s="86">
        <v>20</v>
      </c>
      <c r="F34" s="92">
        <f>'Ед. Цени'!E96</f>
        <v>34.97</v>
      </c>
      <c r="G34" s="83">
        <f t="shared" si="3"/>
        <v>699.4</v>
      </c>
      <c r="I34" s="125">
        <v>20</v>
      </c>
      <c r="K34" s="121">
        <f t="shared" si="1"/>
        <v>0</v>
      </c>
    </row>
    <row r="35" spans="1:11" x14ac:dyDescent="0.25">
      <c r="A35" s="27">
        <v>26</v>
      </c>
      <c r="B35" s="102" t="s">
        <v>239</v>
      </c>
      <c r="C35" s="34" t="s">
        <v>64</v>
      </c>
      <c r="D35" s="18" t="s">
        <v>59</v>
      </c>
      <c r="E35" s="86">
        <v>20</v>
      </c>
      <c r="F35" s="92">
        <f>'Ед. Цени'!E97</f>
        <v>150.22</v>
      </c>
      <c r="G35" s="83">
        <f t="shared" si="3"/>
        <v>3004.4</v>
      </c>
      <c r="I35" s="125">
        <v>20</v>
      </c>
      <c r="K35" s="121">
        <f t="shared" si="1"/>
        <v>0</v>
      </c>
    </row>
    <row r="36" spans="1:11" x14ac:dyDescent="0.25">
      <c r="A36" s="1">
        <v>27</v>
      </c>
      <c r="B36" s="102" t="s">
        <v>165</v>
      </c>
      <c r="C36" s="34" t="s">
        <v>65</v>
      </c>
      <c r="D36" s="18" t="s">
        <v>59</v>
      </c>
      <c r="E36" s="86">
        <v>20</v>
      </c>
      <c r="F36" s="92">
        <f>'Ед. Цени'!E23</f>
        <v>20</v>
      </c>
      <c r="G36" s="83">
        <f t="shared" si="3"/>
        <v>400</v>
      </c>
      <c r="I36" s="125">
        <v>20</v>
      </c>
      <c r="K36" s="121">
        <f t="shared" si="1"/>
        <v>0</v>
      </c>
    </row>
    <row r="37" spans="1:11" x14ac:dyDescent="0.25">
      <c r="A37" s="27">
        <v>28</v>
      </c>
      <c r="B37" s="102" t="s">
        <v>233</v>
      </c>
      <c r="C37" s="34" t="s">
        <v>66</v>
      </c>
      <c r="D37" s="18" t="s">
        <v>59</v>
      </c>
      <c r="E37" s="86">
        <v>90</v>
      </c>
      <c r="F37" s="92">
        <f>'Ед. Цени'!E91</f>
        <v>4.09</v>
      </c>
      <c r="G37" s="83">
        <f t="shared" si="3"/>
        <v>368.1</v>
      </c>
      <c r="I37" s="125">
        <v>90</v>
      </c>
      <c r="K37" s="121">
        <f t="shared" si="1"/>
        <v>0</v>
      </c>
    </row>
    <row r="38" spans="1:11" ht="30" x14ac:dyDescent="0.25">
      <c r="A38" s="27">
        <v>29</v>
      </c>
      <c r="B38" s="102" t="s">
        <v>240</v>
      </c>
      <c r="C38" s="34" t="s">
        <v>14</v>
      </c>
      <c r="D38" s="36" t="s">
        <v>13</v>
      </c>
      <c r="E38" s="86">
        <v>10</v>
      </c>
      <c r="F38" s="92">
        <f>'Ед. Цени'!E98</f>
        <v>12.3</v>
      </c>
      <c r="G38" s="83">
        <f t="shared" si="3"/>
        <v>123</v>
      </c>
      <c r="I38" s="125">
        <v>10</v>
      </c>
      <c r="K38" s="121">
        <f t="shared" si="1"/>
        <v>0</v>
      </c>
    </row>
    <row r="39" spans="1:11" x14ac:dyDescent="0.25">
      <c r="A39" s="130" t="s">
        <v>49</v>
      </c>
      <c r="B39" s="131"/>
      <c r="C39" s="131"/>
      <c r="D39" s="131"/>
      <c r="E39" s="131"/>
      <c r="F39" s="131"/>
      <c r="G39" s="132"/>
      <c r="I39" s="125"/>
      <c r="K39" s="121">
        <f t="shared" si="1"/>
        <v>0</v>
      </c>
    </row>
    <row r="40" spans="1:11" x14ac:dyDescent="0.25">
      <c r="A40" s="1">
        <v>30</v>
      </c>
      <c r="B40" s="102" t="s">
        <v>200</v>
      </c>
      <c r="C40" s="2" t="s">
        <v>42</v>
      </c>
      <c r="D40" s="1" t="s">
        <v>46</v>
      </c>
      <c r="E40" s="86">
        <v>95.3</v>
      </c>
      <c r="F40" s="92">
        <f>'Ед. Цени'!E58</f>
        <v>31.11</v>
      </c>
      <c r="G40" s="83">
        <f t="shared" ref="G40:G48" si="4">ROUND(E40*F40,2)</f>
        <v>2964.78</v>
      </c>
      <c r="I40" s="125">
        <v>95.3</v>
      </c>
      <c r="K40" s="121">
        <f t="shared" si="1"/>
        <v>0</v>
      </c>
    </row>
    <row r="41" spans="1:11" ht="30" x14ac:dyDescent="0.25">
      <c r="A41" s="1">
        <v>31</v>
      </c>
      <c r="B41" s="102" t="s">
        <v>201</v>
      </c>
      <c r="C41" s="2" t="s">
        <v>50</v>
      </c>
      <c r="D41" s="1" t="s">
        <v>46</v>
      </c>
      <c r="E41" s="86">
        <v>95.3</v>
      </c>
      <c r="F41" s="92">
        <f>'Ед. Цени'!E59</f>
        <v>4</v>
      </c>
      <c r="G41" s="83">
        <f t="shared" si="4"/>
        <v>381.2</v>
      </c>
      <c r="I41" s="125">
        <v>95.3</v>
      </c>
      <c r="K41" s="121">
        <f t="shared" si="1"/>
        <v>0</v>
      </c>
    </row>
    <row r="42" spans="1:11" ht="30" x14ac:dyDescent="0.25">
      <c r="A42" s="1">
        <v>32</v>
      </c>
      <c r="B42" s="102" t="s">
        <v>202</v>
      </c>
      <c r="C42" s="24" t="s">
        <v>10</v>
      </c>
      <c r="D42" s="1" t="s">
        <v>46</v>
      </c>
      <c r="E42" s="86">
        <v>59.379999999999995</v>
      </c>
      <c r="F42" s="92">
        <f>'Ед. Цени'!E60</f>
        <v>31.11</v>
      </c>
      <c r="G42" s="83">
        <f t="shared" si="4"/>
        <v>1847.31</v>
      </c>
      <c r="I42" s="125">
        <v>59.379999999999995</v>
      </c>
      <c r="K42" s="121">
        <f t="shared" si="1"/>
        <v>0</v>
      </c>
    </row>
    <row r="43" spans="1:11" ht="30" x14ac:dyDescent="0.25">
      <c r="A43" s="1">
        <v>33</v>
      </c>
      <c r="B43" s="102" t="s">
        <v>203</v>
      </c>
      <c r="C43" s="25" t="s">
        <v>9</v>
      </c>
      <c r="D43" s="1" t="s">
        <v>46</v>
      </c>
      <c r="E43" s="86">
        <v>25.450000000000003</v>
      </c>
      <c r="F43" s="92">
        <f>'Ед. Цени'!E61</f>
        <v>31.11</v>
      </c>
      <c r="G43" s="83">
        <f t="shared" si="4"/>
        <v>791.75</v>
      </c>
      <c r="I43" s="125">
        <v>25.450000000000003</v>
      </c>
      <c r="K43" s="121">
        <f t="shared" si="1"/>
        <v>0</v>
      </c>
    </row>
    <row r="44" spans="1:11" ht="45" x14ac:dyDescent="0.25">
      <c r="A44" s="1">
        <v>34</v>
      </c>
      <c r="B44" s="102" t="s">
        <v>204</v>
      </c>
      <c r="C44" s="26" t="s">
        <v>7</v>
      </c>
      <c r="D44" s="27" t="s">
        <v>8</v>
      </c>
      <c r="E44" s="86">
        <v>23.52</v>
      </c>
      <c r="F44" s="92">
        <f>'Ед. Цени'!E62</f>
        <v>125.82</v>
      </c>
      <c r="G44" s="83">
        <f>ROUND(E44*F44,2)</f>
        <v>2959.29</v>
      </c>
      <c r="I44" s="125">
        <v>23.52</v>
      </c>
      <c r="K44" s="121">
        <f t="shared" si="1"/>
        <v>0</v>
      </c>
    </row>
    <row r="45" spans="1:11" ht="45" x14ac:dyDescent="0.25">
      <c r="A45" s="1">
        <v>35</v>
      </c>
      <c r="B45" s="102" t="s">
        <v>205</v>
      </c>
      <c r="C45" s="26" t="s">
        <v>93</v>
      </c>
      <c r="D45" s="27" t="s">
        <v>8</v>
      </c>
      <c r="E45" s="86">
        <v>23.52</v>
      </c>
      <c r="F45" s="92">
        <f>'Ед. Цени'!E63</f>
        <v>129.44999999999999</v>
      </c>
      <c r="G45" s="83">
        <f t="shared" si="4"/>
        <v>3044.66</v>
      </c>
      <c r="I45" s="125">
        <v>23.52</v>
      </c>
      <c r="K45" s="121">
        <f t="shared" si="1"/>
        <v>0</v>
      </c>
    </row>
    <row r="46" spans="1:11" ht="30" x14ac:dyDescent="0.25">
      <c r="A46" s="1">
        <v>36</v>
      </c>
      <c r="B46" s="102" t="s">
        <v>206</v>
      </c>
      <c r="C46" s="2" t="s">
        <v>51</v>
      </c>
      <c r="D46" s="1" t="s">
        <v>46</v>
      </c>
      <c r="E46" s="86">
        <v>176.78000000000003</v>
      </c>
      <c r="F46" s="92">
        <f>'Ед. Цени'!E64</f>
        <v>3.78</v>
      </c>
      <c r="G46" s="83">
        <f t="shared" si="4"/>
        <v>668.23</v>
      </c>
      <c r="I46" s="125">
        <v>176.78000000000003</v>
      </c>
      <c r="K46" s="121">
        <f t="shared" si="1"/>
        <v>0</v>
      </c>
    </row>
    <row r="47" spans="1:11" x14ac:dyDescent="0.25">
      <c r="A47" s="1">
        <v>37</v>
      </c>
      <c r="B47" s="102" t="s">
        <v>207</v>
      </c>
      <c r="C47" s="2" t="s">
        <v>11</v>
      </c>
      <c r="D47" s="3" t="s">
        <v>46</v>
      </c>
      <c r="E47" s="86">
        <v>176.78000000000003</v>
      </c>
      <c r="F47" s="92">
        <f>'Ед. Цени'!E65</f>
        <v>2.48</v>
      </c>
      <c r="G47" s="83">
        <f t="shared" si="4"/>
        <v>438.41</v>
      </c>
      <c r="I47" s="125">
        <v>176.78000000000003</v>
      </c>
      <c r="K47" s="121">
        <f t="shared" si="1"/>
        <v>0</v>
      </c>
    </row>
    <row r="48" spans="1:11" ht="30" x14ac:dyDescent="0.25">
      <c r="A48" s="1">
        <v>38</v>
      </c>
      <c r="B48" s="102" t="s">
        <v>208</v>
      </c>
      <c r="C48" s="39" t="s">
        <v>96</v>
      </c>
      <c r="D48" s="40" t="s">
        <v>52</v>
      </c>
      <c r="E48" s="86">
        <v>173.85</v>
      </c>
      <c r="F48" s="92">
        <f>'Ед. Цени'!E66</f>
        <v>6.53</v>
      </c>
      <c r="G48" s="83">
        <f t="shared" si="4"/>
        <v>1135.24</v>
      </c>
      <c r="I48" s="125">
        <v>173.85</v>
      </c>
      <c r="K48" s="121">
        <f t="shared" si="1"/>
        <v>0</v>
      </c>
    </row>
    <row r="49" spans="1:9" x14ac:dyDescent="0.25">
      <c r="A49" s="130" t="s">
        <v>53</v>
      </c>
      <c r="B49" s="131"/>
      <c r="C49" s="131"/>
      <c r="D49" s="131"/>
      <c r="E49" s="131"/>
      <c r="F49" s="131"/>
      <c r="G49" s="132"/>
      <c r="I49" s="125"/>
    </row>
    <row r="50" spans="1:9" x14ac:dyDescent="0.25">
      <c r="A50" s="1">
        <v>39</v>
      </c>
      <c r="B50" s="102" t="s">
        <v>209</v>
      </c>
      <c r="C50" s="26" t="s">
        <v>15</v>
      </c>
      <c r="D50" s="27" t="s">
        <v>5</v>
      </c>
      <c r="E50" s="86">
        <v>188.5</v>
      </c>
      <c r="F50" s="92">
        <f>'Ед. Цени'!E67</f>
        <v>1.36</v>
      </c>
      <c r="G50" s="83">
        <f>ROUND(E50*F50,2)</f>
        <v>256.36</v>
      </c>
      <c r="I50" s="125">
        <v>188.5</v>
      </c>
    </row>
    <row r="51" spans="1:9" x14ac:dyDescent="0.25">
      <c r="A51" s="1">
        <v>40</v>
      </c>
      <c r="B51" s="102" t="s">
        <v>210</v>
      </c>
      <c r="C51" s="26" t="s">
        <v>16</v>
      </c>
      <c r="D51" s="27" t="s">
        <v>5</v>
      </c>
      <c r="E51" s="86">
        <v>188.5</v>
      </c>
      <c r="F51" s="92">
        <f>'Ед. Цени'!E68</f>
        <v>1.49</v>
      </c>
      <c r="G51" s="83">
        <f>ROUND(E51*F51,2)</f>
        <v>280.87</v>
      </c>
      <c r="I51" s="125">
        <v>188.5</v>
      </c>
    </row>
    <row r="52" spans="1:9" x14ac:dyDescent="0.25">
      <c r="A52" s="74"/>
      <c r="B52" s="74"/>
      <c r="C52" s="9"/>
      <c r="D52" s="10"/>
      <c r="E52" s="126"/>
      <c r="F52" s="127"/>
      <c r="G52" s="81">
        <f>SUM(G8:G51)</f>
        <v>38850.900000000016</v>
      </c>
      <c r="H52" s="6">
        <v>84016.45</v>
      </c>
      <c r="I52" s="125"/>
    </row>
    <row r="53" spans="1:9" x14ac:dyDescent="0.25">
      <c r="A53" s="74"/>
      <c r="B53" s="74"/>
      <c r="C53" s="9"/>
      <c r="D53" s="10"/>
      <c r="E53" s="126"/>
      <c r="F53" s="127"/>
      <c r="G53" s="81">
        <f>0.2*G52</f>
        <v>7770.1800000000039</v>
      </c>
    </row>
    <row r="54" spans="1:9" x14ac:dyDescent="0.25">
      <c r="A54" s="74"/>
      <c r="B54" s="74"/>
      <c r="C54" s="9"/>
      <c r="D54" s="10"/>
      <c r="E54" s="126"/>
      <c r="F54" s="127"/>
      <c r="G54" s="81">
        <f>G52+G53</f>
        <v>46621.080000000016</v>
      </c>
    </row>
  </sheetData>
  <autoFilter ref="A5:G54"/>
  <mergeCells count="10">
    <mergeCell ref="A3:G4"/>
    <mergeCell ref="A6:G6"/>
    <mergeCell ref="A7:G7"/>
    <mergeCell ref="A18:G18"/>
    <mergeCell ref="E53:F53"/>
    <mergeCell ref="E54:F54"/>
    <mergeCell ref="A29:G29"/>
    <mergeCell ref="A39:G39"/>
    <mergeCell ref="A49:G49"/>
    <mergeCell ref="E52:F52"/>
  </mergeCells>
  <pageMargins left="0.39" right="0.38" top="0.32" bottom="0.28000000000000003" header="0.3" footer="0.3"/>
  <pageSetup paperSize="9"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view="pageBreakPreview" zoomScale="90" zoomScaleNormal="100" zoomScaleSheetLayoutView="90" workbookViewId="0">
      <selection activeCell="H3" sqref="H3"/>
    </sheetView>
  </sheetViews>
  <sheetFormatPr defaultRowHeight="15" x14ac:dyDescent="0.25"/>
  <cols>
    <col min="1" max="1" width="7.7109375" customWidth="1"/>
    <col min="2" max="2" width="58.85546875" style="51" customWidth="1"/>
    <col min="3" max="3" width="21.85546875" customWidth="1"/>
    <col min="4" max="4" width="42.42578125" customWidth="1"/>
    <col min="5" max="5" width="11.5703125" bestFit="1" customWidth="1"/>
    <col min="6" max="6" width="11.140625" customWidth="1"/>
    <col min="8" max="8" width="15.28515625" customWidth="1"/>
  </cols>
  <sheetData>
    <row r="1" spans="1:10" s="6" customFormat="1" ht="39.75" customHeight="1" x14ac:dyDescent="0.25">
      <c r="A1" s="143" t="s">
        <v>141</v>
      </c>
      <c r="B1" s="143"/>
      <c r="C1" s="143"/>
      <c r="D1" s="47"/>
      <c r="E1" s="47"/>
      <c r="F1" s="47"/>
      <c r="G1" s="47"/>
      <c r="H1" s="47"/>
      <c r="I1" s="48"/>
      <c r="J1" s="42"/>
    </row>
    <row r="2" spans="1:10" ht="25.15" customHeight="1" x14ac:dyDescent="0.25">
      <c r="A2" s="49"/>
      <c r="B2" s="50"/>
      <c r="C2" s="49"/>
      <c r="D2" s="47"/>
      <c r="E2" s="47"/>
      <c r="F2" s="47"/>
      <c r="G2" s="47"/>
      <c r="H2" s="47"/>
      <c r="I2" s="49"/>
    </row>
    <row r="3" spans="1:10" ht="25.15" customHeight="1" thickBot="1" x14ac:dyDescent="0.3">
      <c r="A3" s="49"/>
      <c r="B3" s="50"/>
      <c r="C3" s="49"/>
      <c r="D3" s="47"/>
      <c r="E3" s="47"/>
      <c r="F3" s="47"/>
      <c r="G3" s="47"/>
      <c r="H3" s="47"/>
      <c r="I3" s="49"/>
    </row>
    <row r="4" spans="1:10" ht="33" customHeight="1" thickBot="1" x14ac:dyDescent="0.3">
      <c r="A4" s="64" t="s">
        <v>133</v>
      </c>
      <c r="B4" s="62" t="s">
        <v>134</v>
      </c>
      <c r="C4" s="63" t="s">
        <v>57</v>
      </c>
      <c r="D4" s="97" t="s">
        <v>143</v>
      </c>
      <c r="E4" s="98" t="s">
        <v>144</v>
      </c>
      <c r="F4" s="98" t="s">
        <v>145</v>
      </c>
      <c r="G4" s="47"/>
      <c r="H4" s="47"/>
      <c r="I4" s="49"/>
    </row>
    <row r="5" spans="1:10" ht="39.75" customHeight="1" x14ac:dyDescent="0.25">
      <c r="A5" s="53">
        <v>1</v>
      </c>
      <c r="B5" s="59" t="s">
        <v>135</v>
      </c>
      <c r="C5" s="56">
        <f>Ф200!G79</f>
        <v>125964.65000000001</v>
      </c>
      <c r="D5" s="96">
        <v>135293.78</v>
      </c>
      <c r="E5" s="70">
        <f>Ф200!E18</f>
        <v>464</v>
      </c>
      <c r="F5" s="70">
        <f>C5/E5</f>
        <v>271.47553879310345</v>
      </c>
      <c r="G5" s="47"/>
      <c r="H5" s="105">
        <f>D5-C5</f>
        <v>9329.1299999999901</v>
      </c>
      <c r="I5" s="49"/>
    </row>
    <row r="6" spans="1:10" ht="39.75" customHeight="1" x14ac:dyDescent="0.25">
      <c r="A6" s="54">
        <v>2</v>
      </c>
      <c r="B6" s="60" t="s">
        <v>136</v>
      </c>
      <c r="C6" s="57">
        <f>Ф160!G40</f>
        <v>103933.74999999999</v>
      </c>
      <c r="D6" s="96">
        <v>113763.7</v>
      </c>
      <c r="E6" s="70">
        <v>607</v>
      </c>
      <c r="F6" s="70">
        <f t="shared" ref="F6:F8" si="0">C6/E6</f>
        <v>171.22528830313013</v>
      </c>
      <c r="G6" s="47"/>
      <c r="H6" s="105">
        <f>D6-C6</f>
        <v>9829.9500000000116</v>
      </c>
      <c r="I6" s="49"/>
    </row>
    <row r="7" spans="1:10" ht="39.75" customHeight="1" x14ac:dyDescent="0.25">
      <c r="A7" s="54">
        <v>3</v>
      </c>
      <c r="B7" s="60" t="s">
        <v>137</v>
      </c>
      <c r="C7" s="57">
        <f>'Ф 125'!G46</f>
        <v>119093.79000000001</v>
      </c>
      <c r="D7" s="96">
        <v>128424.74</v>
      </c>
      <c r="E7" s="70">
        <v>607</v>
      </c>
      <c r="F7" s="70">
        <f t="shared" si="0"/>
        <v>196.20064250411863</v>
      </c>
      <c r="G7" s="47"/>
      <c r="H7" s="105">
        <f>D7-C7</f>
        <v>9330.9499999999971</v>
      </c>
      <c r="I7" s="49"/>
    </row>
    <row r="8" spans="1:10" ht="39.75" customHeight="1" thickBot="1" x14ac:dyDescent="0.3">
      <c r="A8" s="55">
        <v>4</v>
      </c>
      <c r="B8" s="61" t="s">
        <v>138</v>
      </c>
      <c r="C8" s="58">
        <f>'Ф 90'!G52</f>
        <v>38850.900000000016</v>
      </c>
      <c r="D8" s="95">
        <v>38994.99</v>
      </c>
      <c r="E8" s="71">
        <v>161</v>
      </c>
      <c r="F8" s="70">
        <f t="shared" si="0"/>
        <v>241.30993788819885</v>
      </c>
      <c r="G8" s="49"/>
      <c r="H8" s="105">
        <f>D8-C8</f>
        <v>144.08999999998196</v>
      </c>
      <c r="I8" s="49"/>
    </row>
    <row r="9" spans="1:10" ht="20.25" customHeight="1" thickBot="1" x14ac:dyDescent="0.3">
      <c r="A9" s="65"/>
      <c r="B9" s="67" t="s">
        <v>94</v>
      </c>
      <c r="C9" s="63">
        <f>SUM(C5:C8)</f>
        <v>387843.09</v>
      </c>
      <c r="D9" s="95">
        <v>416477.21</v>
      </c>
      <c r="E9" s="72">
        <f>D9-C9</f>
        <v>28634.119999999995</v>
      </c>
      <c r="F9" s="72">
        <f>D9/E9</f>
        <v>14.544788175784696</v>
      </c>
      <c r="G9" s="73" t="s">
        <v>146</v>
      </c>
      <c r="H9" s="49"/>
      <c r="I9" s="49"/>
    </row>
    <row r="10" spans="1:10" ht="20.25" customHeight="1" thickBot="1" x14ac:dyDescent="0.3">
      <c r="A10" s="65"/>
      <c r="B10" s="67" t="s">
        <v>142</v>
      </c>
      <c r="C10" s="63">
        <f>0.2*C9</f>
        <v>77568.618000000002</v>
      </c>
      <c r="D10" s="49"/>
      <c r="E10" s="49"/>
      <c r="F10" s="49"/>
      <c r="G10" s="49"/>
      <c r="H10" s="107">
        <f>E9*1.98553</f>
        <v>56853.904283599994</v>
      </c>
      <c r="I10" s="49"/>
    </row>
    <row r="11" spans="1:10" ht="20.25" customHeight="1" thickBot="1" x14ac:dyDescent="0.3">
      <c r="A11" s="66"/>
      <c r="B11" s="68" t="s">
        <v>95</v>
      </c>
      <c r="C11" s="69">
        <f>C9+C10</f>
        <v>465411.70800000004</v>
      </c>
      <c r="D11" s="49"/>
      <c r="E11" s="49"/>
      <c r="F11" s="49"/>
      <c r="G11" s="49"/>
      <c r="H11" s="49"/>
      <c r="I11" s="49"/>
    </row>
    <row r="12" spans="1:10" x14ac:dyDescent="0.25">
      <c r="A12" s="49"/>
      <c r="B12" s="50"/>
      <c r="C12" s="49"/>
      <c r="D12" s="49"/>
      <c r="E12" s="52"/>
      <c r="F12" s="49"/>
      <c r="G12" s="49"/>
      <c r="H12" s="49"/>
      <c r="I12" s="49"/>
    </row>
    <row r="13" spans="1:10" x14ac:dyDescent="0.25">
      <c r="A13" s="49"/>
      <c r="B13" s="50"/>
      <c r="C13" s="49"/>
      <c r="D13" s="52"/>
      <c r="E13" s="49"/>
      <c r="F13" s="49"/>
      <c r="G13" s="49"/>
      <c r="H13" s="49"/>
      <c r="I13" s="49"/>
    </row>
  </sheetData>
  <mergeCells count="1">
    <mergeCell ref="A1:C1"/>
  </mergeCells>
  <pageMargins left="0.7" right="0.7" top="0.75" bottom="0.75" header="0.3" footer="0.3"/>
  <pageSetup paperSize="9" orientation="landscape" verticalDpi="1200" r:id="rId1"/>
  <colBreaks count="1" manualBreakCount="1">
    <brk id="3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99"/>
  <sheetViews>
    <sheetView view="pageBreakPreview" zoomScaleNormal="100" zoomScaleSheetLayoutView="100" workbookViewId="0">
      <selection activeCell="I4" sqref="I4"/>
    </sheetView>
  </sheetViews>
  <sheetFormatPr defaultColWidth="9.140625" defaultRowHeight="15" x14ac:dyDescent="0.25"/>
  <cols>
    <col min="1" max="1" width="9" style="79" customWidth="1"/>
    <col min="2" max="2" width="16.85546875" style="79" customWidth="1"/>
    <col min="3" max="3" width="41.7109375" style="11" customWidth="1"/>
    <col min="4" max="4" width="6.5703125" style="30" customWidth="1"/>
    <col min="5" max="5" width="12.140625" style="94" customWidth="1"/>
    <col min="6" max="16384" width="9.140625" style="6"/>
  </cols>
  <sheetData>
    <row r="1" spans="1:5" ht="39.75" customHeight="1" thickBot="1" x14ac:dyDescent="0.3">
      <c r="A1" s="142" t="s">
        <v>140</v>
      </c>
      <c r="B1" s="142"/>
      <c r="C1" s="142"/>
      <c r="D1" s="142"/>
      <c r="E1" s="142"/>
    </row>
    <row r="2" spans="1:5" ht="39.75" customHeight="1" thickBot="1" x14ac:dyDescent="0.3">
      <c r="C2" s="103" t="s">
        <v>241</v>
      </c>
      <c r="D2" s="104"/>
      <c r="E2" s="104"/>
    </row>
    <row r="3" spans="1:5" ht="36" thickBot="1" x14ac:dyDescent="0.3">
      <c r="A3" s="12" t="s">
        <v>0</v>
      </c>
      <c r="B3" s="100"/>
      <c r="C3" s="13" t="s">
        <v>1</v>
      </c>
      <c r="D3" s="14" t="s">
        <v>2</v>
      </c>
      <c r="E3" s="91" t="s">
        <v>242</v>
      </c>
    </row>
    <row r="4" spans="1:5" s="29" customFormat="1" x14ac:dyDescent="0.25">
      <c r="A4" s="18">
        <v>1</v>
      </c>
      <c r="B4" s="101" t="s">
        <v>147</v>
      </c>
      <c r="C4" s="17" t="s">
        <v>4</v>
      </c>
      <c r="D4" s="18" t="s">
        <v>44</v>
      </c>
      <c r="E4" s="92">
        <v>1.51</v>
      </c>
    </row>
    <row r="5" spans="1:5" ht="30" x14ac:dyDescent="0.25">
      <c r="A5" s="75">
        <v>2</v>
      </c>
      <c r="B5" s="102" t="s">
        <v>148</v>
      </c>
      <c r="C5" s="2" t="s">
        <v>43</v>
      </c>
      <c r="D5" s="1" t="s">
        <v>46</v>
      </c>
      <c r="E5" s="92">
        <v>1.65</v>
      </c>
    </row>
    <row r="6" spans="1:5" x14ac:dyDescent="0.25">
      <c r="A6" s="75">
        <v>3</v>
      </c>
      <c r="B6" s="102" t="s">
        <v>149</v>
      </c>
      <c r="C6" s="2" t="s">
        <v>45</v>
      </c>
      <c r="D6" s="1" t="s">
        <v>46</v>
      </c>
      <c r="E6" s="92">
        <v>1.38</v>
      </c>
    </row>
    <row r="7" spans="1:5" x14ac:dyDescent="0.25">
      <c r="A7" s="75">
        <v>4</v>
      </c>
      <c r="B7" s="102"/>
      <c r="C7" s="106" t="s">
        <v>71</v>
      </c>
      <c r="D7" s="99"/>
      <c r="E7" s="92">
        <v>0</v>
      </c>
    </row>
    <row r="8" spans="1:5" x14ac:dyDescent="0.25">
      <c r="A8" s="75">
        <v>5</v>
      </c>
      <c r="B8" s="102" t="s">
        <v>150</v>
      </c>
      <c r="C8" s="2" t="s">
        <v>115</v>
      </c>
      <c r="D8" s="1" t="s">
        <v>46</v>
      </c>
      <c r="E8" s="92">
        <v>6.5</v>
      </c>
    </row>
    <row r="9" spans="1:5" x14ac:dyDescent="0.25">
      <c r="A9" s="75">
        <v>6</v>
      </c>
      <c r="B9" s="102" t="s">
        <v>151</v>
      </c>
      <c r="C9" s="2" t="s">
        <v>116</v>
      </c>
      <c r="D9" s="1" t="s">
        <v>46</v>
      </c>
      <c r="E9" s="92">
        <v>12.28</v>
      </c>
    </row>
    <row r="10" spans="1:5" x14ac:dyDescent="0.25">
      <c r="A10" s="75">
        <v>7</v>
      </c>
      <c r="B10" s="102" t="s">
        <v>152</v>
      </c>
      <c r="C10" s="2" t="s">
        <v>117</v>
      </c>
      <c r="D10" s="1" t="s">
        <v>46</v>
      </c>
      <c r="E10" s="92">
        <v>20.68</v>
      </c>
    </row>
    <row r="11" spans="1:5" ht="30" x14ac:dyDescent="0.25">
      <c r="A11" s="75">
        <v>8</v>
      </c>
      <c r="B11" s="102" t="s">
        <v>153</v>
      </c>
      <c r="C11" s="2" t="s">
        <v>54</v>
      </c>
      <c r="D11" s="1" t="s">
        <v>46</v>
      </c>
      <c r="E11" s="92">
        <v>4</v>
      </c>
    </row>
    <row r="12" spans="1:5" ht="30" x14ac:dyDescent="0.25">
      <c r="A12" s="75">
        <v>9</v>
      </c>
      <c r="B12" s="102" t="s">
        <v>154</v>
      </c>
      <c r="C12" s="19" t="s">
        <v>12</v>
      </c>
      <c r="D12" s="20" t="s">
        <v>6</v>
      </c>
      <c r="E12" s="92">
        <v>1.86</v>
      </c>
    </row>
    <row r="13" spans="1:5" x14ac:dyDescent="0.25">
      <c r="A13" s="75">
        <v>10</v>
      </c>
      <c r="B13" s="102" t="s">
        <v>155</v>
      </c>
      <c r="C13" s="2" t="s">
        <v>55</v>
      </c>
      <c r="D13" s="1" t="s">
        <v>46</v>
      </c>
      <c r="E13" s="92">
        <v>31.11</v>
      </c>
    </row>
    <row r="14" spans="1:5" ht="30" x14ac:dyDescent="0.25">
      <c r="A14" s="75">
        <v>11</v>
      </c>
      <c r="B14" s="102" t="s">
        <v>156</v>
      </c>
      <c r="C14" s="21" t="s">
        <v>39</v>
      </c>
      <c r="D14" s="18" t="s">
        <v>44</v>
      </c>
      <c r="E14" s="92">
        <v>0.56000000000000005</v>
      </c>
    </row>
    <row r="15" spans="1:5" ht="45" x14ac:dyDescent="0.25">
      <c r="A15" s="18">
        <v>12</v>
      </c>
      <c r="B15" s="102" t="s">
        <v>157</v>
      </c>
      <c r="C15" s="34" t="s">
        <v>101</v>
      </c>
      <c r="D15" s="18" t="s">
        <v>44</v>
      </c>
      <c r="E15" s="92">
        <v>40.869999999999997</v>
      </c>
    </row>
    <row r="16" spans="1:5" x14ac:dyDescent="0.25">
      <c r="A16" s="18">
        <v>13</v>
      </c>
      <c r="B16" s="102" t="s">
        <v>158</v>
      </c>
      <c r="C16" s="34" t="s">
        <v>70</v>
      </c>
      <c r="D16" s="36" t="s">
        <v>13</v>
      </c>
      <c r="E16" s="92">
        <v>7.85</v>
      </c>
    </row>
    <row r="17" spans="1:5" ht="30" x14ac:dyDescent="0.25">
      <c r="A17" s="77">
        <v>14</v>
      </c>
      <c r="B17" s="102" t="s">
        <v>159</v>
      </c>
      <c r="C17" s="34" t="s">
        <v>19</v>
      </c>
      <c r="D17" s="36" t="s">
        <v>13</v>
      </c>
      <c r="E17" s="92">
        <v>270.01</v>
      </c>
    </row>
    <row r="18" spans="1:5" ht="30" x14ac:dyDescent="0.25">
      <c r="A18" s="77">
        <v>15</v>
      </c>
      <c r="B18" s="102" t="s">
        <v>160</v>
      </c>
      <c r="C18" s="34" t="s">
        <v>107</v>
      </c>
      <c r="D18" s="36" t="s">
        <v>13</v>
      </c>
      <c r="E18" s="92">
        <v>65.27</v>
      </c>
    </row>
    <row r="19" spans="1:5" ht="30" x14ac:dyDescent="0.25">
      <c r="A19" s="77">
        <v>16</v>
      </c>
      <c r="B19" s="102" t="s">
        <v>161</v>
      </c>
      <c r="C19" s="34" t="s">
        <v>108</v>
      </c>
      <c r="D19" s="36" t="s">
        <v>13</v>
      </c>
      <c r="E19" s="92">
        <v>59.52</v>
      </c>
    </row>
    <row r="20" spans="1:5" ht="30" x14ac:dyDescent="0.25">
      <c r="A20" s="77">
        <v>17</v>
      </c>
      <c r="B20" s="102" t="s">
        <v>162</v>
      </c>
      <c r="C20" s="34" t="s">
        <v>112</v>
      </c>
      <c r="D20" s="36" t="s">
        <v>13</v>
      </c>
      <c r="E20" s="92">
        <v>64.14</v>
      </c>
    </row>
    <row r="21" spans="1:5" s="44" customFormat="1" ht="30" x14ac:dyDescent="0.25">
      <c r="A21" s="77">
        <v>18</v>
      </c>
      <c r="B21" s="102" t="s">
        <v>163</v>
      </c>
      <c r="C21" s="34" t="s">
        <v>32</v>
      </c>
      <c r="D21" s="36" t="s">
        <v>13</v>
      </c>
      <c r="E21" s="92">
        <v>86.22</v>
      </c>
    </row>
    <row r="22" spans="1:5" x14ac:dyDescent="0.25">
      <c r="A22" s="18">
        <v>19</v>
      </c>
      <c r="B22" s="102" t="s">
        <v>164</v>
      </c>
      <c r="C22" s="26" t="s">
        <v>92</v>
      </c>
      <c r="D22" s="18" t="s">
        <v>59</v>
      </c>
      <c r="E22" s="92">
        <v>7.85</v>
      </c>
    </row>
    <row r="23" spans="1:5" s="29" customFormat="1" x14ac:dyDescent="0.25">
      <c r="A23" s="77">
        <v>20</v>
      </c>
      <c r="B23" s="102" t="s">
        <v>165</v>
      </c>
      <c r="C23" s="26" t="s">
        <v>38</v>
      </c>
      <c r="D23" s="36" t="s">
        <v>13</v>
      </c>
      <c r="E23" s="92">
        <v>20</v>
      </c>
    </row>
    <row r="24" spans="1:5" s="29" customFormat="1" ht="30" x14ac:dyDescent="0.25">
      <c r="A24" s="4">
        <v>21</v>
      </c>
      <c r="B24" s="102" t="s">
        <v>166</v>
      </c>
      <c r="C24" s="5" t="s">
        <v>84</v>
      </c>
      <c r="D24" s="4" t="s">
        <v>46</v>
      </c>
      <c r="E24" s="92">
        <v>115.81</v>
      </c>
    </row>
    <row r="25" spans="1:5" s="29" customFormat="1" x14ac:dyDescent="0.25">
      <c r="A25" s="4">
        <v>22</v>
      </c>
      <c r="B25" s="102" t="s">
        <v>167</v>
      </c>
      <c r="C25" s="5" t="s">
        <v>85</v>
      </c>
      <c r="D25" s="4" t="s">
        <v>86</v>
      </c>
      <c r="E25" s="92">
        <v>2.86</v>
      </c>
    </row>
    <row r="26" spans="1:5" s="29" customFormat="1" x14ac:dyDescent="0.25">
      <c r="A26" s="4">
        <v>23</v>
      </c>
      <c r="B26" s="102" t="s">
        <v>168</v>
      </c>
      <c r="C26" s="5" t="s">
        <v>87</v>
      </c>
      <c r="D26" s="4" t="s">
        <v>46</v>
      </c>
      <c r="E26" s="92">
        <v>29.9</v>
      </c>
    </row>
    <row r="27" spans="1:5" x14ac:dyDescent="0.25">
      <c r="A27" s="4">
        <v>24</v>
      </c>
      <c r="B27" s="102" t="s">
        <v>170</v>
      </c>
      <c r="C27" s="5" t="s">
        <v>88</v>
      </c>
      <c r="D27" s="4" t="s">
        <v>46</v>
      </c>
      <c r="E27" s="92">
        <v>31.11</v>
      </c>
    </row>
    <row r="28" spans="1:5" x14ac:dyDescent="0.25">
      <c r="A28" s="18">
        <v>25</v>
      </c>
      <c r="B28" s="102" t="s">
        <v>171</v>
      </c>
      <c r="C28" s="2" t="s">
        <v>73</v>
      </c>
      <c r="D28" s="36" t="s">
        <v>13</v>
      </c>
      <c r="E28" s="92">
        <v>173.21</v>
      </c>
    </row>
    <row r="29" spans="1:5" ht="30" x14ac:dyDescent="0.25">
      <c r="A29" s="75">
        <v>26</v>
      </c>
      <c r="B29" s="102" t="s">
        <v>169</v>
      </c>
      <c r="C29" s="34" t="s">
        <v>30</v>
      </c>
      <c r="D29" s="36" t="s">
        <v>13</v>
      </c>
      <c r="E29" s="92">
        <v>91.06</v>
      </c>
    </row>
    <row r="30" spans="1:5" ht="30" x14ac:dyDescent="0.25">
      <c r="A30" s="75">
        <v>27</v>
      </c>
      <c r="B30" s="102" t="s">
        <v>172</v>
      </c>
      <c r="C30" s="34" t="s">
        <v>31</v>
      </c>
      <c r="D30" s="36" t="s">
        <v>13</v>
      </c>
      <c r="E30" s="92">
        <v>66.86</v>
      </c>
    </row>
    <row r="31" spans="1:5" ht="30" x14ac:dyDescent="0.25">
      <c r="A31" s="75">
        <v>28</v>
      </c>
      <c r="B31" s="102" t="s">
        <v>173</v>
      </c>
      <c r="C31" s="34" t="s">
        <v>109</v>
      </c>
      <c r="D31" s="36" t="s">
        <v>13</v>
      </c>
      <c r="E31" s="92">
        <v>59.3</v>
      </c>
    </row>
    <row r="32" spans="1:5" x14ac:dyDescent="0.25">
      <c r="A32" s="75">
        <v>29</v>
      </c>
      <c r="B32" s="102" t="s">
        <v>174</v>
      </c>
      <c r="C32" s="34" t="s">
        <v>23</v>
      </c>
      <c r="D32" s="36" t="s">
        <v>13</v>
      </c>
      <c r="E32" s="92">
        <v>190.15</v>
      </c>
    </row>
    <row r="33" spans="1:5" x14ac:dyDescent="0.25">
      <c r="A33" s="75">
        <v>30</v>
      </c>
      <c r="B33" s="102" t="s">
        <v>175</v>
      </c>
      <c r="C33" s="34" t="s">
        <v>24</v>
      </c>
      <c r="D33" s="36" t="s">
        <v>13</v>
      </c>
      <c r="E33" s="92">
        <v>159.9</v>
      </c>
    </row>
    <row r="34" spans="1:5" ht="30" x14ac:dyDescent="0.25">
      <c r="A34" s="75">
        <v>31</v>
      </c>
      <c r="B34" s="102" t="s">
        <v>176</v>
      </c>
      <c r="C34" s="34" t="s">
        <v>110</v>
      </c>
      <c r="D34" s="36" t="s">
        <v>13</v>
      </c>
      <c r="E34" s="92">
        <v>53.17</v>
      </c>
    </row>
    <row r="35" spans="1:5" ht="30" x14ac:dyDescent="0.25">
      <c r="A35" s="75">
        <v>32</v>
      </c>
      <c r="B35" s="102" t="s">
        <v>177</v>
      </c>
      <c r="C35" s="34" t="s">
        <v>111</v>
      </c>
      <c r="D35" s="36" t="s">
        <v>13</v>
      </c>
      <c r="E35" s="92">
        <v>44.76</v>
      </c>
    </row>
    <row r="36" spans="1:5" ht="30" x14ac:dyDescent="0.25">
      <c r="A36" s="75">
        <v>33</v>
      </c>
      <c r="B36" s="102" t="s">
        <v>178</v>
      </c>
      <c r="C36" s="34" t="s">
        <v>105</v>
      </c>
      <c r="D36" s="36" t="s">
        <v>13</v>
      </c>
      <c r="E36" s="92">
        <v>58.86</v>
      </c>
    </row>
    <row r="37" spans="1:5" ht="30" x14ac:dyDescent="0.25">
      <c r="A37" s="75">
        <v>34</v>
      </c>
      <c r="B37" s="102" t="s">
        <v>179</v>
      </c>
      <c r="C37" s="34" t="s">
        <v>106</v>
      </c>
      <c r="D37" s="36" t="s">
        <v>13</v>
      </c>
      <c r="E37" s="92">
        <v>49.72</v>
      </c>
    </row>
    <row r="38" spans="1:5" ht="30" x14ac:dyDescent="0.25">
      <c r="A38" s="75">
        <v>35</v>
      </c>
      <c r="B38" s="102" t="s">
        <v>180</v>
      </c>
      <c r="C38" s="34" t="s">
        <v>25</v>
      </c>
      <c r="D38" s="36" t="s">
        <v>13</v>
      </c>
      <c r="E38" s="92">
        <v>2220.5300000000002</v>
      </c>
    </row>
    <row r="39" spans="1:5" x14ac:dyDescent="0.25">
      <c r="A39" s="75">
        <v>36</v>
      </c>
      <c r="B39" s="102" t="s">
        <v>181</v>
      </c>
      <c r="C39" s="34" t="s">
        <v>26</v>
      </c>
      <c r="D39" s="36" t="s">
        <v>13</v>
      </c>
      <c r="E39" s="92">
        <v>1343.28</v>
      </c>
    </row>
    <row r="40" spans="1:5" ht="30" x14ac:dyDescent="0.25">
      <c r="A40" s="18">
        <v>37</v>
      </c>
      <c r="B40" s="102" t="s">
        <v>182</v>
      </c>
      <c r="C40" s="34" t="s">
        <v>40</v>
      </c>
      <c r="D40" s="36" t="s">
        <v>13</v>
      </c>
      <c r="E40" s="92">
        <v>150.22</v>
      </c>
    </row>
    <row r="41" spans="1:5" ht="30" x14ac:dyDescent="0.25">
      <c r="A41" s="18">
        <v>38</v>
      </c>
      <c r="B41" s="102" t="s">
        <v>183</v>
      </c>
      <c r="C41" s="34" t="s">
        <v>41</v>
      </c>
      <c r="D41" s="36" t="s">
        <v>13</v>
      </c>
      <c r="E41" s="92">
        <v>73.91</v>
      </c>
    </row>
    <row r="42" spans="1:5" ht="30" x14ac:dyDescent="0.25">
      <c r="A42" s="18">
        <v>39</v>
      </c>
      <c r="B42" s="102" t="s">
        <v>184</v>
      </c>
      <c r="C42" s="2" t="s">
        <v>74</v>
      </c>
      <c r="D42" s="36" t="s">
        <v>13</v>
      </c>
      <c r="E42" s="92">
        <v>222.82</v>
      </c>
    </row>
    <row r="43" spans="1:5" ht="30" x14ac:dyDescent="0.25">
      <c r="A43" s="18">
        <v>40</v>
      </c>
      <c r="B43" s="102" t="s">
        <v>185</v>
      </c>
      <c r="C43" s="2" t="s">
        <v>75</v>
      </c>
      <c r="D43" s="36" t="s">
        <v>13</v>
      </c>
      <c r="E43" s="92">
        <v>256.7</v>
      </c>
    </row>
    <row r="44" spans="1:5" ht="30" x14ac:dyDescent="0.25">
      <c r="A44" s="18">
        <v>41</v>
      </c>
      <c r="B44" s="102" t="s">
        <v>186</v>
      </c>
      <c r="C44" s="2" t="s">
        <v>76</v>
      </c>
      <c r="D44" s="36" t="s">
        <v>13</v>
      </c>
      <c r="E44" s="92">
        <v>151.43</v>
      </c>
    </row>
    <row r="45" spans="1:5" ht="30" x14ac:dyDescent="0.25">
      <c r="A45" s="18">
        <v>42</v>
      </c>
      <c r="B45" s="102" t="s">
        <v>187</v>
      </c>
      <c r="C45" s="2" t="s">
        <v>77</v>
      </c>
      <c r="D45" s="36" t="s">
        <v>13</v>
      </c>
      <c r="E45" s="92">
        <v>121.18</v>
      </c>
    </row>
    <row r="46" spans="1:5" x14ac:dyDescent="0.25">
      <c r="A46" s="18">
        <v>43</v>
      </c>
      <c r="B46" s="102" t="s">
        <v>188</v>
      </c>
      <c r="C46" s="2" t="s">
        <v>78</v>
      </c>
      <c r="D46" s="36" t="s">
        <v>13</v>
      </c>
      <c r="E46" s="92">
        <v>105.45</v>
      </c>
    </row>
    <row r="47" spans="1:5" ht="30" x14ac:dyDescent="0.25">
      <c r="A47" s="18">
        <v>44</v>
      </c>
      <c r="B47" s="102" t="s">
        <v>189</v>
      </c>
      <c r="C47" s="2" t="s">
        <v>79</v>
      </c>
      <c r="D47" s="36" t="s">
        <v>13</v>
      </c>
      <c r="E47" s="92">
        <v>107.87</v>
      </c>
    </row>
    <row r="48" spans="1:5" ht="30" x14ac:dyDescent="0.25">
      <c r="A48" s="18">
        <v>45</v>
      </c>
      <c r="B48" s="102" t="s">
        <v>190</v>
      </c>
      <c r="C48" s="2" t="s">
        <v>80</v>
      </c>
      <c r="D48" s="36" t="s">
        <v>13</v>
      </c>
      <c r="E48" s="92">
        <v>75.2</v>
      </c>
    </row>
    <row r="49" spans="1:5" ht="30" x14ac:dyDescent="0.25">
      <c r="A49" s="18">
        <v>46</v>
      </c>
      <c r="B49" s="102" t="s">
        <v>191</v>
      </c>
      <c r="C49" s="2" t="s">
        <v>81</v>
      </c>
      <c r="D49" s="36" t="s">
        <v>44</v>
      </c>
      <c r="E49" s="92">
        <v>45.93</v>
      </c>
    </row>
    <row r="50" spans="1:5" ht="30" x14ac:dyDescent="0.25">
      <c r="A50" s="18">
        <v>47</v>
      </c>
      <c r="B50" s="102" t="s">
        <v>192</v>
      </c>
      <c r="C50" s="2" t="s">
        <v>82</v>
      </c>
      <c r="D50" s="36" t="s">
        <v>13</v>
      </c>
      <c r="E50" s="92">
        <v>81.44</v>
      </c>
    </row>
    <row r="51" spans="1:5" ht="30" x14ac:dyDescent="0.25">
      <c r="A51" s="18">
        <v>48</v>
      </c>
      <c r="B51" s="102" t="s">
        <v>193</v>
      </c>
      <c r="C51" s="2" t="s">
        <v>83</v>
      </c>
      <c r="D51" s="36" t="s">
        <v>13</v>
      </c>
      <c r="E51" s="92">
        <v>73.22</v>
      </c>
    </row>
    <row r="52" spans="1:5" s="45" customFormat="1" x14ac:dyDescent="0.25">
      <c r="A52" s="18">
        <v>49</v>
      </c>
      <c r="B52" s="102" t="s">
        <v>194</v>
      </c>
      <c r="C52" s="34" t="s">
        <v>89</v>
      </c>
      <c r="D52" s="18" t="s">
        <v>59</v>
      </c>
      <c r="E52" s="92">
        <v>146.72999999999999</v>
      </c>
    </row>
    <row r="53" spans="1:5" s="45" customFormat="1" ht="30" x14ac:dyDescent="0.25">
      <c r="A53" s="76">
        <v>50</v>
      </c>
      <c r="B53" s="102" t="s">
        <v>195</v>
      </c>
      <c r="C53" s="22" t="s">
        <v>97</v>
      </c>
      <c r="D53" s="23" t="s">
        <v>5</v>
      </c>
      <c r="E53" s="92">
        <v>4.0199999999999996</v>
      </c>
    </row>
    <row r="54" spans="1:5" s="45" customFormat="1" ht="45" x14ac:dyDescent="0.25">
      <c r="A54" s="76">
        <v>51</v>
      </c>
      <c r="B54" s="102" t="s">
        <v>196</v>
      </c>
      <c r="C54" s="19" t="s">
        <v>17</v>
      </c>
      <c r="D54" s="20" t="s">
        <v>13</v>
      </c>
      <c r="E54" s="92">
        <v>122.14</v>
      </c>
    </row>
    <row r="55" spans="1:5" s="45" customFormat="1" ht="45" x14ac:dyDescent="0.25">
      <c r="A55" s="76">
        <v>52</v>
      </c>
      <c r="B55" s="102" t="s">
        <v>197</v>
      </c>
      <c r="C55" s="19" t="s">
        <v>28</v>
      </c>
      <c r="D55" s="20" t="s">
        <v>13</v>
      </c>
      <c r="E55" s="92">
        <v>68.010000000000005</v>
      </c>
    </row>
    <row r="56" spans="1:5" s="45" customFormat="1" x14ac:dyDescent="0.25">
      <c r="A56" s="76">
        <v>53</v>
      </c>
      <c r="B56" s="102" t="s">
        <v>198</v>
      </c>
      <c r="C56" s="19" t="s">
        <v>72</v>
      </c>
      <c r="D56" s="20" t="s">
        <v>13</v>
      </c>
      <c r="E56" s="92">
        <v>6.85</v>
      </c>
    </row>
    <row r="57" spans="1:5" x14ac:dyDescent="0.25">
      <c r="A57" s="76">
        <v>54</v>
      </c>
      <c r="B57" s="102" t="s">
        <v>199</v>
      </c>
      <c r="C57" s="22" t="s">
        <v>131</v>
      </c>
      <c r="D57" s="23" t="s">
        <v>59</v>
      </c>
      <c r="E57" s="92">
        <v>2.48</v>
      </c>
    </row>
    <row r="58" spans="1:5" x14ac:dyDescent="0.25">
      <c r="A58" s="75">
        <v>55</v>
      </c>
      <c r="B58" s="102" t="s">
        <v>200</v>
      </c>
      <c r="C58" s="2" t="s">
        <v>42</v>
      </c>
      <c r="D58" s="1" t="s">
        <v>46</v>
      </c>
      <c r="E58" s="92">
        <v>31.11</v>
      </c>
    </row>
    <row r="59" spans="1:5" ht="30" x14ac:dyDescent="0.25">
      <c r="A59" s="75">
        <v>56</v>
      </c>
      <c r="B59" s="102" t="s">
        <v>201</v>
      </c>
      <c r="C59" s="2" t="s">
        <v>50</v>
      </c>
      <c r="D59" s="1" t="s">
        <v>46</v>
      </c>
      <c r="E59" s="92">
        <v>4</v>
      </c>
    </row>
    <row r="60" spans="1:5" ht="30" x14ac:dyDescent="0.25">
      <c r="A60" s="75">
        <v>57</v>
      </c>
      <c r="B60" s="102" t="s">
        <v>202</v>
      </c>
      <c r="C60" s="24" t="s">
        <v>10</v>
      </c>
      <c r="D60" s="99" t="s">
        <v>46</v>
      </c>
      <c r="E60" s="92">
        <v>31.11</v>
      </c>
    </row>
    <row r="61" spans="1:5" ht="30" x14ac:dyDescent="0.25">
      <c r="A61" s="75">
        <v>58</v>
      </c>
      <c r="B61" s="102" t="s">
        <v>203</v>
      </c>
      <c r="C61" s="25" t="s">
        <v>9</v>
      </c>
      <c r="D61" s="99" t="s">
        <v>46</v>
      </c>
      <c r="E61" s="92">
        <v>31.11</v>
      </c>
    </row>
    <row r="62" spans="1:5" ht="45" x14ac:dyDescent="0.25">
      <c r="A62" s="76">
        <v>59</v>
      </c>
      <c r="B62" s="102" t="s">
        <v>204</v>
      </c>
      <c r="C62" s="26" t="s">
        <v>7</v>
      </c>
      <c r="D62" s="27" t="s">
        <v>8</v>
      </c>
      <c r="E62" s="92">
        <v>125.82</v>
      </c>
    </row>
    <row r="63" spans="1:5" ht="45" x14ac:dyDescent="0.25">
      <c r="A63" s="76">
        <v>60</v>
      </c>
      <c r="B63" s="102" t="s">
        <v>205</v>
      </c>
      <c r="C63" s="26" t="s">
        <v>93</v>
      </c>
      <c r="D63" s="27" t="s">
        <v>8</v>
      </c>
      <c r="E63" s="92">
        <v>129.44999999999999</v>
      </c>
    </row>
    <row r="64" spans="1:5" ht="30" x14ac:dyDescent="0.25">
      <c r="A64" s="75">
        <v>61</v>
      </c>
      <c r="B64" s="102" t="s">
        <v>206</v>
      </c>
      <c r="C64" s="2" t="s">
        <v>51</v>
      </c>
      <c r="D64" s="1" t="s">
        <v>46</v>
      </c>
      <c r="E64" s="92">
        <v>3.78</v>
      </c>
    </row>
    <row r="65" spans="1:5" x14ac:dyDescent="0.25">
      <c r="A65" s="75">
        <v>62</v>
      </c>
      <c r="B65" s="102" t="s">
        <v>207</v>
      </c>
      <c r="C65" s="2" t="s">
        <v>11</v>
      </c>
      <c r="D65" s="3" t="s">
        <v>46</v>
      </c>
      <c r="E65" s="92">
        <v>2.48</v>
      </c>
    </row>
    <row r="66" spans="1:5" ht="30" x14ac:dyDescent="0.25">
      <c r="A66" s="75">
        <v>63</v>
      </c>
      <c r="B66" s="102" t="s">
        <v>208</v>
      </c>
      <c r="C66" s="39" t="s">
        <v>96</v>
      </c>
      <c r="D66" s="40" t="s">
        <v>52</v>
      </c>
      <c r="E66" s="92">
        <v>6.53</v>
      </c>
    </row>
    <row r="67" spans="1:5" x14ac:dyDescent="0.25">
      <c r="A67" s="75">
        <v>64</v>
      </c>
      <c r="B67" s="102" t="s">
        <v>209</v>
      </c>
      <c r="C67" s="26" t="s">
        <v>15</v>
      </c>
      <c r="D67" s="27" t="s">
        <v>5</v>
      </c>
      <c r="E67" s="92">
        <v>1.36</v>
      </c>
    </row>
    <row r="68" spans="1:5" x14ac:dyDescent="0.25">
      <c r="A68" s="75">
        <v>65</v>
      </c>
      <c r="B68" s="102" t="s">
        <v>210</v>
      </c>
      <c r="C68" s="26" t="s">
        <v>16</v>
      </c>
      <c r="D68" s="27" t="s">
        <v>5</v>
      </c>
      <c r="E68" s="92">
        <v>1.49</v>
      </c>
    </row>
    <row r="69" spans="1:5" ht="45" x14ac:dyDescent="0.25">
      <c r="A69" s="27">
        <v>11</v>
      </c>
      <c r="B69" s="102" t="s">
        <v>211</v>
      </c>
      <c r="C69" s="34" t="s">
        <v>100</v>
      </c>
      <c r="D69" s="18" t="s">
        <v>44</v>
      </c>
      <c r="E69" s="92">
        <v>45.22</v>
      </c>
    </row>
    <row r="70" spans="1:5" x14ac:dyDescent="0.25">
      <c r="A70" s="27">
        <v>12</v>
      </c>
      <c r="B70" s="102" t="s">
        <v>212</v>
      </c>
      <c r="C70" s="34" t="s">
        <v>69</v>
      </c>
      <c r="D70" s="36" t="s">
        <v>13</v>
      </c>
      <c r="E70" s="92">
        <v>7.19</v>
      </c>
    </row>
    <row r="71" spans="1:5" ht="30" x14ac:dyDescent="0.25">
      <c r="A71" s="80">
        <v>13</v>
      </c>
      <c r="B71" s="102" t="s">
        <v>213</v>
      </c>
      <c r="C71" s="26" t="s">
        <v>22</v>
      </c>
      <c r="D71" s="46" t="s">
        <v>13</v>
      </c>
      <c r="E71" s="92">
        <v>205.88</v>
      </c>
    </row>
    <row r="72" spans="1:5" ht="30" x14ac:dyDescent="0.25">
      <c r="A72" s="80">
        <v>16</v>
      </c>
      <c r="B72" s="102" t="s">
        <v>214</v>
      </c>
      <c r="C72" s="26" t="s">
        <v>35</v>
      </c>
      <c r="D72" s="46" t="s">
        <v>13</v>
      </c>
      <c r="E72" s="92">
        <v>118.2</v>
      </c>
    </row>
    <row r="73" spans="1:5" ht="30" x14ac:dyDescent="0.25">
      <c r="A73" s="80">
        <v>17</v>
      </c>
      <c r="B73" s="102" t="s">
        <v>215</v>
      </c>
      <c r="C73" s="26" t="s">
        <v>36</v>
      </c>
      <c r="D73" s="46" t="s">
        <v>13</v>
      </c>
      <c r="E73" s="92">
        <v>118.2</v>
      </c>
    </row>
    <row r="74" spans="1:5" x14ac:dyDescent="0.25">
      <c r="A74" s="27">
        <v>18</v>
      </c>
      <c r="B74" s="102" t="s">
        <v>216</v>
      </c>
      <c r="C74" s="26" t="s">
        <v>91</v>
      </c>
      <c r="D74" s="18" t="s">
        <v>59</v>
      </c>
      <c r="E74" s="92">
        <v>7.19</v>
      </c>
    </row>
    <row r="75" spans="1:5" ht="45" x14ac:dyDescent="0.25">
      <c r="A75" s="18">
        <v>11</v>
      </c>
      <c r="B75" s="102" t="s">
        <v>217</v>
      </c>
      <c r="C75" s="34" t="s">
        <v>99</v>
      </c>
      <c r="D75" s="18" t="s">
        <v>44</v>
      </c>
      <c r="E75" s="92">
        <v>39.409999999999997</v>
      </c>
    </row>
    <row r="76" spans="1:5" x14ac:dyDescent="0.25">
      <c r="A76" s="18">
        <v>12</v>
      </c>
      <c r="B76" s="102" t="s">
        <v>218</v>
      </c>
      <c r="C76" s="34" t="s">
        <v>68</v>
      </c>
      <c r="D76" s="36" t="s">
        <v>13</v>
      </c>
      <c r="E76" s="92">
        <v>6.63</v>
      </c>
    </row>
    <row r="77" spans="1:5" ht="30" x14ac:dyDescent="0.25">
      <c r="A77" s="77">
        <v>13</v>
      </c>
      <c r="B77" s="102" t="s">
        <v>219</v>
      </c>
      <c r="C77" s="34" t="s">
        <v>33</v>
      </c>
      <c r="D77" s="36" t="s">
        <v>13</v>
      </c>
      <c r="E77" s="92">
        <v>70.73</v>
      </c>
    </row>
    <row r="78" spans="1:5" ht="30" x14ac:dyDescent="0.25">
      <c r="A78" s="77">
        <v>14</v>
      </c>
      <c r="B78" s="102" t="s">
        <v>220</v>
      </c>
      <c r="C78" s="34" t="s">
        <v>34</v>
      </c>
      <c r="D78" s="36" t="s">
        <v>13</v>
      </c>
      <c r="E78" s="92">
        <v>36.22</v>
      </c>
    </row>
    <row r="79" spans="1:5" x14ac:dyDescent="0.25">
      <c r="A79" s="18">
        <v>15</v>
      </c>
      <c r="B79" s="102" t="s">
        <v>221</v>
      </c>
      <c r="C79" s="26" t="s">
        <v>90</v>
      </c>
      <c r="D79" s="18" t="s">
        <v>59</v>
      </c>
      <c r="E79" s="92">
        <v>6.63</v>
      </c>
    </row>
    <row r="80" spans="1:5" ht="30" x14ac:dyDescent="0.25">
      <c r="A80" s="18">
        <v>17</v>
      </c>
      <c r="B80" s="102" t="s">
        <v>222</v>
      </c>
      <c r="C80" s="22" t="s">
        <v>130</v>
      </c>
      <c r="D80" s="23" t="s">
        <v>5</v>
      </c>
      <c r="E80" s="92">
        <v>5.95</v>
      </c>
    </row>
    <row r="81" spans="1:5" ht="45" x14ac:dyDescent="0.25">
      <c r="A81" s="76">
        <v>19</v>
      </c>
      <c r="B81" s="102" t="s">
        <v>223</v>
      </c>
      <c r="C81" s="19" t="s">
        <v>18</v>
      </c>
      <c r="D81" s="20" t="s">
        <v>13</v>
      </c>
      <c r="E81" s="92">
        <v>130.61000000000001</v>
      </c>
    </row>
    <row r="82" spans="1:5" ht="45" x14ac:dyDescent="0.25">
      <c r="A82" s="76">
        <v>21</v>
      </c>
      <c r="B82" s="102" t="s">
        <v>224</v>
      </c>
      <c r="C82" s="19" t="s">
        <v>29</v>
      </c>
      <c r="D82" s="20" t="s">
        <v>13</v>
      </c>
      <c r="E82" s="92">
        <v>73.22</v>
      </c>
    </row>
    <row r="83" spans="1:5" ht="45" x14ac:dyDescent="0.25">
      <c r="A83" s="76">
        <v>22</v>
      </c>
      <c r="B83" s="102" t="s">
        <v>225</v>
      </c>
      <c r="C83" s="19" t="s">
        <v>27</v>
      </c>
      <c r="D83" s="20" t="s">
        <v>13</v>
      </c>
      <c r="E83" s="92">
        <v>90.4</v>
      </c>
    </row>
    <row r="84" spans="1:5" ht="45" x14ac:dyDescent="0.25">
      <c r="A84" s="27">
        <v>11</v>
      </c>
      <c r="B84" s="102" t="s">
        <v>226</v>
      </c>
      <c r="C84" s="34" t="s">
        <v>98</v>
      </c>
      <c r="D84" s="18" t="s">
        <v>44</v>
      </c>
      <c r="E84" s="92">
        <v>17.95</v>
      </c>
    </row>
    <row r="85" spans="1:5" x14ac:dyDescent="0.25">
      <c r="A85" s="27">
        <v>12</v>
      </c>
      <c r="B85" s="102" t="s">
        <v>227</v>
      </c>
      <c r="C85" s="34" t="s">
        <v>67</v>
      </c>
      <c r="D85" s="36" t="s">
        <v>13</v>
      </c>
      <c r="E85" s="92">
        <v>4.09</v>
      </c>
    </row>
    <row r="86" spans="1:5" ht="30" x14ac:dyDescent="0.25">
      <c r="A86" s="43">
        <v>13</v>
      </c>
      <c r="B86" s="102" t="s">
        <v>228</v>
      </c>
      <c r="C86" s="34" t="s">
        <v>20</v>
      </c>
      <c r="D86" s="36" t="s">
        <v>13</v>
      </c>
      <c r="E86" s="92">
        <v>150.22</v>
      </c>
    </row>
    <row r="87" spans="1:5" ht="30" x14ac:dyDescent="0.25">
      <c r="A87" s="43">
        <v>14</v>
      </c>
      <c r="B87" s="102" t="s">
        <v>229</v>
      </c>
      <c r="C87" s="34" t="s">
        <v>21</v>
      </c>
      <c r="D87" s="36" t="s">
        <v>13</v>
      </c>
      <c r="E87" s="92">
        <v>157.47999999999999</v>
      </c>
    </row>
    <row r="88" spans="1:5" ht="30" x14ac:dyDescent="0.25">
      <c r="A88" s="43">
        <v>15</v>
      </c>
      <c r="B88" s="102" t="s">
        <v>230</v>
      </c>
      <c r="C88" s="34" t="s">
        <v>102</v>
      </c>
      <c r="D88" s="36" t="s">
        <v>13</v>
      </c>
      <c r="E88" s="92">
        <v>34.97</v>
      </c>
    </row>
    <row r="89" spans="1:5" ht="30" x14ac:dyDescent="0.25">
      <c r="A89" s="80">
        <v>16</v>
      </c>
      <c r="B89" s="102" t="s">
        <v>231</v>
      </c>
      <c r="C89" s="26" t="s">
        <v>103</v>
      </c>
      <c r="D89" s="46" t="s">
        <v>13</v>
      </c>
      <c r="E89" s="92">
        <v>33.869999999999997</v>
      </c>
    </row>
    <row r="90" spans="1:5" ht="30" x14ac:dyDescent="0.25">
      <c r="A90" s="80">
        <v>17</v>
      </c>
      <c r="B90" s="102" t="s">
        <v>232</v>
      </c>
      <c r="C90" s="26" t="s">
        <v>104</v>
      </c>
      <c r="D90" s="46" t="s">
        <v>13</v>
      </c>
      <c r="E90" s="92">
        <v>35.93</v>
      </c>
    </row>
    <row r="91" spans="1:5" x14ac:dyDescent="0.25">
      <c r="A91" s="27">
        <v>19</v>
      </c>
      <c r="B91" s="102" t="s">
        <v>233</v>
      </c>
      <c r="C91" s="26" t="s">
        <v>66</v>
      </c>
      <c r="D91" s="18" t="s">
        <v>59</v>
      </c>
      <c r="E91" s="92">
        <v>4.09</v>
      </c>
    </row>
    <row r="92" spans="1:5" ht="30" x14ac:dyDescent="0.25">
      <c r="A92" s="1">
        <v>21</v>
      </c>
      <c r="B92" s="102" t="s">
        <v>234</v>
      </c>
      <c r="C92" s="34" t="s">
        <v>63</v>
      </c>
      <c r="D92" s="36" t="s">
        <v>13</v>
      </c>
      <c r="E92" s="92">
        <v>330.07</v>
      </c>
    </row>
    <row r="93" spans="1:5" x14ac:dyDescent="0.25">
      <c r="A93" s="27">
        <v>22</v>
      </c>
      <c r="B93" s="102" t="s">
        <v>235</v>
      </c>
      <c r="C93" s="34" t="s">
        <v>58</v>
      </c>
      <c r="D93" s="18" t="s">
        <v>59</v>
      </c>
      <c r="E93" s="92">
        <v>60.08</v>
      </c>
    </row>
    <row r="94" spans="1:5" x14ac:dyDescent="0.25">
      <c r="A94" s="27">
        <v>23</v>
      </c>
      <c r="B94" s="102" t="s">
        <v>236</v>
      </c>
      <c r="C94" s="34" t="s">
        <v>60</v>
      </c>
      <c r="D94" s="18" t="s">
        <v>59</v>
      </c>
      <c r="E94" s="92">
        <v>40.79</v>
      </c>
    </row>
    <row r="95" spans="1:5" x14ac:dyDescent="0.25">
      <c r="A95" s="27">
        <v>24</v>
      </c>
      <c r="B95" s="102" t="s">
        <v>237</v>
      </c>
      <c r="C95" s="34" t="s">
        <v>61</v>
      </c>
      <c r="D95" s="18" t="s">
        <v>59</v>
      </c>
      <c r="E95" s="92">
        <v>33.869999999999997</v>
      </c>
    </row>
    <row r="96" spans="1:5" x14ac:dyDescent="0.25">
      <c r="A96" s="27">
        <v>25</v>
      </c>
      <c r="B96" s="102" t="s">
        <v>238</v>
      </c>
      <c r="C96" s="34" t="s">
        <v>62</v>
      </c>
      <c r="D96" s="18" t="s">
        <v>59</v>
      </c>
      <c r="E96" s="92">
        <v>34.97</v>
      </c>
    </row>
    <row r="97" spans="1:5" x14ac:dyDescent="0.25">
      <c r="A97" s="27">
        <v>26</v>
      </c>
      <c r="B97" s="102" t="s">
        <v>239</v>
      </c>
      <c r="C97" s="34" t="s">
        <v>64</v>
      </c>
      <c r="D97" s="18" t="s">
        <v>59</v>
      </c>
      <c r="E97" s="92">
        <v>150.22</v>
      </c>
    </row>
    <row r="98" spans="1:5" ht="30" x14ac:dyDescent="0.25">
      <c r="A98" s="1">
        <v>29</v>
      </c>
      <c r="B98" s="102" t="s">
        <v>240</v>
      </c>
      <c r="C98" s="34" t="s">
        <v>14</v>
      </c>
      <c r="D98" s="36" t="s">
        <v>13</v>
      </c>
      <c r="E98" s="92">
        <v>12.3</v>
      </c>
    </row>
    <row r="99" spans="1:5" x14ac:dyDescent="0.25">
      <c r="E99" s="30"/>
    </row>
  </sheetData>
  <autoFilter ref="A2:E98"/>
  <mergeCells count="1">
    <mergeCell ref="A1:E1"/>
  </mergeCells>
  <pageMargins left="0.7" right="0.7" top="0.75" bottom="0.75" header="0.3" footer="0.3"/>
  <pageSetup paperSize="9" scale="76" orientation="portrait" horizont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G2138"/>
  <sheetViews>
    <sheetView view="pageBreakPreview" zoomScaleNormal="100" zoomScaleSheetLayoutView="100" workbookViewId="0">
      <selection activeCell="D2" sqref="D2"/>
    </sheetView>
  </sheetViews>
  <sheetFormatPr defaultColWidth="9.140625" defaultRowHeight="12" x14ac:dyDescent="0.2"/>
  <cols>
    <col min="1" max="1" width="12" style="108" customWidth="1"/>
    <col min="2" max="2" width="42.5703125" style="108" customWidth="1"/>
    <col min="3" max="3" width="5" style="111" customWidth="1"/>
    <col min="4" max="4" width="9.140625" style="108" customWidth="1"/>
    <col min="5" max="5" width="4.28515625" style="111" customWidth="1"/>
    <col min="6" max="6" width="7.7109375" style="108" customWidth="1"/>
    <col min="7" max="7" width="9" style="108" customWidth="1"/>
    <col min="8" max="8" width="9.140625" style="108" customWidth="1"/>
    <col min="9" max="16384" width="9.140625" style="108"/>
  </cols>
  <sheetData>
    <row r="1" spans="1:7" ht="20.45" customHeight="1" x14ac:dyDescent="0.2">
      <c r="A1" s="122"/>
      <c r="B1" s="123" t="s">
        <v>491</v>
      </c>
      <c r="C1" s="124"/>
    </row>
    <row r="2" spans="1:7" ht="20.45" customHeight="1" x14ac:dyDescent="0.2">
      <c r="A2" s="147" t="s">
        <v>247</v>
      </c>
      <c r="B2" s="147"/>
      <c r="C2" s="147"/>
    </row>
    <row r="4" spans="1:7" x14ac:dyDescent="0.2">
      <c r="A4" s="109" t="s">
        <v>248</v>
      </c>
      <c r="B4" s="109" t="s">
        <v>249</v>
      </c>
      <c r="C4" s="110" t="s">
        <v>250</v>
      </c>
      <c r="D4" s="110" t="s">
        <v>251</v>
      </c>
      <c r="E4" s="110" t="s">
        <v>252</v>
      </c>
      <c r="F4" s="110" t="s">
        <v>253</v>
      </c>
      <c r="G4" s="110" t="s">
        <v>254</v>
      </c>
    </row>
    <row r="5" spans="1:7" x14ac:dyDescent="0.2">
      <c r="A5" s="111" t="s">
        <v>255</v>
      </c>
      <c r="B5" s="111" t="s">
        <v>256</v>
      </c>
      <c r="C5" s="111" t="s">
        <v>257</v>
      </c>
      <c r="D5" s="111" t="s">
        <v>258</v>
      </c>
      <c r="E5" s="111" t="s">
        <v>259</v>
      </c>
      <c r="F5" s="111" t="s">
        <v>260</v>
      </c>
      <c r="G5" s="111" t="s">
        <v>261</v>
      </c>
    </row>
    <row r="8" spans="1:7" x14ac:dyDescent="0.2">
      <c r="A8" s="112" t="s">
        <v>4</v>
      </c>
      <c r="B8" s="112"/>
      <c r="C8" s="113"/>
      <c r="D8" s="112"/>
      <c r="E8" s="113"/>
      <c r="F8" s="112"/>
      <c r="G8" s="112"/>
    </row>
    <row r="9" spans="1:7" x14ac:dyDescent="0.2">
      <c r="A9" s="114" t="s">
        <v>262</v>
      </c>
      <c r="G9" s="115" t="s">
        <v>263</v>
      </c>
    </row>
    <row r="11" spans="1:7" x14ac:dyDescent="0.2">
      <c r="A11" s="114"/>
      <c r="B11" s="114" t="s">
        <v>264</v>
      </c>
      <c r="C11" s="116"/>
      <c r="D11" s="114"/>
      <c r="E11" s="116"/>
      <c r="F11" s="114"/>
      <c r="G11" s="114">
        <v>0.81</v>
      </c>
    </row>
    <row r="12" spans="1:7" x14ac:dyDescent="0.2">
      <c r="A12" s="108" t="s">
        <v>265</v>
      </c>
      <c r="B12" s="108" t="s">
        <v>266</v>
      </c>
      <c r="C12" s="111" t="s">
        <v>267</v>
      </c>
      <c r="D12" s="117">
        <v>2.7E-2</v>
      </c>
      <c r="E12" s="118">
        <v>1</v>
      </c>
      <c r="F12" s="108">
        <v>30</v>
      </c>
      <c r="G12" s="108">
        <v>0.81</v>
      </c>
    </row>
    <row r="14" spans="1:7" x14ac:dyDescent="0.2">
      <c r="A14" s="114"/>
      <c r="B14" s="114" t="s">
        <v>268</v>
      </c>
      <c r="C14" s="116"/>
      <c r="D14" s="119">
        <v>0.02</v>
      </c>
      <c r="E14" s="116"/>
      <c r="F14" s="114"/>
      <c r="G14" s="114">
        <v>0.2</v>
      </c>
    </row>
    <row r="15" spans="1:7" x14ac:dyDescent="0.2">
      <c r="A15" s="108" t="s">
        <v>265</v>
      </c>
      <c r="B15" s="108" t="s">
        <v>269</v>
      </c>
      <c r="C15" s="111" t="s">
        <v>270</v>
      </c>
      <c r="D15" s="117">
        <v>0.02</v>
      </c>
      <c r="E15" s="118">
        <v>1</v>
      </c>
      <c r="F15" s="108">
        <v>10</v>
      </c>
      <c r="G15" s="108">
        <v>0.2</v>
      </c>
    </row>
    <row r="17" spans="1:7" x14ac:dyDescent="0.2">
      <c r="A17" s="114"/>
      <c r="B17" s="114" t="s">
        <v>271</v>
      </c>
      <c r="C17" s="116"/>
      <c r="D17" s="114"/>
      <c r="E17" s="116"/>
      <c r="F17" s="114"/>
      <c r="G17" s="114">
        <v>0.36</v>
      </c>
    </row>
    <row r="18" spans="1:7" x14ac:dyDescent="0.2">
      <c r="B18" s="108" t="s">
        <v>272</v>
      </c>
      <c r="C18" s="111" t="s">
        <v>273</v>
      </c>
      <c r="D18" s="108">
        <v>80</v>
      </c>
      <c r="G18" s="108">
        <v>0.16</v>
      </c>
    </row>
    <row r="19" spans="1:7" x14ac:dyDescent="0.2">
      <c r="B19" s="108" t="s">
        <v>274</v>
      </c>
      <c r="C19" s="111" t="s">
        <v>273</v>
      </c>
      <c r="D19" s="108">
        <v>25</v>
      </c>
      <c r="G19" s="108">
        <v>0.2</v>
      </c>
    </row>
    <row r="21" spans="1:7" x14ac:dyDescent="0.2">
      <c r="A21" s="114"/>
      <c r="B21" s="114" t="s">
        <v>254</v>
      </c>
      <c r="C21" s="116"/>
      <c r="D21" s="114"/>
      <c r="E21" s="116"/>
      <c r="F21" s="114"/>
      <c r="G21" s="114"/>
    </row>
    <row r="22" spans="1:7" x14ac:dyDescent="0.2">
      <c r="B22" s="108" t="s">
        <v>275</v>
      </c>
      <c r="G22" s="108">
        <v>1.01</v>
      </c>
    </row>
    <row r="23" spans="1:7" x14ac:dyDescent="0.2">
      <c r="B23" s="108" t="s">
        <v>276</v>
      </c>
      <c r="G23" s="108">
        <v>0.36</v>
      </c>
    </row>
    <row r="24" spans="1:7" x14ac:dyDescent="0.2">
      <c r="B24" s="108" t="s">
        <v>277</v>
      </c>
      <c r="G24" s="108">
        <v>1.37</v>
      </c>
    </row>
    <row r="25" spans="1:7" x14ac:dyDescent="0.2">
      <c r="B25" s="108" t="s">
        <v>278</v>
      </c>
      <c r="C25" s="111" t="s">
        <v>273</v>
      </c>
      <c r="D25" s="108" t="s">
        <v>279</v>
      </c>
      <c r="G25" s="108">
        <v>0.14000000000000001</v>
      </c>
    </row>
    <row r="27" spans="1:7" x14ac:dyDescent="0.2">
      <c r="A27" s="112"/>
      <c r="B27" s="112" t="s">
        <v>254</v>
      </c>
      <c r="C27" s="113"/>
      <c r="D27" s="112"/>
      <c r="E27" s="113"/>
      <c r="F27" s="112"/>
      <c r="G27" s="112">
        <v>1.51</v>
      </c>
    </row>
    <row r="29" spans="1:7" x14ac:dyDescent="0.2">
      <c r="A29" s="112" t="s">
        <v>43</v>
      </c>
      <c r="B29" s="112"/>
      <c r="C29" s="113"/>
      <c r="D29" s="112"/>
      <c r="E29" s="113"/>
      <c r="F29" s="112"/>
      <c r="G29" s="112"/>
    </row>
    <row r="30" spans="1:7" x14ac:dyDescent="0.2">
      <c r="A30" s="114" t="s">
        <v>280</v>
      </c>
      <c r="G30" s="115" t="s">
        <v>281</v>
      </c>
    </row>
    <row r="32" spans="1:7" x14ac:dyDescent="0.2">
      <c r="A32" s="114"/>
      <c r="B32" s="114" t="s">
        <v>264</v>
      </c>
      <c r="C32" s="116"/>
      <c r="D32" s="114"/>
      <c r="E32" s="116"/>
      <c r="F32" s="114"/>
      <c r="G32" s="114">
        <v>1.2</v>
      </c>
    </row>
    <row r="33" spans="1:7" x14ac:dyDescent="0.2">
      <c r="A33" s="108" t="s">
        <v>265</v>
      </c>
      <c r="B33" s="108" t="s">
        <v>282</v>
      </c>
      <c r="C33" s="111" t="s">
        <v>267</v>
      </c>
      <c r="D33" s="117">
        <v>4.7999999999999996E-3</v>
      </c>
      <c r="E33" s="118">
        <v>1</v>
      </c>
      <c r="F33" s="108">
        <v>250</v>
      </c>
      <c r="G33" s="108">
        <v>1.2</v>
      </c>
    </row>
    <row r="35" spans="1:7" x14ac:dyDescent="0.2">
      <c r="A35" s="114"/>
      <c r="B35" s="114" t="s">
        <v>271</v>
      </c>
      <c r="C35" s="116"/>
      <c r="D35" s="114"/>
      <c r="E35" s="116"/>
      <c r="F35" s="114"/>
      <c r="G35" s="114">
        <v>0.3</v>
      </c>
    </row>
    <row r="36" spans="1:7" x14ac:dyDescent="0.2">
      <c r="B36" s="108" t="s">
        <v>274</v>
      </c>
      <c r="C36" s="111" t="s">
        <v>273</v>
      </c>
      <c r="D36" s="108">
        <v>25</v>
      </c>
      <c r="G36" s="108">
        <v>0.3</v>
      </c>
    </row>
    <row r="38" spans="1:7" x14ac:dyDescent="0.2">
      <c r="A38" s="114"/>
      <c r="B38" s="114" t="s">
        <v>254</v>
      </c>
      <c r="C38" s="116"/>
      <c r="D38" s="114"/>
      <c r="E38" s="116"/>
      <c r="F38" s="114"/>
      <c r="G38" s="114"/>
    </row>
    <row r="39" spans="1:7" x14ac:dyDescent="0.2">
      <c r="B39" s="108" t="s">
        <v>275</v>
      </c>
      <c r="G39" s="108">
        <v>1.2</v>
      </c>
    </row>
    <row r="40" spans="1:7" x14ac:dyDescent="0.2">
      <c r="B40" s="108" t="s">
        <v>276</v>
      </c>
      <c r="G40" s="108">
        <v>0.3</v>
      </c>
    </row>
    <row r="41" spans="1:7" x14ac:dyDescent="0.2">
      <c r="B41" s="108" t="s">
        <v>277</v>
      </c>
      <c r="G41" s="108">
        <v>1.5</v>
      </c>
    </row>
    <row r="42" spans="1:7" x14ac:dyDescent="0.2">
      <c r="B42" s="108" t="s">
        <v>278</v>
      </c>
      <c r="C42" s="111" t="s">
        <v>273</v>
      </c>
      <c r="D42" s="108" t="s">
        <v>279</v>
      </c>
      <c r="G42" s="108">
        <v>0.15</v>
      </c>
    </row>
    <row r="44" spans="1:7" x14ac:dyDescent="0.2">
      <c r="A44" s="112"/>
      <c r="B44" s="112" t="s">
        <v>254</v>
      </c>
      <c r="C44" s="113"/>
      <c r="D44" s="112"/>
      <c r="E44" s="113"/>
      <c r="F44" s="112"/>
      <c r="G44" s="112">
        <v>1.65</v>
      </c>
    </row>
    <row r="46" spans="1:7" x14ac:dyDescent="0.2">
      <c r="A46" s="112" t="s">
        <v>45</v>
      </c>
      <c r="B46" s="112"/>
      <c r="C46" s="113"/>
      <c r="D46" s="112"/>
      <c r="E46" s="113"/>
      <c r="F46" s="112"/>
      <c r="G46" s="112"/>
    </row>
    <row r="47" spans="1:7" x14ac:dyDescent="0.2">
      <c r="A47" s="114" t="s">
        <v>283</v>
      </c>
      <c r="G47" s="115" t="s">
        <v>281</v>
      </c>
    </row>
    <row r="49" spans="1:7" x14ac:dyDescent="0.2">
      <c r="A49" s="114"/>
      <c r="B49" s="114" t="s">
        <v>264</v>
      </c>
      <c r="C49" s="116"/>
      <c r="D49" s="114"/>
      <c r="E49" s="116"/>
      <c r="F49" s="114"/>
      <c r="G49" s="114">
        <v>1</v>
      </c>
    </row>
    <row r="50" spans="1:7" x14ac:dyDescent="0.2">
      <c r="A50" s="108" t="s">
        <v>265</v>
      </c>
      <c r="B50" s="108" t="s">
        <v>284</v>
      </c>
      <c r="C50" s="111" t="s">
        <v>267</v>
      </c>
      <c r="D50" s="117">
        <v>4.0000000000000001E-3</v>
      </c>
      <c r="E50" s="118">
        <v>1</v>
      </c>
      <c r="F50" s="108">
        <v>250</v>
      </c>
      <c r="G50" s="108">
        <v>1</v>
      </c>
    </row>
    <row r="52" spans="1:7" x14ac:dyDescent="0.2">
      <c r="A52" s="114"/>
      <c r="B52" s="114" t="s">
        <v>271</v>
      </c>
      <c r="C52" s="116"/>
      <c r="D52" s="114"/>
      <c r="E52" s="116"/>
      <c r="F52" s="114"/>
      <c r="G52" s="114">
        <v>0.25</v>
      </c>
    </row>
    <row r="53" spans="1:7" x14ac:dyDescent="0.2">
      <c r="B53" s="108" t="s">
        <v>274</v>
      </c>
      <c r="C53" s="111" t="s">
        <v>273</v>
      </c>
      <c r="D53" s="108">
        <v>25</v>
      </c>
      <c r="G53" s="108">
        <v>0.25</v>
      </c>
    </row>
    <row r="55" spans="1:7" x14ac:dyDescent="0.2">
      <c r="A55" s="114"/>
      <c r="B55" s="114" t="s">
        <v>254</v>
      </c>
      <c r="C55" s="116"/>
      <c r="D55" s="114"/>
      <c r="E55" s="116"/>
      <c r="F55" s="114"/>
      <c r="G55" s="114"/>
    </row>
    <row r="56" spans="1:7" x14ac:dyDescent="0.2">
      <c r="B56" s="108" t="s">
        <v>275</v>
      </c>
      <c r="G56" s="108">
        <v>1</v>
      </c>
    </row>
    <row r="57" spans="1:7" x14ac:dyDescent="0.2">
      <c r="B57" s="108" t="s">
        <v>276</v>
      </c>
      <c r="G57" s="108">
        <v>0.25</v>
      </c>
    </row>
    <row r="58" spans="1:7" x14ac:dyDescent="0.2">
      <c r="B58" s="108" t="s">
        <v>277</v>
      </c>
      <c r="G58" s="108">
        <v>1.25</v>
      </c>
    </row>
    <row r="59" spans="1:7" x14ac:dyDescent="0.2">
      <c r="B59" s="108" t="s">
        <v>278</v>
      </c>
      <c r="C59" s="111" t="s">
        <v>273</v>
      </c>
      <c r="D59" s="108" t="s">
        <v>279</v>
      </c>
      <c r="G59" s="108">
        <v>0.13</v>
      </c>
    </row>
    <row r="61" spans="1:7" x14ac:dyDescent="0.2">
      <c r="A61" s="112"/>
      <c r="B61" s="112" t="s">
        <v>254</v>
      </c>
      <c r="C61" s="113"/>
      <c r="D61" s="112"/>
      <c r="E61" s="113"/>
      <c r="F61" s="112"/>
      <c r="G61" s="112">
        <v>1.38</v>
      </c>
    </row>
    <row r="63" spans="1:7" x14ac:dyDescent="0.2">
      <c r="A63" s="112" t="s">
        <v>115</v>
      </c>
      <c r="B63" s="112"/>
      <c r="C63" s="113"/>
      <c r="D63" s="112"/>
      <c r="E63" s="113"/>
      <c r="F63" s="112"/>
      <c r="G63" s="112"/>
    </row>
    <row r="64" spans="1:7" x14ac:dyDescent="0.2">
      <c r="A64" s="114" t="s">
        <v>285</v>
      </c>
      <c r="G64" s="115" t="s">
        <v>281</v>
      </c>
    </row>
    <row r="66" spans="1:7" x14ac:dyDescent="0.2">
      <c r="A66" s="114"/>
      <c r="B66" s="114" t="s">
        <v>264</v>
      </c>
      <c r="C66" s="116"/>
      <c r="D66" s="114"/>
      <c r="E66" s="116"/>
      <c r="F66" s="114"/>
      <c r="G66" s="114">
        <v>4.7300000000000004</v>
      </c>
    </row>
    <row r="67" spans="1:7" x14ac:dyDescent="0.2">
      <c r="A67" s="108" t="s">
        <v>265</v>
      </c>
      <c r="B67" s="108" t="s">
        <v>284</v>
      </c>
      <c r="C67" s="111" t="s">
        <v>267</v>
      </c>
      <c r="D67" s="117">
        <v>1.89E-2</v>
      </c>
      <c r="E67" s="118">
        <v>1</v>
      </c>
      <c r="F67" s="108">
        <v>250</v>
      </c>
      <c r="G67" s="108">
        <v>4.7300000000000004</v>
      </c>
    </row>
    <row r="69" spans="1:7" x14ac:dyDescent="0.2">
      <c r="A69" s="114"/>
      <c r="B69" s="114" t="s">
        <v>271</v>
      </c>
      <c r="C69" s="116"/>
      <c r="D69" s="114"/>
      <c r="E69" s="116"/>
      <c r="F69" s="114"/>
      <c r="G69" s="114">
        <v>1.18</v>
      </c>
    </row>
    <row r="70" spans="1:7" x14ac:dyDescent="0.2">
      <c r="B70" s="108" t="s">
        <v>274</v>
      </c>
      <c r="C70" s="111" t="s">
        <v>273</v>
      </c>
      <c r="D70" s="108">
        <v>25</v>
      </c>
      <c r="G70" s="108">
        <v>1.18</v>
      </c>
    </row>
    <row r="72" spans="1:7" x14ac:dyDescent="0.2">
      <c r="A72" s="114"/>
      <c r="B72" s="114" t="s">
        <v>254</v>
      </c>
      <c r="C72" s="116"/>
      <c r="D72" s="114"/>
      <c r="E72" s="116"/>
      <c r="F72" s="114"/>
      <c r="G72" s="114"/>
    </row>
    <row r="73" spans="1:7" x14ac:dyDescent="0.2">
      <c r="B73" s="108" t="s">
        <v>275</v>
      </c>
      <c r="G73" s="108">
        <v>4.7300000000000004</v>
      </c>
    </row>
    <row r="74" spans="1:7" x14ac:dyDescent="0.2">
      <c r="B74" s="108" t="s">
        <v>276</v>
      </c>
      <c r="G74" s="108">
        <v>1.18</v>
      </c>
    </row>
    <row r="75" spans="1:7" x14ac:dyDescent="0.2">
      <c r="B75" s="108" t="s">
        <v>277</v>
      </c>
      <c r="G75" s="108">
        <v>5.91</v>
      </c>
    </row>
    <row r="76" spans="1:7" x14ac:dyDescent="0.2">
      <c r="B76" s="108" t="s">
        <v>278</v>
      </c>
      <c r="C76" s="111" t="s">
        <v>273</v>
      </c>
      <c r="D76" s="108" t="s">
        <v>279</v>
      </c>
      <c r="G76" s="108">
        <v>0.59</v>
      </c>
    </row>
    <row r="78" spans="1:7" x14ac:dyDescent="0.2">
      <c r="A78" s="112"/>
      <c r="B78" s="112" t="s">
        <v>254</v>
      </c>
      <c r="C78" s="113"/>
      <c r="D78" s="112"/>
      <c r="E78" s="113"/>
      <c r="F78" s="112"/>
      <c r="G78" s="112">
        <v>6.5</v>
      </c>
    </row>
    <row r="80" spans="1:7" x14ac:dyDescent="0.2">
      <c r="A80" s="112" t="s">
        <v>116</v>
      </c>
      <c r="B80" s="112"/>
      <c r="C80" s="113"/>
      <c r="D80" s="112"/>
      <c r="E80" s="113"/>
      <c r="F80" s="112"/>
      <c r="G80" s="112"/>
    </row>
    <row r="81" spans="1:7" x14ac:dyDescent="0.2">
      <c r="A81" s="114" t="s">
        <v>286</v>
      </c>
      <c r="G81" s="115" t="s">
        <v>281</v>
      </c>
    </row>
    <row r="83" spans="1:7" x14ac:dyDescent="0.2">
      <c r="A83" s="114"/>
      <c r="B83" s="114" t="s">
        <v>268</v>
      </c>
      <c r="C83" s="116"/>
      <c r="D83" s="119">
        <v>0.62</v>
      </c>
      <c r="E83" s="116"/>
      <c r="F83" s="114"/>
      <c r="G83" s="114">
        <v>6.2</v>
      </c>
    </row>
    <row r="84" spans="1:7" x14ac:dyDescent="0.2">
      <c r="A84" s="108" t="s">
        <v>265</v>
      </c>
      <c r="B84" s="108" t="s">
        <v>287</v>
      </c>
      <c r="C84" s="111" t="s">
        <v>270</v>
      </c>
      <c r="D84" s="117">
        <v>0.31</v>
      </c>
      <c r="E84" s="118">
        <v>1</v>
      </c>
      <c r="F84" s="108">
        <v>10</v>
      </c>
      <c r="G84" s="108">
        <v>3.1</v>
      </c>
    </row>
    <row r="85" spans="1:7" x14ac:dyDescent="0.2">
      <c r="A85" s="108" t="s">
        <v>265</v>
      </c>
      <c r="B85" s="108" t="s">
        <v>287</v>
      </c>
      <c r="C85" s="111" t="s">
        <v>270</v>
      </c>
      <c r="D85" s="117">
        <v>0.31</v>
      </c>
      <c r="E85" s="118">
        <v>1</v>
      </c>
      <c r="F85" s="108">
        <v>10</v>
      </c>
      <c r="G85" s="108">
        <v>3.1</v>
      </c>
    </row>
    <row r="87" spans="1:7" x14ac:dyDescent="0.2">
      <c r="A87" s="114"/>
      <c r="B87" s="114" t="s">
        <v>271</v>
      </c>
      <c r="C87" s="116"/>
      <c r="D87" s="114"/>
      <c r="E87" s="116"/>
      <c r="F87" s="114"/>
      <c r="G87" s="114">
        <v>4.96</v>
      </c>
    </row>
    <row r="88" spans="1:7" x14ac:dyDescent="0.2">
      <c r="B88" s="108" t="s">
        <v>272</v>
      </c>
      <c r="C88" s="111" t="s">
        <v>273</v>
      </c>
      <c r="D88" s="108">
        <v>80</v>
      </c>
      <c r="G88" s="108">
        <v>4.96</v>
      </c>
    </row>
    <row r="90" spans="1:7" x14ac:dyDescent="0.2">
      <c r="A90" s="114"/>
      <c r="B90" s="114" t="s">
        <v>254</v>
      </c>
      <c r="C90" s="116"/>
      <c r="D90" s="114"/>
      <c r="E90" s="116"/>
      <c r="F90" s="114"/>
      <c r="G90" s="114"/>
    </row>
    <row r="91" spans="1:7" x14ac:dyDescent="0.2">
      <c r="B91" s="108" t="s">
        <v>275</v>
      </c>
      <c r="G91" s="108">
        <v>6.2</v>
      </c>
    </row>
    <row r="92" spans="1:7" x14ac:dyDescent="0.2">
      <c r="B92" s="108" t="s">
        <v>276</v>
      </c>
      <c r="G92" s="108">
        <v>4.96</v>
      </c>
    </row>
    <row r="93" spans="1:7" x14ac:dyDescent="0.2">
      <c r="B93" s="108" t="s">
        <v>277</v>
      </c>
      <c r="G93" s="108">
        <v>11.16</v>
      </c>
    </row>
    <row r="94" spans="1:7" x14ac:dyDescent="0.2">
      <c r="B94" s="108" t="s">
        <v>278</v>
      </c>
      <c r="C94" s="111" t="s">
        <v>273</v>
      </c>
      <c r="D94" s="108" t="s">
        <v>279</v>
      </c>
      <c r="G94" s="108">
        <v>1.1200000000000001</v>
      </c>
    </row>
    <row r="96" spans="1:7" x14ac:dyDescent="0.2">
      <c r="A96" s="112"/>
      <c r="B96" s="112" t="s">
        <v>254</v>
      </c>
      <c r="C96" s="113"/>
      <c r="D96" s="112"/>
      <c r="E96" s="113"/>
      <c r="F96" s="112"/>
      <c r="G96" s="112">
        <v>12.28</v>
      </c>
    </row>
    <row r="98" spans="1:7" x14ac:dyDescent="0.2">
      <c r="A98" s="112" t="s">
        <v>117</v>
      </c>
      <c r="B98" s="112"/>
      <c r="C98" s="113"/>
      <c r="D98" s="112"/>
      <c r="E98" s="113"/>
      <c r="F98" s="112"/>
      <c r="G98" s="112"/>
    </row>
    <row r="99" spans="1:7" x14ac:dyDescent="0.2">
      <c r="A99" s="114" t="s">
        <v>288</v>
      </c>
      <c r="G99" s="115" t="s">
        <v>281</v>
      </c>
    </row>
    <row r="101" spans="1:7" x14ac:dyDescent="0.2">
      <c r="A101" s="114"/>
      <c r="B101" s="114" t="s">
        <v>264</v>
      </c>
      <c r="C101" s="116"/>
      <c r="D101" s="114"/>
      <c r="E101" s="116"/>
      <c r="F101" s="114"/>
      <c r="G101" s="114">
        <v>9.57</v>
      </c>
    </row>
    <row r="102" spans="1:7" x14ac:dyDescent="0.2">
      <c r="A102" s="108" t="s">
        <v>265</v>
      </c>
      <c r="B102" s="108" t="s">
        <v>289</v>
      </c>
      <c r="C102" s="111" t="s">
        <v>267</v>
      </c>
      <c r="D102" s="117">
        <v>0.47849999999999998</v>
      </c>
      <c r="E102" s="118">
        <v>1</v>
      </c>
      <c r="F102" s="108">
        <v>20</v>
      </c>
      <c r="G102" s="108">
        <v>9.57</v>
      </c>
    </row>
    <row r="104" spans="1:7" x14ac:dyDescent="0.2">
      <c r="A104" s="114"/>
      <c r="B104" s="114" t="s">
        <v>268</v>
      </c>
      <c r="C104" s="116"/>
      <c r="D104" s="119">
        <v>0.38</v>
      </c>
      <c r="E104" s="116"/>
      <c r="F104" s="114"/>
      <c r="G104" s="114">
        <v>3.8</v>
      </c>
    </row>
    <row r="105" spans="1:7" x14ac:dyDescent="0.2">
      <c r="A105" s="108" t="s">
        <v>265</v>
      </c>
      <c r="B105" s="108" t="s">
        <v>287</v>
      </c>
      <c r="C105" s="111" t="s">
        <v>270</v>
      </c>
      <c r="D105" s="117">
        <v>0.38</v>
      </c>
      <c r="E105" s="118">
        <v>1</v>
      </c>
      <c r="F105" s="108">
        <v>10</v>
      </c>
      <c r="G105" s="108">
        <v>3.8</v>
      </c>
    </row>
    <row r="107" spans="1:7" x14ac:dyDescent="0.2">
      <c r="A107" s="114"/>
      <c r="B107" s="114" t="s">
        <v>271</v>
      </c>
      <c r="C107" s="116"/>
      <c r="D107" s="114"/>
      <c r="E107" s="116"/>
      <c r="F107" s="114"/>
      <c r="G107" s="114">
        <v>5.43</v>
      </c>
    </row>
    <row r="108" spans="1:7" x14ac:dyDescent="0.2">
      <c r="B108" s="108" t="s">
        <v>272</v>
      </c>
      <c r="C108" s="111" t="s">
        <v>273</v>
      </c>
      <c r="D108" s="108">
        <v>80</v>
      </c>
      <c r="G108" s="108">
        <v>3.04</v>
      </c>
    </row>
    <row r="109" spans="1:7" x14ac:dyDescent="0.2">
      <c r="B109" s="108" t="s">
        <v>274</v>
      </c>
      <c r="C109" s="111" t="s">
        <v>273</v>
      </c>
      <c r="D109" s="108">
        <v>25</v>
      </c>
      <c r="G109" s="108">
        <v>2.39</v>
      </c>
    </row>
    <row r="111" spans="1:7" x14ac:dyDescent="0.2">
      <c r="A111" s="114"/>
      <c r="B111" s="114" t="s">
        <v>254</v>
      </c>
      <c r="C111" s="116"/>
      <c r="D111" s="114"/>
      <c r="E111" s="116"/>
      <c r="F111" s="114"/>
      <c r="G111" s="114"/>
    </row>
    <row r="112" spans="1:7" x14ac:dyDescent="0.2">
      <c r="B112" s="108" t="s">
        <v>275</v>
      </c>
      <c r="G112" s="108">
        <v>13.37</v>
      </c>
    </row>
    <row r="113" spans="1:7" x14ac:dyDescent="0.2">
      <c r="B113" s="108" t="s">
        <v>276</v>
      </c>
      <c r="G113" s="108">
        <v>5.43</v>
      </c>
    </row>
    <row r="114" spans="1:7" x14ac:dyDescent="0.2">
      <c r="B114" s="108" t="s">
        <v>277</v>
      </c>
      <c r="G114" s="108">
        <v>18.8</v>
      </c>
    </row>
    <row r="115" spans="1:7" x14ac:dyDescent="0.2">
      <c r="B115" s="108" t="s">
        <v>278</v>
      </c>
      <c r="C115" s="111" t="s">
        <v>273</v>
      </c>
      <c r="D115" s="108" t="s">
        <v>279</v>
      </c>
      <c r="G115" s="108">
        <v>1.88</v>
      </c>
    </row>
    <row r="117" spans="1:7" x14ac:dyDescent="0.2">
      <c r="A117" s="112"/>
      <c r="B117" s="112" t="s">
        <v>254</v>
      </c>
      <c r="C117" s="113"/>
      <c r="D117" s="112"/>
      <c r="E117" s="113"/>
      <c r="F117" s="112"/>
      <c r="G117" s="112">
        <v>20.68</v>
      </c>
    </row>
    <row r="119" spans="1:7" x14ac:dyDescent="0.2">
      <c r="A119" s="112" t="s">
        <v>54</v>
      </c>
      <c r="B119" s="112"/>
      <c r="C119" s="113"/>
      <c r="D119" s="112"/>
      <c r="E119" s="113"/>
      <c r="F119" s="112"/>
      <c r="G119" s="112"/>
    </row>
    <row r="120" spans="1:7" x14ac:dyDescent="0.2">
      <c r="A120" s="114" t="s">
        <v>290</v>
      </c>
      <c r="G120" s="115" t="s">
        <v>281</v>
      </c>
    </row>
    <row r="122" spans="1:7" x14ac:dyDescent="0.2">
      <c r="A122" s="114"/>
      <c r="B122" s="114" t="s">
        <v>268</v>
      </c>
      <c r="C122" s="116"/>
      <c r="D122" s="119">
        <v>0.20200000000000001</v>
      </c>
      <c r="E122" s="116"/>
      <c r="F122" s="114"/>
      <c r="G122" s="114">
        <v>2.02</v>
      </c>
    </row>
    <row r="123" spans="1:7" x14ac:dyDescent="0.2">
      <c r="A123" s="108" t="s">
        <v>265</v>
      </c>
      <c r="B123" s="108" t="s">
        <v>291</v>
      </c>
      <c r="C123" s="111" t="s">
        <v>270</v>
      </c>
      <c r="D123" s="117">
        <v>0.10100000000000001</v>
      </c>
      <c r="E123" s="118">
        <v>1</v>
      </c>
      <c r="F123" s="108">
        <v>10</v>
      </c>
      <c r="G123" s="108">
        <v>1.01</v>
      </c>
    </row>
    <row r="124" spans="1:7" x14ac:dyDescent="0.2">
      <c r="A124" s="108" t="s">
        <v>265</v>
      </c>
      <c r="B124" s="108" t="s">
        <v>269</v>
      </c>
      <c r="C124" s="111" t="s">
        <v>270</v>
      </c>
      <c r="D124" s="117">
        <v>0.10100000000000001</v>
      </c>
      <c r="E124" s="118">
        <v>1</v>
      </c>
      <c r="F124" s="108">
        <v>10</v>
      </c>
      <c r="G124" s="108">
        <v>1.01</v>
      </c>
    </row>
    <row r="126" spans="1:7" x14ac:dyDescent="0.2">
      <c r="A126" s="114"/>
      <c r="B126" s="114" t="s">
        <v>271</v>
      </c>
      <c r="C126" s="116"/>
      <c r="D126" s="114"/>
      <c r="E126" s="116"/>
      <c r="F126" s="114"/>
      <c r="G126" s="114">
        <v>1.62</v>
      </c>
    </row>
    <row r="127" spans="1:7" x14ac:dyDescent="0.2">
      <c r="B127" s="108" t="s">
        <v>272</v>
      </c>
      <c r="C127" s="111" t="s">
        <v>273</v>
      </c>
      <c r="D127" s="108">
        <v>80</v>
      </c>
      <c r="G127" s="108">
        <v>1.62</v>
      </c>
    </row>
    <row r="129" spans="1:7" x14ac:dyDescent="0.2">
      <c r="A129" s="114"/>
      <c r="B129" s="114" t="s">
        <v>254</v>
      </c>
      <c r="C129" s="116"/>
      <c r="D129" s="114"/>
      <c r="E129" s="116"/>
      <c r="F129" s="114"/>
      <c r="G129" s="114"/>
    </row>
    <row r="130" spans="1:7" x14ac:dyDescent="0.2">
      <c r="B130" s="108" t="s">
        <v>275</v>
      </c>
      <c r="G130" s="108">
        <v>2.02</v>
      </c>
    </row>
    <row r="131" spans="1:7" x14ac:dyDescent="0.2">
      <c r="B131" s="108" t="s">
        <v>276</v>
      </c>
      <c r="G131" s="108">
        <v>1.62</v>
      </c>
    </row>
    <row r="132" spans="1:7" x14ac:dyDescent="0.2">
      <c r="B132" s="108" t="s">
        <v>277</v>
      </c>
      <c r="G132" s="108">
        <v>3.64</v>
      </c>
    </row>
    <row r="133" spans="1:7" x14ac:dyDescent="0.2">
      <c r="B133" s="108" t="s">
        <v>278</v>
      </c>
      <c r="C133" s="111" t="s">
        <v>273</v>
      </c>
      <c r="D133" s="108" t="s">
        <v>279</v>
      </c>
      <c r="G133" s="108">
        <v>0.36</v>
      </c>
    </row>
    <row r="135" spans="1:7" x14ac:dyDescent="0.2">
      <c r="A135" s="112"/>
      <c r="B135" s="112" t="s">
        <v>254</v>
      </c>
      <c r="C135" s="113"/>
      <c r="D135" s="112"/>
      <c r="E135" s="113"/>
      <c r="F135" s="112"/>
      <c r="G135" s="112">
        <v>4</v>
      </c>
    </row>
    <row r="137" spans="1:7" x14ac:dyDescent="0.2">
      <c r="A137" s="112" t="s">
        <v>12</v>
      </c>
      <c r="B137" s="112"/>
      <c r="C137" s="113"/>
      <c r="D137" s="112"/>
      <c r="E137" s="113"/>
      <c r="F137" s="112"/>
      <c r="G137" s="112"/>
    </row>
    <row r="138" spans="1:7" x14ac:dyDescent="0.2">
      <c r="A138" s="114" t="s">
        <v>292</v>
      </c>
      <c r="G138" s="115" t="s">
        <v>293</v>
      </c>
    </row>
    <row r="140" spans="1:7" x14ac:dyDescent="0.2">
      <c r="A140" s="114"/>
      <c r="B140" s="114" t="s">
        <v>294</v>
      </c>
      <c r="C140" s="116"/>
      <c r="D140" s="114"/>
      <c r="E140" s="116"/>
      <c r="F140" s="114"/>
      <c r="G140" s="114">
        <v>1.25</v>
      </c>
    </row>
    <row r="141" spans="1:7" x14ac:dyDescent="0.2">
      <c r="A141" s="108" t="s">
        <v>265</v>
      </c>
      <c r="B141" s="108" t="s">
        <v>295</v>
      </c>
      <c r="C141" s="111" t="s">
        <v>296</v>
      </c>
      <c r="D141" s="117">
        <v>1</v>
      </c>
      <c r="E141" s="118">
        <v>1</v>
      </c>
      <c r="F141" s="108">
        <v>1.25</v>
      </c>
      <c r="G141" s="108">
        <v>1.25</v>
      </c>
    </row>
    <row r="143" spans="1:7" x14ac:dyDescent="0.2">
      <c r="A143" s="114"/>
      <c r="B143" s="114" t="s">
        <v>264</v>
      </c>
      <c r="C143" s="116"/>
      <c r="D143" s="114"/>
      <c r="E143" s="116"/>
      <c r="F143" s="114"/>
      <c r="G143" s="114">
        <v>0.25</v>
      </c>
    </row>
    <row r="144" spans="1:7" x14ac:dyDescent="0.2">
      <c r="A144" s="108" t="s">
        <v>265</v>
      </c>
      <c r="B144" s="108" t="s">
        <v>297</v>
      </c>
      <c r="C144" s="111" t="s">
        <v>267</v>
      </c>
      <c r="D144" s="117">
        <v>1E-3</v>
      </c>
      <c r="E144" s="118">
        <v>1</v>
      </c>
      <c r="F144" s="108">
        <v>250</v>
      </c>
      <c r="G144" s="108">
        <v>0.25</v>
      </c>
    </row>
    <row r="146" spans="1:7" x14ac:dyDescent="0.2">
      <c r="A146" s="114"/>
      <c r="B146" s="114" t="s">
        <v>271</v>
      </c>
      <c r="C146" s="116"/>
      <c r="D146" s="114"/>
      <c r="E146" s="116"/>
      <c r="F146" s="114"/>
      <c r="G146" s="114">
        <v>0.19</v>
      </c>
    </row>
    <row r="147" spans="1:7" x14ac:dyDescent="0.2">
      <c r="B147" s="108" t="s">
        <v>298</v>
      </c>
      <c r="C147" s="111" t="s">
        <v>273</v>
      </c>
      <c r="D147" s="108">
        <v>10</v>
      </c>
      <c r="G147" s="108">
        <v>0.13</v>
      </c>
    </row>
    <row r="148" spans="1:7" x14ac:dyDescent="0.2">
      <c r="B148" s="108" t="s">
        <v>274</v>
      </c>
      <c r="C148" s="111" t="s">
        <v>273</v>
      </c>
      <c r="D148" s="108">
        <v>25</v>
      </c>
      <c r="G148" s="108">
        <v>0.06</v>
      </c>
    </row>
    <row r="150" spans="1:7" x14ac:dyDescent="0.2">
      <c r="A150" s="114"/>
      <c r="B150" s="114" t="s">
        <v>254</v>
      </c>
      <c r="C150" s="116"/>
      <c r="D150" s="114"/>
      <c r="E150" s="116"/>
      <c r="F150" s="114"/>
      <c r="G150" s="114"/>
    </row>
    <row r="151" spans="1:7" x14ac:dyDescent="0.2">
      <c r="B151" s="108" t="s">
        <v>275</v>
      </c>
      <c r="G151" s="108">
        <v>1.5</v>
      </c>
    </row>
    <row r="152" spans="1:7" x14ac:dyDescent="0.2">
      <c r="B152" s="108" t="s">
        <v>276</v>
      </c>
      <c r="G152" s="108">
        <v>0.19</v>
      </c>
    </row>
    <row r="153" spans="1:7" x14ac:dyDescent="0.2">
      <c r="B153" s="108" t="s">
        <v>277</v>
      </c>
      <c r="G153" s="108">
        <v>1.69</v>
      </c>
    </row>
    <row r="154" spans="1:7" x14ac:dyDescent="0.2">
      <c r="B154" s="108" t="s">
        <v>278</v>
      </c>
      <c r="C154" s="111" t="s">
        <v>273</v>
      </c>
      <c r="D154" s="108" t="s">
        <v>279</v>
      </c>
      <c r="G154" s="108">
        <v>0.17</v>
      </c>
    </row>
    <row r="156" spans="1:7" x14ac:dyDescent="0.2">
      <c r="A156" s="112"/>
      <c r="B156" s="112" t="s">
        <v>254</v>
      </c>
      <c r="C156" s="113"/>
      <c r="D156" s="112"/>
      <c r="E156" s="113"/>
      <c r="F156" s="112"/>
      <c r="G156" s="112">
        <v>1.86</v>
      </c>
    </row>
    <row r="158" spans="1:7" x14ac:dyDescent="0.2">
      <c r="A158" s="112" t="s">
        <v>55</v>
      </c>
      <c r="B158" s="112"/>
      <c r="C158" s="113"/>
      <c r="D158" s="112"/>
      <c r="E158" s="113"/>
      <c r="F158" s="112"/>
      <c r="G158" s="112"/>
    </row>
    <row r="159" spans="1:7" x14ac:dyDescent="0.2">
      <c r="A159" s="114" t="s">
        <v>299</v>
      </c>
      <c r="G159" s="115" t="s">
        <v>281</v>
      </c>
    </row>
    <row r="161" spans="1:7" x14ac:dyDescent="0.2">
      <c r="A161" s="114"/>
      <c r="B161" s="114" t="s">
        <v>294</v>
      </c>
      <c r="C161" s="116"/>
      <c r="D161" s="114"/>
      <c r="E161" s="116"/>
      <c r="F161" s="114"/>
      <c r="G161" s="114">
        <v>16</v>
      </c>
    </row>
    <row r="162" spans="1:7" x14ac:dyDescent="0.2">
      <c r="A162" s="108" t="s">
        <v>265</v>
      </c>
      <c r="B162" s="108" t="s">
        <v>300</v>
      </c>
      <c r="C162" s="111" t="s">
        <v>301</v>
      </c>
      <c r="D162" s="117">
        <v>1</v>
      </c>
      <c r="E162" s="118">
        <v>1</v>
      </c>
      <c r="F162" s="108">
        <v>16</v>
      </c>
      <c r="G162" s="108">
        <v>16</v>
      </c>
    </row>
    <row r="164" spans="1:7" x14ac:dyDescent="0.2">
      <c r="A164" s="114"/>
      <c r="B164" s="114" t="s">
        <v>264</v>
      </c>
      <c r="C164" s="116"/>
      <c r="D164" s="114"/>
      <c r="E164" s="116"/>
      <c r="F164" s="114"/>
      <c r="G164" s="114">
        <v>7.1</v>
      </c>
    </row>
    <row r="165" spans="1:7" x14ac:dyDescent="0.2">
      <c r="A165" s="108" t="s">
        <v>265</v>
      </c>
      <c r="B165" s="108" t="s">
        <v>302</v>
      </c>
      <c r="C165" s="111" t="s">
        <v>267</v>
      </c>
      <c r="D165" s="117">
        <v>2.1999999999999999E-2</v>
      </c>
      <c r="E165" s="118">
        <v>1</v>
      </c>
      <c r="F165" s="108">
        <v>250</v>
      </c>
      <c r="G165" s="108">
        <v>5.5</v>
      </c>
    </row>
    <row r="166" spans="1:7" x14ac:dyDescent="0.2">
      <c r="A166" s="108" t="s">
        <v>265</v>
      </c>
      <c r="B166" s="108" t="s">
        <v>303</v>
      </c>
      <c r="C166" s="111" t="s">
        <v>267</v>
      </c>
      <c r="D166" s="117">
        <v>1.6E-2</v>
      </c>
      <c r="E166" s="118">
        <v>1</v>
      </c>
      <c r="F166" s="108">
        <v>100</v>
      </c>
      <c r="G166" s="108">
        <v>1.6</v>
      </c>
    </row>
    <row r="168" spans="1:7" x14ac:dyDescent="0.2">
      <c r="A168" s="114"/>
      <c r="B168" s="114" t="s">
        <v>268</v>
      </c>
      <c r="C168" s="116"/>
      <c r="D168" s="119">
        <v>0.1</v>
      </c>
      <c r="E168" s="116"/>
      <c r="F168" s="114"/>
      <c r="G168" s="114">
        <v>1</v>
      </c>
    </row>
    <row r="169" spans="1:7" x14ac:dyDescent="0.2">
      <c r="A169" s="108" t="s">
        <v>265</v>
      </c>
      <c r="B169" s="108" t="s">
        <v>269</v>
      </c>
      <c r="C169" s="111" t="s">
        <v>270</v>
      </c>
      <c r="D169" s="117">
        <v>0.1</v>
      </c>
      <c r="E169" s="118">
        <v>1</v>
      </c>
      <c r="F169" s="108">
        <v>10</v>
      </c>
      <c r="G169" s="108">
        <v>1</v>
      </c>
    </row>
    <row r="171" spans="1:7" x14ac:dyDescent="0.2">
      <c r="A171" s="114"/>
      <c r="B171" s="114" t="s">
        <v>271</v>
      </c>
      <c r="C171" s="116"/>
      <c r="D171" s="114"/>
      <c r="E171" s="116"/>
      <c r="F171" s="114"/>
      <c r="G171" s="114">
        <v>4.18</v>
      </c>
    </row>
    <row r="172" spans="1:7" x14ac:dyDescent="0.2">
      <c r="B172" s="108" t="s">
        <v>272</v>
      </c>
      <c r="C172" s="111" t="s">
        <v>273</v>
      </c>
      <c r="D172" s="108">
        <v>80</v>
      </c>
      <c r="G172" s="108">
        <v>0.8</v>
      </c>
    </row>
    <row r="173" spans="1:7" x14ac:dyDescent="0.2">
      <c r="B173" s="108" t="s">
        <v>298</v>
      </c>
      <c r="C173" s="111" t="s">
        <v>273</v>
      </c>
      <c r="D173" s="108">
        <v>10</v>
      </c>
      <c r="G173" s="108">
        <v>1.6</v>
      </c>
    </row>
    <row r="174" spans="1:7" x14ac:dyDescent="0.2">
      <c r="B174" s="108" t="s">
        <v>274</v>
      </c>
      <c r="C174" s="111" t="s">
        <v>273</v>
      </c>
      <c r="D174" s="108">
        <v>25</v>
      </c>
      <c r="G174" s="108">
        <v>1.78</v>
      </c>
    </row>
    <row r="176" spans="1:7" x14ac:dyDescent="0.2">
      <c r="A176" s="114"/>
      <c r="B176" s="114" t="s">
        <v>254</v>
      </c>
      <c r="C176" s="116"/>
      <c r="D176" s="114"/>
      <c r="E176" s="116"/>
      <c r="F176" s="114"/>
      <c r="G176" s="114"/>
    </row>
    <row r="177" spans="1:7" x14ac:dyDescent="0.2">
      <c r="B177" s="108" t="s">
        <v>275</v>
      </c>
      <c r="G177" s="108">
        <v>24.1</v>
      </c>
    </row>
    <row r="178" spans="1:7" x14ac:dyDescent="0.2">
      <c r="B178" s="108" t="s">
        <v>276</v>
      </c>
      <c r="G178" s="108">
        <v>4.18</v>
      </c>
    </row>
    <row r="179" spans="1:7" x14ac:dyDescent="0.2">
      <c r="B179" s="108" t="s">
        <v>277</v>
      </c>
      <c r="G179" s="108">
        <v>28.28</v>
      </c>
    </row>
    <row r="180" spans="1:7" x14ac:dyDescent="0.2">
      <c r="B180" s="108" t="s">
        <v>278</v>
      </c>
      <c r="C180" s="111" t="s">
        <v>273</v>
      </c>
      <c r="D180" s="108" t="s">
        <v>279</v>
      </c>
      <c r="G180" s="108">
        <v>2.83</v>
      </c>
    </row>
    <row r="182" spans="1:7" x14ac:dyDescent="0.2">
      <c r="A182" s="112"/>
      <c r="B182" s="112" t="s">
        <v>254</v>
      </c>
      <c r="C182" s="113"/>
      <c r="D182" s="112"/>
      <c r="E182" s="113"/>
      <c r="F182" s="112"/>
      <c r="G182" s="112">
        <v>31.11</v>
      </c>
    </row>
    <row r="184" spans="1:7" x14ac:dyDescent="0.2">
      <c r="A184" s="112" t="s">
        <v>39</v>
      </c>
      <c r="B184" s="112"/>
      <c r="C184" s="113"/>
      <c r="D184" s="112"/>
      <c r="E184" s="113"/>
      <c r="F184" s="112"/>
      <c r="G184" s="112"/>
    </row>
    <row r="185" spans="1:7" x14ac:dyDescent="0.2">
      <c r="A185" s="114" t="s">
        <v>304</v>
      </c>
      <c r="G185" s="115" t="s">
        <v>263</v>
      </c>
    </row>
    <row r="187" spans="1:7" x14ac:dyDescent="0.2">
      <c r="A187" s="114"/>
      <c r="B187" s="114" t="s">
        <v>294</v>
      </c>
      <c r="C187" s="116"/>
      <c r="D187" s="114"/>
      <c r="E187" s="116"/>
      <c r="F187" s="114"/>
      <c r="G187" s="114">
        <v>0.3</v>
      </c>
    </row>
    <row r="188" spans="1:7" x14ac:dyDescent="0.2">
      <c r="A188" s="108" t="s">
        <v>265</v>
      </c>
      <c r="B188" s="108" t="s">
        <v>305</v>
      </c>
      <c r="C188" s="111" t="s">
        <v>306</v>
      </c>
      <c r="D188" s="117">
        <v>1</v>
      </c>
      <c r="E188" s="118">
        <v>1</v>
      </c>
      <c r="F188" s="108">
        <v>0.3</v>
      </c>
      <c r="G188" s="108">
        <v>0.3</v>
      </c>
    </row>
    <row r="190" spans="1:7" x14ac:dyDescent="0.2">
      <c r="A190" s="114"/>
      <c r="B190" s="114" t="s">
        <v>268</v>
      </c>
      <c r="C190" s="116"/>
      <c r="D190" s="119">
        <v>0.01</v>
      </c>
      <c r="E190" s="116"/>
      <c r="F190" s="114"/>
      <c r="G190" s="114">
        <v>0.1</v>
      </c>
    </row>
    <row r="191" spans="1:7" x14ac:dyDescent="0.2">
      <c r="A191" s="108" t="s">
        <v>265</v>
      </c>
      <c r="B191" s="108" t="s">
        <v>269</v>
      </c>
      <c r="C191" s="111" t="s">
        <v>270</v>
      </c>
      <c r="D191" s="117">
        <v>0.01</v>
      </c>
      <c r="E191" s="118">
        <v>1</v>
      </c>
      <c r="F191" s="108">
        <v>10</v>
      </c>
      <c r="G191" s="108">
        <v>0.1</v>
      </c>
    </row>
    <row r="193" spans="1:7" x14ac:dyDescent="0.2">
      <c r="A193" s="114"/>
      <c r="B193" s="114" t="s">
        <v>271</v>
      </c>
      <c r="C193" s="116"/>
      <c r="D193" s="114"/>
      <c r="E193" s="116"/>
      <c r="F193" s="114"/>
      <c r="G193" s="114">
        <v>0.11</v>
      </c>
    </row>
    <row r="194" spans="1:7" x14ac:dyDescent="0.2">
      <c r="B194" s="108" t="s">
        <v>272</v>
      </c>
      <c r="C194" s="111" t="s">
        <v>273</v>
      </c>
      <c r="D194" s="108">
        <v>80</v>
      </c>
      <c r="G194" s="108">
        <v>0.08</v>
      </c>
    </row>
    <row r="195" spans="1:7" x14ac:dyDescent="0.2">
      <c r="B195" s="108" t="s">
        <v>298</v>
      </c>
      <c r="C195" s="111" t="s">
        <v>273</v>
      </c>
      <c r="D195" s="108">
        <v>10</v>
      </c>
      <c r="G195" s="108">
        <v>0.03</v>
      </c>
    </row>
    <row r="197" spans="1:7" x14ac:dyDescent="0.2">
      <c r="A197" s="114"/>
      <c r="B197" s="114" t="s">
        <v>254</v>
      </c>
      <c r="C197" s="116"/>
      <c r="D197" s="114"/>
      <c r="E197" s="116"/>
      <c r="F197" s="114"/>
      <c r="G197" s="114"/>
    </row>
    <row r="198" spans="1:7" x14ac:dyDescent="0.2">
      <c r="B198" s="108" t="s">
        <v>275</v>
      </c>
      <c r="G198" s="108">
        <v>0.4</v>
      </c>
    </row>
    <row r="199" spans="1:7" x14ac:dyDescent="0.2">
      <c r="B199" s="108" t="s">
        <v>276</v>
      </c>
      <c r="G199" s="108">
        <v>0.11</v>
      </c>
    </row>
    <row r="200" spans="1:7" x14ac:dyDescent="0.2">
      <c r="B200" s="108" t="s">
        <v>277</v>
      </c>
      <c r="G200" s="108">
        <v>0.51</v>
      </c>
    </row>
    <row r="201" spans="1:7" x14ac:dyDescent="0.2">
      <c r="B201" s="108" t="s">
        <v>278</v>
      </c>
      <c r="C201" s="111" t="s">
        <v>273</v>
      </c>
      <c r="D201" s="108" t="s">
        <v>279</v>
      </c>
      <c r="G201" s="108">
        <v>0.05</v>
      </c>
    </row>
    <row r="203" spans="1:7" x14ac:dyDescent="0.2">
      <c r="A203" s="112"/>
      <c r="B203" s="112" t="s">
        <v>254</v>
      </c>
      <c r="C203" s="113"/>
      <c r="D203" s="112"/>
      <c r="E203" s="113"/>
      <c r="F203" s="112"/>
      <c r="G203" s="112">
        <v>0.56000000000000005</v>
      </c>
    </row>
    <row r="205" spans="1:7" x14ac:dyDescent="0.2">
      <c r="A205" s="112" t="s">
        <v>101</v>
      </c>
      <c r="B205" s="112"/>
      <c r="C205" s="113"/>
      <c r="D205" s="112"/>
      <c r="E205" s="113"/>
      <c r="F205" s="112"/>
      <c r="G205" s="112"/>
    </row>
    <row r="206" spans="1:7" x14ac:dyDescent="0.2">
      <c r="A206" s="114" t="s">
        <v>307</v>
      </c>
      <c r="G206" s="115" t="s">
        <v>263</v>
      </c>
    </row>
    <row r="208" spans="1:7" x14ac:dyDescent="0.2">
      <c r="A208" s="114"/>
      <c r="B208" s="114" t="s">
        <v>294</v>
      </c>
      <c r="C208" s="116"/>
      <c r="D208" s="114"/>
      <c r="E208" s="116"/>
      <c r="F208" s="114"/>
      <c r="G208" s="114">
        <v>19.600000000000001</v>
      </c>
    </row>
    <row r="209" spans="1:7" x14ac:dyDescent="0.2">
      <c r="A209" s="108" t="s">
        <v>265</v>
      </c>
      <c r="B209" s="108" t="s">
        <v>308</v>
      </c>
      <c r="C209" s="111" t="s">
        <v>306</v>
      </c>
      <c r="D209" s="117">
        <v>1</v>
      </c>
      <c r="E209" s="118">
        <v>1</v>
      </c>
      <c r="F209" s="108">
        <v>19.600000000000001</v>
      </c>
      <c r="G209" s="108">
        <v>19.600000000000001</v>
      </c>
    </row>
    <row r="211" spans="1:7" x14ac:dyDescent="0.2">
      <c r="A211" s="114"/>
      <c r="B211" s="114" t="s">
        <v>264</v>
      </c>
      <c r="C211" s="116"/>
      <c r="D211" s="114"/>
      <c r="E211" s="116"/>
      <c r="F211" s="114"/>
      <c r="G211" s="114">
        <v>4.55</v>
      </c>
    </row>
    <row r="212" spans="1:7" x14ac:dyDescent="0.2">
      <c r="A212" s="108" t="s">
        <v>265</v>
      </c>
      <c r="B212" s="108" t="s">
        <v>309</v>
      </c>
      <c r="C212" s="111" t="s">
        <v>267</v>
      </c>
      <c r="D212" s="117">
        <v>1.8200000000000001E-2</v>
      </c>
      <c r="E212" s="118">
        <v>1</v>
      </c>
      <c r="F212" s="108">
        <v>250</v>
      </c>
      <c r="G212" s="108">
        <v>4.55</v>
      </c>
    </row>
    <row r="214" spans="1:7" x14ac:dyDescent="0.2">
      <c r="A214" s="114"/>
      <c r="B214" s="114" t="s">
        <v>268</v>
      </c>
      <c r="C214" s="116"/>
      <c r="D214" s="119">
        <v>0.55000000000000004</v>
      </c>
      <c r="E214" s="116"/>
      <c r="F214" s="114"/>
      <c r="G214" s="114">
        <v>5.5</v>
      </c>
    </row>
    <row r="215" spans="1:7" x14ac:dyDescent="0.2">
      <c r="A215" s="108" t="s">
        <v>265</v>
      </c>
      <c r="B215" s="108" t="s">
        <v>310</v>
      </c>
      <c r="C215" s="111" t="s">
        <v>270</v>
      </c>
      <c r="D215" s="117">
        <v>0.55000000000000004</v>
      </c>
      <c r="E215" s="118">
        <v>1</v>
      </c>
      <c r="F215" s="108">
        <v>10</v>
      </c>
      <c r="G215" s="108">
        <v>5.5</v>
      </c>
    </row>
    <row r="217" spans="1:7" x14ac:dyDescent="0.2">
      <c r="A217" s="114"/>
      <c r="B217" s="114" t="s">
        <v>271</v>
      </c>
      <c r="C217" s="116"/>
      <c r="D217" s="114"/>
      <c r="E217" s="116"/>
      <c r="F217" s="114"/>
      <c r="G217" s="114">
        <v>7.5</v>
      </c>
    </row>
    <row r="218" spans="1:7" x14ac:dyDescent="0.2">
      <c r="B218" s="108" t="s">
        <v>272</v>
      </c>
      <c r="C218" s="111" t="s">
        <v>273</v>
      </c>
      <c r="D218" s="108">
        <v>80</v>
      </c>
      <c r="G218" s="108">
        <v>4.4000000000000004</v>
      </c>
    </row>
    <row r="219" spans="1:7" x14ac:dyDescent="0.2">
      <c r="B219" s="108" t="s">
        <v>298</v>
      </c>
      <c r="C219" s="111" t="s">
        <v>273</v>
      </c>
      <c r="D219" s="108">
        <v>10</v>
      </c>
      <c r="G219" s="108">
        <v>1.96</v>
      </c>
    </row>
    <row r="220" spans="1:7" x14ac:dyDescent="0.2">
      <c r="B220" s="108" t="s">
        <v>274</v>
      </c>
      <c r="C220" s="111" t="s">
        <v>273</v>
      </c>
      <c r="D220" s="108">
        <v>25</v>
      </c>
      <c r="G220" s="108">
        <v>1.1399999999999999</v>
      </c>
    </row>
    <row r="222" spans="1:7" x14ac:dyDescent="0.2">
      <c r="A222" s="114"/>
      <c r="B222" s="114" t="s">
        <v>254</v>
      </c>
      <c r="C222" s="116"/>
      <c r="D222" s="114"/>
      <c r="E222" s="116"/>
      <c r="F222" s="114"/>
      <c r="G222" s="114"/>
    </row>
    <row r="223" spans="1:7" x14ac:dyDescent="0.2">
      <c r="B223" s="108" t="s">
        <v>275</v>
      </c>
      <c r="G223" s="108">
        <v>29.65</v>
      </c>
    </row>
    <row r="224" spans="1:7" x14ac:dyDescent="0.2">
      <c r="B224" s="108" t="s">
        <v>276</v>
      </c>
      <c r="G224" s="108">
        <v>7.5</v>
      </c>
    </row>
    <row r="225" spans="1:7" x14ac:dyDescent="0.2">
      <c r="B225" s="108" t="s">
        <v>277</v>
      </c>
      <c r="G225" s="108">
        <v>37.15</v>
      </c>
    </row>
    <row r="226" spans="1:7" x14ac:dyDescent="0.2">
      <c r="B226" s="108" t="s">
        <v>278</v>
      </c>
      <c r="C226" s="111" t="s">
        <v>273</v>
      </c>
      <c r="D226" s="108" t="s">
        <v>279</v>
      </c>
      <c r="G226" s="108">
        <v>3.72</v>
      </c>
    </row>
    <row r="228" spans="1:7" x14ac:dyDescent="0.2">
      <c r="A228" s="112"/>
      <c r="B228" s="112" t="s">
        <v>254</v>
      </c>
      <c r="C228" s="113"/>
      <c r="D228" s="112"/>
      <c r="E228" s="113"/>
      <c r="F228" s="112"/>
      <c r="G228" s="112">
        <v>40.869999999999997</v>
      </c>
    </row>
    <row r="230" spans="1:7" x14ac:dyDescent="0.2">
      <c r="A230" s="112" t="s">
        <v>70</v>
      </c>
      <c r="B230" s="112"/>
      <c r="C230" s="113"/>
      <c r="D230" s="112"/>
      <c r="E230" s="113"/>
      <c r="F230" s="112"/>
      <c r="G230" s="112"/>
    </row>
    <row r="231" spans="1:7" x14ac:dyDescent="0.2">
      <c r="A231" s="114" t="s">
        <v>311</v>
      </c>
      <c r="G231" s="115" t="s">
        <v>312</v>
      </c>
    </row>
    <row r="233" spans="1:7" x14ac:dyDescent="0.2">
      <c r="A233" s="114"/>
      <c r="B233" s="114" t="s">
        <v>264</v>
      </c>
      <c r="C233" s="116"/>
      <c r="D233" s="114"/>
      <c r="E233" s="116"/>
      <c r="F233" s="114"/>
      <c r="G233" s="114">
        <v>1.68</v>
      </c>
    </row>
    <row r="234" spans="1:7" x14ac:dyDescent="0.2">
      <c r="A234" s="108" t="s">
        <v>265</v>
      </c>
      <c r="B234" s="108" t="s">
        <v>313</v>
      </c>
      <c r="C234" s="111" t="s">
        <v>267</v>
      </c>
      <c r="D234" s="117">
        <v>0.04</v>
      </c>
      <c r="E234" s="118">
        <v>1</v>
      </c>
      <c r="F234" s="108">
        <v>30</v>
      </c>
      <c r="G234" s="108">
        <v>1.2</v>
      </c>
    </row>
    <row r="235" spans="1:7" x14ac:dyDescent="0.2">
      <c r="A235" s="108" t="s">
        <v>265</v>
      </c>
      <c r="B235" s="108" t="s">
        <v>314</v>
      </c>
      <c r="C235" s="111" t="s">
        <v>267</v>
      </c>
      <c r="D235" s="117">
        <v>1.6E-2</v>
      </c>
      <c r="E235" s="118">
        <v>1</v>
      </c>
      <c r="F235" s="108">
        <v>30</v>
      </c>
      <c r="G235" s="108">
        <v>0.48</v>
      </c>
    </row>
    <row r="237" spans="1:7" x14ac:dyDescent="0.2">
      <c r="A237" s="114"/>
      <c r="B237" s="114" t="s">
        <v>268</v>
      </c>
      <c r="C237" s="116"/>
      <c r="D237" s="119">
        <v>0.28000000000000003</v>
      </c>
      <c r="E237" s="116"/>
      <c r="F237" s="114"/>
      <c r="G237" s="114">
        <v>2.8</v>
      </c>
    </row>
    <row r="238" spans="1:7" x14ac:dyDescent="0.2">
      <c r="A238" s="108" t="s">
        <v>265</v>
      </c>
      <c r="B238" s="108" t="s">
        <v>310</v>
      </c>
      <c r="C238" s="111" t="s">
        <v>270</v>
      </c>
      <c r="D238" s="117">
        <v>0.28000000000000003</v>
      </c>
      <c r="E238" s="118">
        <v>1</v>
      </c>
      <c r="F238" s="108">
        <v>10</v>
      </c>
      <c r="G238" s="108">
        <v>2.8</v>
      </c>
    </row>
    <row r="240" spans="1:7" x14ac:dyDescent="0.2">
      <c r="A240" s="114"/>
      <c r="B240" s="114" t="s">
        <v>271</v>
      </c>
      <c r="C240" s="116"/>
      <c r="D240" s="114"/>
      <c r="E240" s="116"/>
      <c r="F240" s="114"/>
      <c r="G240" s="114">
        <v>2.66</v>
      </c>
    </row>
    <row r="241" spans="1:7" x14ac:dyDescent="0.2">
      <c r="B241" s="108" t="s">
        <v>272</v>
      </c>
      <c r="C241" s="111" t="s">
        <v>273</v>
      </c>
      <c r="D241" s="108">
        <v>80</v>
      </c>
      <c r="G241" s="108">
        <v>2.2400000000000002</v>
      </c>
    </row>
    <row r="242" spans="1:7" x14ac:dyDescent="0.2">
      <c r="B242" s="108" t="s">
        <v>274</v>
      </c>
      <c r="C242" s="111" t="s">
        <v>273</v>
      </c>
      <c r="D242" s="108">
        <v>25</v>
      </c>
      <c r="G242" s="108">
        <v>0.42</v>
      </c>
    </row>
    <row r="244" spans="1:7" x14ac:dyDescent="0.2">
      <c r="A244" s="114"/>
      <c r="B244" s="114" t="s">
        <v>254</v>
      </c>
      <c r="C244" s="116"/>
      <c r="D244" s="114"/>
      <c r="E244" s="116"/>
      <c r="F244" s="114"/>
      <c r="G244" s="114"/>
    </row>
    <row r="245" spans="1:7" x14ac:dyDescent="0.2">
      <c r="B245" s="108" t="s">
        <v>275</v>
      </c>
      <c r="G245" s="108">
        <v>4.4800000000000004</v>
      </c>
    </row>
    <row r="246" spans="1:7" x14ac:dyDescent="0.2">
      <c r="B246" s="108" t="s">
        <v>276</v>
      </c>
      <c r="G246" s="108">
        <v>2.66</v>
      </c>
    </row>
    <row r="247" spans="1:7" x14ac:dyDescent="0.2">
      <c r="B247" s="108" t="s">
        <v>277</v>
      </c>
      <c r="G247" s="108">
        <v>7.14</v>
      </c>
    </row>
    <row r="248" spans="1:7" x14ac:dyDescent="0.2">
      <c r="B248" s="108" t="s">
        <v>278</v>
      </c>
      <c r="C248" s="111" t="s">
        <v>273</v>
      </c>
      <c r="D248" s="108" t="s">
        <v>279</v>
      </c>
      <c r="G248" s="108">
        <v>0.71</v>
      </c>
    </row>
    <row r="250" spans="1:7" x14ac:dyDescent="0.2">
      <c r="A250" s="112"/>
      <c r="B250" s="112" t="s">
        <v>254</v>
      </c>
      <c r="C250" s="113"/>
      <c r="D250" s="112"/>
      <c r="E250" s="113"/>
      <c r="F250" s="112"/>
      <c r="G250" s="112">
        <v>7.85</v>
      </c>
    </row>
    <row r="252" spans="1:7" x14ac:dyDescent="0.2">
      <c r="A252" s="112" t="s">
        <v>19</v>
      </c>
      <c r="B252" s="112"/>
      <c r="C252" s="113"/>
      <c r="D252" s="112"/>
      <c r="E252" s="113"/>
      <c r="F252" s="112"/>
      <c r="G252" s="112"/>
    </row>
    <row r="253" spans="1:7" x14ac:dyDescent="0.2">
      <c r="A253" s="114" t="s">
        <v>315</v>
      </c>
      <c r="G253" s="115" t="s">
        <v>312</v>
      </c>
    </row>
    <row r="255" spans="1:7" x14ac:dyDescent="0.2">
      <c r="A255" s="114"/>
      <c r="B255" s="114" t="s">
        <v>294</v>
      </c>
      <c r="C255" s="116"/>
      <c r="D255" s="114"/>
      <c r="E255" s="116"/>
      <c r="F255" s="114"/>
      <c r="G255" s="114">
        <v>213</v>
      </c>
    </row>
    <row r="256" spans="1:7" x14ac:dyDescent="0.2">
      <c r="A256" s="108" t="s">
        <v>265</v>
      </c>
      <c r="B256" s="108" t="s">
        <v>316</v>
      </c>
      <c r="C256" s="111" t="s">
        <v>317</v>
      </c>
      <c r="D256" s="117">
        <v>1</v>
      </c>
      <c r="E256" s="118">
        <v>1</v>
      </c>
      <c r="F256" s="108">
        <v>213</v>
      </c>
      <c r="G256" s="108">
        <v>213</v>
      </c>
    </row>
    <row r="258" spans="1:7" x14ac:dyDescent="0.2">
      <c r="A258" s="114"/>
      <c r="B258" s="114" t="s">
        <v>268</v>
      </c>
      <c r="C258" s="116"/>
      <c r="D258" s="119">
        <v>0.62</v>
      </c>
      <c r="E258" s="116"/>
      <c r="F258" s="114"/>
      <c r="G258" s="114">
        <v>6.2</v>
      </c>
    </row>
    <row r="259" spans="1:7" x14ac:dyDescent="0.2">
      <c r="A259" s="108" t="s">
        <v>265</v>
      </c>
      <c r="B259" s="108" t="s">
        <v>310</v>
      </c>
      <c r="C259" s="111" t="s">
        <v>270</v>
      </c>
      <c r="D259" s="117">
        <v>0.62</v>
      </c>
      <c r="E259" s="118">
        <v>1</v>
      </c>
      <c r="F259" s="108">
        <v>10</v>
      </c>
      <c r="G259" s="108">
        <v>6.2</v>
      </c>
    </row>
    <row r="261" spans="1:7" x14ac:dyDescent="0.2">
      <c r="A261" s="114"/>
      <c r="B261" s="114" t="s">
        <v>271</v>
      </c>
      <c r="C261" s="116"/>
      <c r="D261" s="114"/>
      <c r="E261" s="116"/>
      <c r="F261" s="114"/>
      <c r="G261" s="114">
        <v>26.26</v>
      </c>
    </row>
    <row r="262" spans="1:7" x14ac:dyDescent="0.2">
      <c r="B262" s="108" t="s">
        <v>272</v>
      </c>
      <c r="C262" s="111" t="s">
        <v>273</v>
      </c>
      <c r="D262" s="108">
        <v>80</v>
      </c>
      <c r="G262" s="108">
        <v>4.96</v>
      </c>
    </row>
    <row r="263" spans="1:7" x14ac:dyDescent="0.2">
      <c r="B263" s="108" t="s">
        <v>298</v>
      </c>
      <c r="C263" s="111" t="s">
        <v>273</v>
      </c>
      <c r="D263" s="108">
        <v>10</v>
      </c>
      <c r="G263" s="108">
        <v>21.3</v>
      </c>
    </row>
    <row r="265" spans="1:7" x14ac:dyDescent="0.2">
      <c r="A265" s="114"/>
      <c r="B265" s="114" t="s">
        <v>254</v>
      </c>
      <c r="C265" s="116"/>
      <c r="D265" s="114"/>
      <c r="E265" s="116"/>
      <c r="F265" s="114"/>
      <c r="G265" s="114"/>
    </row>
    <row r="266" spans="1:7" x14ac:dyDescent="0.2">
      <c r="B266" s="108" t="s">
        <v>275</v>
      </c>
      <c r="G266" s="108">
        <v>219.2</v>
      </c>
    </row>
    <row r="267" spans="1:7" x14ac:dyDescent="0.2">
      <c r="B267" s="108" t="s">
        <v>276</v>
      </c>
      <c r="G267" s="108">
        <v>26.26</v>
      </c>
    </row>
    <row r="268" spans="1:7" x14ac:dyDescent="0.2">
      <c r="B268" s="108" t="s">
        <v>277</v>
      </c>
      <c r="G268" s="108">
        <v>245.46</v>
      </c>
    </row>
    <row r="269" spans="1:7" x14ac:dyDescent="0.2">
      <c r="B269" s="108" t="s">
        <v>278</v>
      </c>
      <c r="C269" s="111" t="s">
        <v>273</v>
      </c>
      <c r="D269" s="108" t="s">
        <v>279</v>
      </c>
      <c r="G269" s="108">
        <v>24.55</v>
      </c>
    </row>
    <row r="271" spans="1:7" x14ac:dyDescent="0.2">
      <c r="A271" s="112"/>
      <c r="B271" s="112" t="s">
        <v>254</v>
      </c>
      <c r="C271" s="113"/>
      <c r="D271" s="112"/>
      <c r="E271" s="113"/>
      <c r="F271" s="112"/>
      <c r="G271" s="112">
        <v>270.01</v>
      </c>
    </row>
    <row r="273" spans="1:7" x14ac:dyDescent="0.2">
      <c r="A273" s="112" t="s">
        <v>107</v>
      </c>
      <c r="B273" s="112"/>
      <c r="C273" s="113"/>
      <c r="D273" s="112"/>
      <c r="E273" s="113"/>
      <c r="F273" s="112"/>
      <c r="G273" s="112"/>
    </row>
    <row r="274" spans="1:7" x14ac:dyDescent="0.2">
      <c r="A274" s="114" t="s">
        <v>318</v>
      </c>
      <c r="G274" s="115" t="s">
        <v>312</v>
      </c>
    </row>
    <row r="276" spans="1:7" x14ac:dyDescent="0.2">
      <c r="A276" s="114"/>
      <c r="B276" s="114" t="s">
        <v>294</v>
      </c>
      <c r="C276" s="116"/>
      <c r="D276" s="114"/>
      <c r="E276" s="116"/>
      <c r="F276" s="114"/>
      <c r="G276" s="114">
        <v>35.6</v>
      </c>
    </row>
    <row r="277" spans="1:7" x14ac:dyDescent="0.2">
      <c r="A277" s="108" t="s">
        <v>265</v>
      </c>
      <c r="B277" s="108" t="s">
        <v>319</v>
      </c>
      <c r="C277" s="111" t="s">
        <v>317</v>
      </c>
      <c r="D277" s="117">
        <v>1</v>
      </c>
      <c r="E277" s="118">
        <v>1</v>
      </c>
      <c r="F277" s="108">
        <v>35.6</v>
      </c>
      <c r="G277" s="108">
        <v>35.6</v>
      </c>
    </row>
    <row r="279" spans="1:7" x14ac:dyDescent="0.2">
      <c r="A279" s="114"/>
      <c r="B279" s="114" t="s">
        <v>264</v>
      </c>
      <c r="C279" s="116"/>
      <c r="D279" s="114"/>
      <c r="E279" s="116"/>
      <c r="F279" s="114"/>
      <c r="G279" s="114">
        <v>7.5</v>
      </c>
    </row>
    <row r="280" spans="1:7" x14ac:dyDescent="0.2">
      <c r="A280" s="108" t="s">
        <v>265</v>
      </c>
      <c r="B280" s="108" t="s">
        <v>320</v>
      </c>
      <c r="C280" s="111" t="s">
        <v>267</v>
      </c>
      <c r="D280" s="117">
        <v>0.25</v>
      </c>
      <c r="E280" s="118">
        <v>1</v>
      </c>
      <c r="F280" s="108">
        <v>30</v>
      </c>
      <c r="G280" s="108">
        <v>7.5</v>
      </c>
    </row>
    <row r="282" spans="1:7" x14ac:dyDescent="0.2">
      <c r="A282" s="114"/>
      <c r="B282" s="114" t="s">
        <v>268</v>
      </c>
      <c r="C282" s="116"/>
      <c r="D282" s="119">
        <v>0.6</v>
      </c>
      <c r="E282" s="116"/>
      <c r="F282" s="114"/>
      <c r="G282" s="114">
        <v>6</v>
      </c>
    </row>
    <row r="283" spans="1:7" x14ac:dyDescent="0.2">
      <c r="A283" s="108" t="s">
        <v>265</v>
      </c>
      <c r="B283" s="108" t="s">
        <v>310</v>
      </c>
      <c r="C283" s="111" t="s">
        <v>270</v>
      </c>
      <c r="D283" s="117">
        <v>0.6</v>
      </c>
      <c r="E283" s="118">
        <v>1</v>
      </c>
      <c r="F283" s="108">
        <v>10</v>
      </c>
      <c r="G283" s="108">
        <v>6</v>
      </c>
    </row>
    <row r="285" spans="1:7" x14ac:dyDescent="0.2">
      <c r="A285" s="114"/>
      <c r="B285" s="114" t="s">
        <v>271</v>
      </c>
      <c r="C285" s="116"/>
      <c r="D285" s="114"/>
      <c r="E285" s="116"/>
      <c r="F285" s="114"/>
      <c r="G285" s="114">
        <v>10.24</v>
      </c>
    </row>
    <row r="286" spans="1:7" x14ac:dyDescent="0.2">
      <c r="B286" s="108" t="s">
        <v>272</v>
      </c>
      <c r="C286" s="111" t="s">
        <v>273</v>
      </c>
      <c r="D286" s="108">
        <v>80</v>
      </c>
      <c r="G286" s="108">
        <v>4.8</v>
      </c>
    </row>
    <row r="287" spans="1:7" x14ac:dyDescent="0.2">
      <c r="B287" s="108" t="s">
        <v>298</v>
      </c>
      <c r="C287" s="111" t="s">
        <v>273</v>
      </c>
      <c r="D287" s="108">
        <v>10</v>
      </c>
      <c r="G287" s="108">
        <v>3.56</v>
      </c>
    </row>
    <row r="288" spans="1:7" x14ac:dyDescent="0.2">
      <c r="B288" s="108" t="s">
        <v>274</v>
      </c>
      <c r="C288" s="111" t="s">
        <v>273</v>
      </c>
      <c r="D288" s="108">
        <v>25</v>
      </c>
      <c r="G288" s="108">
        <v>1.88</v>
      </c>
    </row>
    <row r="290" spans="1:7" x14ac:dyDescent="0.2">
      <c r="A290" s="114"/>
      <c r="B290" s="114" t="s">
        <v>254</v>
      </c>
      <c r="C290" s="116"/>
      <c r="D290" s="114"/>
      <c r="E290" s="116"/>
      <c r="F290" s="114"/>
      <c r="G290" s="114"/>
    </row>
    <row r="291" spans="1:7" x14ac:dyDescent="0.2">
      <c r="B291" s="108" t="s">
        <v>275</v>
      </c>
      <c r="G291" s="108">
        <v>49.1</v>
      </c>
    </row>
    <row r="292" spans="1:7" x14ac:dyDescent="0.2">
      <c r="B292" s="108" t="s">
        <v>276</v>
      </c>
      <c r="G292" s="108">
        <v>10.24</v>
      </c>
    </row>
    <row r="293" spans="1:7" x14ac:dyDescent="0.2">
      <c r="B293" s="108" t="s">
        <v>277</v>
      </c>
      <c r="G293" s="108">
        <v>59.34</v>
      </c>
    </row>
    <row r="294" spans="1:7" x14ac:dyDescent="0.2">
      <c r="B294" s="108" t="s">
        <v>278</v>
      </c>
      <c r="C294" s="111" t="s">
        <v>273</v>
      </c>
      <c r="D294" s="108" t="s">
        <v>279</v>
      </c>
      <c r="G294" s="108">
        <v>5.93</v>
      </c>
    </row>
    <row r="296" spans="1:7" x14ac:dyDescent="0.2">
      <c r="A296" s="112"/>
      <c r="B296" s="112" t="s">
        <v>254</v>
      </c>
      <c r="C296" s="113"/>
      <c r="D296" s="112"/>
      <c r="E296" s="113"/>
      <c r="F296" s="112"/>
      <c r="G296" s="112">
        <v>65.27</v>
      </c>
    </row>
    <row r="298" spans="1:7" x14ac:dyDescent="0.2">
      <c r="A298" s="112" t="s">
        <v>108</v>
      </c>
      <c r="B298" s="112"/>
      <c r="C298" s="113"/>
      <c r="D298" s="112"/>
      <c r="E298" s="113"/>
      <c r="F298" s="112"/>
      <c r="G298" s="112"/>
    </row>
    <row r="299" spans="1:7" x14ac:dyDescent="0.2">
      <c r="A299" s="114" t="s">
        <v>321</v>
      </c>
      <c r="G299" s="115" t="s">
        <v>312</v>
      </c>
    </row>
    <row r="301" spans="1:7" x14ac:dyDescent="0.2">
      <c r="A301" s="114"/>
      <c r="B301" s="114" t="s">
        <v>294</v>
      </c>
      <c r="C301" s="116"/>
      <c r="D301" s="114"/>
      <c r="E301" s="116"/>
      <c r="F301" s="114"/>
      <c r="G301" s="114">
        <v>45.1</v>
      </c>
    </row>
    <row r="302" spans="1:7" x14ac:dyDescent="0.2">
      <c r="A302" s="108" t="s">
        <v>265</v>
      </c>
      <c r="B302" s="108" t="s">
        <v>322</v>
      </c>
      <c r="C302" s="111" t="s">
        <v>317</v>
      </c>
      <c r="D302" s="117">
        <v>1</v>
      </c>
      <c r="E302" s="118">
        <v>1</v>
      </c>
      <c r="F302" s="108">
        <v>27.6</v>
      </c>
      <c r="G302" s="108">
        <v>27.6</v>
      </c>
    </row>
    <row r="303" spans="1:7" x14ac:dyDescent="0.2">
      <c r="A303" s="108" t="s">
        <v>265</v>
      </c>
      <c r="B303" s="108" t="s">
        <v>323</v>
      </c>
      <c r="C303" s="111" t="s">
        <v>317</v>
      </c>
      <c r="D303" s="117">
        <v>1</v>
      </c>
      <c r="E303" s="118">
        <v>1</v>
      </c>
      <c r="F303" s="108">
        <v>1.5</v>
      </c>
      <c r="G303" s="108">
        <v>1.5</v>
      </c>
    </row>
    <row r="304" spans="1:7" x14ac:dyDescent="0.2">
      <c r="A304" s="108" t="s">
        <v>265</v>
      </c>
      <c r="B304" s="108" t="s">
        <v>324</v>
      </c>
      <c r="C304" s="111" t="s">
        <v>317</v>
      </c>
      <c r="D304" s="117">
        <v>8</v>
      </c>
      <c r="E304" s="118">
        <v>1</v>
      </c>
      <c r="F304" s="108">
        <v>2</v>
      </c>
      <c r="G304" s="108">
        <v>16</v>
      </c>
    </row>
    <row r="306" spans="1:7" x14ac:dyDescent="0.2">
      <c r="A306" s="114"/>
      <c r="B306" s="114" t="s">
        <v>268</v>
      </c>
      <c r="C306" s="116"/>
      <c r="D306" s="119">
        <v>0.25</v>
      </c>
      <c r="E306" s="116"/>
      <c r="F306" s="114"/>
      <c r="G306" s="114">
        <v>2.5</v>
      </c>
    </row>
    <row r="307" spans="1:7" x14ac:dyDescent="0.2">
      <c r="A307" s="108" t="s">
        <v>265</v>
      </c>
      <c r="B307" s="108" t="s">
        <v>310</v>
      </c>
      <c r="C307" s="111" t="s">
        <v>270</v>
      </c>
      <c r="D307" s="117">
        <v>0.25</v>
      </c>
      <c r="E307" s="118">
        <v>1</v>
      </c>
      <c r="F307" s="108">
        <v>10</v>
      </c>
      <c r="G307" s="108">
        <v>2.5</v>
      </c>
    </row>
    <row r="309" spans="1:7" x14ac:dyDescent="0.2">
      <c r="A309" s="114"/>
      <c r="B309" s="114" t="s">
        <v>271</v>
      </c>
      <c r="C309" s="116"/>
      <c r="D309" s="114"/>
      <c r="E309" s="116"/>
      <c r="F309" s="114"/>
      <c r="G309" s="114">
        <v>6.51</v>
      </c>
    </row>
    <row r="310" spans="1:7" x14ac:dyDescent="0.2">
      <c r="B310" s="108" t="s">
        <v>272</v>
      </c>
      <c r="C310" s="111" t="s">
        <v>273</v>
      </c>
      <c r="D310" s="108">
        <v>80</v>
      </c>
      <c r="G310" s="108">
        <v>2</v>
      </c>
    </row>
    <row r="311" spans="1:7" x14ac:dyDescent="0.2">
      <c r="B311" s="108" t="s">
        <v>298</v>
      </c>
      <c r="C311" s="111" t="s">
        <v>273</v>
      </c>
      <c r="D311" s="108">
        <v>10</v>
      </c>
      <c r="G311" s="108">
        <v>4.51</v>
      </c>
    </row>
    <row r="313" spans="1:7" x14ac:dyDescent="0.2">
      <c r="A313" s="114"/>
      <c r="B313" s="114" t="s">
        <v>254</v>
      </c>
      <c r="C313" s="116"/>
      <c r="D313" s="114"/>
      <c r="E313" s="116"/>
      <c r="F313" s="114"/>
      <c r="G313" s="114"/>
    </row>
    <row r="314" spans="1:7" x14ac:dyDescent="0.2">
      <c r="B314" s="108" t="s">
        <v>275</v>
      </c>
      <c r="G314" s="108">
        <v>47.6</v>
      </c>
    </row>
    <row r="315" spans="1:7" x14ac:dyDescent="0.2">
      <c r="B315" s="108" t="s">
        <v>276</v>
      </c>
      <c r="G315" s="108">
        <v>6.51</v>
      </c>
    </row>
    <row r="316" spans="1:7" x14ac:dyDescent="0.2">
      <c r="B316" s="108" t="s">
        <v>277</v>
      </c>
      <c r="G316" s="108">
        <v>54.11</v>
      </c>
    </row>
    <row r="317" spans="1:7" x14ac:dyDescent="0.2">
      <c r="B317" s="108" t="s">
        <v>278</v>
      </c>
      <c r="C317" s="111" t="s">
        <v>273</v>
      </c>
      <c r="D317" s="108" t="s">
        <v>279</v>
      </c>
      <c r="G317" s="108">
        <v>5.41</v>
      </c>
    </row>
    <row r="319" spans="1:7" x14ac:dyDescent="0.2">
      <c r="A319" s="112"/>
      <c r="B319" s="112" t="s">
        <v>254</v>
      </c>
      <c r="C319" s="113"/>
      <c r="D319" s="112"/>
      <c r="E319" s="113"/>
      <c r="F319" s="112"/>
      <c r="G319" s="112">
        <v>59.52</v>
      </c>
    </row>
    <row r="321" spans="1:7" x14ac:dyDescent="0.2">
      <c r="A321" s="112" t="s">
        <v>112</v>
      </c>
      <c r="B321" s="112"/>
      <c r="C321" s="113"/>
      <c r="D321" s="112"/>
      <c r="E321" s="113"/>
      <c r="F321" s="112"/>
      <c r="G321" s="112"/>
    </row>
    <row r="322" spans="1:7" x14ac:dyDescent="0.2">
      <c r="A322" s="114" t="s">
        <v>325</v>
      </c>
      <c r="G322" s="115" t="s">
        <v>312</v>
      </c>
    </row>
    <row r="324" spans="1:7" x14ac:dyDescent="0.2">
      <c r="A324" s="114"/>
      <c r="B324" s="114" t="s">
        <v>294</v>
      </c>
      <c r="C324" s="116"/>
      <c r="D324" s="114"/>
      <c r="E324" s="116"/>
      <c r="F324" s="114"/>
      <c r="G324" s="114">
        <v>34.6</v>
      </c>
    </row>
    <row r="325" spans="1:7" x14ac:dyDescent="0.2">
      <c r="A325" s="108" t="s">
        <v>265</v>
      </c>
      <c r="B325" s="108" t="s">
        <v>326</v>
      </c>
      <c r="C325" s="111" t="s">
        <v>317</v>
      </c>
      <c r="D325" s="117">
        <v>1</v>
      </c>
      <c r="E325" s="118">
        <v>1</v>
      </c>
      <c r="F325" s="108">
        <v>34.6</v>
      </c>
      <c r="G325" s="108">
        <v>34.6</v>
      </c>
    </row>
    <row r="327" spans="1:7" x14ac:dyDescent="0.2">
      <c r="A327" s="114"/>
      <c r="B327" s="114" t="s">
        <v>264</v>
      </c>
      <c r="C327" s="116"/>
      <c r="D327" s="114"/>
      <c r="E327" s="116"/>
      <c r="F327" s="114"/>
      <c r="G327" s="114">
        <v>9</v>
      </c>
    </row>
    <row r="328" spans="1:7" x14ac:dyDescent="0.2">
      <c r="A328" s="108" t="s">
        <v>265</v>
      </c>
      <c r="B328" s="108" t="s">
        <v>320</v>
      </c>
      <c r="C328" s="111" t="s">
        <v>267</v>
      </c>
      <c r="D328" s="117">
        <v>0.3</v>
      </c>
      <c r="E328" s="118">
        <v>1</v>
      </c>
      <c r="F328" s="108">
        <v>30</v>
      </c>
      <c r="G328" s="108">
        <v>9</v>
      </c>
    </row>
    <row r="330" spans="1:7" x14ac:dyDescent="0.2">
      <c r="A330" s="114"/>
      <c r="B330" s="114" t="s">
        <v>268</v>
      </c>
      <c r="C330" s="116"/>
      <c r="D330" s="119">
        <v>0.5</v>
      </c>
      <c r="E330" s="116"/>
      <c r="F330" s="114"/>
      <c r="G330" s="114">
        <v>5</v>
      </c>
    </row>
    <row r="331" spans="1:7" x14ac:dyDescent="0.2">
      <c r="A331" s="108" t="s">
        <v>265</v>
      </c>
      <c r="B331" s="108" t="s">
        <v>310</v>
      </c>
      <c r="C331" s="111" t="s">
        <v>270</v>
      </c>
      <c r="D331" s="117">
        <v>0.5</v>
      </c>
      <c r="E331" s="118">
        <v>1</v>
      </c>
      <c r="F331" s="108">
        <v>10</v>
      </c>
      <c r="G331" s="108">
        <v>5</v>
      </c>
    </row>
    <row r="333" spans="1:7" x14ac:dyDescent="0.2">
      <c r="A333" s="114"/>
      <c r="B333" s="114" t="s">
        <v>271</v>
      </c>
      <c r="C333" s="116"/>
      <c r="D333" s="114"/>
      <c r="E333" s="116"/>
      <c r="F333" s="114"/>
      <c r="G333" s="114">
        <v>9.7100000000000009</v>
      </c>
    </row>
    <row r="334" spans="1:7" x14ac:dyDescent="0.2">
      <c r="B334" s="108" t="s">
        <v>272</v>
      </c>
      <c r="C334" s="111" t="s">
        <v>273</v>
      </c>
      <c r="D334" s="108">
        <v>80</v>
      </c>
      <c r="G334" s="108">
        <v>4</v>
      </c>
    </row>
    <row r="335" spans="1:7" x14ac:dyDescent="0.2">
      <c r="B335" s="108" t="s">
        <v>298</v>
      </c>
      <c r="C335" s="111" t="s">
        <v>273</v>
      </c>
      <c r="D335" s="108">
        <v>10</v>
      </c>
      <c r="G335" s="108">
        <v>3.46</v>
      </c>
    </row>
    <row r="336" spans="1:7" x14ac:dyDescent="0.2">
      <c r="B336" s="108" t="s">
        <v>274</v>
      </c>
      <c r="C336" s="111" t="s">
        <v>273</v>
      </c>
      <c r="D336" s="108">
        <v>25</v>
      </c>
      <c r="G336" s="108">
        <v>2.25</v>
      </c>
    </row>
    <row r="338" spans="1:7" x14ac:dyDescent="0.2">
      <c r="A338" s="114"/>
      <c r="B338" s="114" t="s">
        <v>254</v>
      </c>
      <c r="C338" s="116"/>
      <c r="D338" s="114"/>
      <c r="E338" s="116"/>
      <c r="F338" s="114"/>
      <c r="G338" s="114"/>
    </row>
    <row r="339" spans="1:7" x14ac:dyDescent="0.2">
      <c r="B339" s="108" t="s">
        <v>275</v>
      </c>
      <c r="G339" s="108">
        <v>48.6</v>
      </c>
    </row>
    <row r="340" spans="1:7" x14ac:dyDescent="0.2">
      <c r="B340" s="108" t="s">
        <v>276</v>
      </c>
      <c r="G340" s="108">
        <v>9.7100000000000009</v>
      </c>
    </row>
    <row r="341" spans="1:7" x14ac:dyDescent="0.2">
      <c r="B341" s="108" t="s">
        <v>277</v>
      </c>
      <c r="G341" s="108">
        <v>58.31</v>
      </c>
    </row>
    <row r="342" spans="1:7" x14ac:dyDescent="0.2">
      <c r="B342" s="108" t="s">
        <v>278</v>
      </c>
      <c r="C342" s="111" t="s">
        <v>273</v>
      </c>
      <c r="D342" s="108" t="s">
        <v>279</v>
      </c>
      <c r="G342" s="108">
        <v>5.83</v>
      </c>
    </row>
    <row r="344" spans="1:7" x14ac:dyDescent="0.2">
      <c r="A344" s="112"/>
      <c r="B344" s="112" t="s">
        <v>254</v>
      </c>
      <c r="C344" s="113"/>
      <c r="D344" s="112"/>
      <c r="E344" s="113"/>
      <c r="F344" s="112"/>
      <c r="G344" s="112">
        <v>64.14</v>
      </c>
    </row>
    <row r="346" spans="1:7" x14ac:dyDescent="0.2">
      <c r="A346" s="112" t="s">
        <v>32</v>
      </c>
      <c r="B346" s="112"/>
      <c r="C346" s="113"/>
      <c r="D346" s="112"/>
      <c r="E346" s="113"/>
      <c r="F346" s="112"/>
      <c r="G346" s="112"/>
    </row>
    <row r="347" spans="1:7" x14ac:dyDescent="0.2">
      <c r="A347" s="114" t="s">
        <v>327</v>
      </c>
      <c r="G347" s="115" t="s">
        <v>312</v>
      </c>
    </row>
    <row r="349" spans="1:7" x14ac:dyDescent="0.2">
      <c r="A349" s="114"/>
      <c r="B349" s="114" t="s">
        <v>294</v>
      </c>
      <c r="C349" s="116"/>
      <c r="D349" s="114"/>
      <c r="E349" s="116"/>
      <c r="F349" s="114"/>
      <c r="G349" s="114">
        <v>47.8</v>
      </c>
    </row>
    <row r="350" spans="1:7" x14ac:dyDescent="0.2">
      <c r="A350" s="108" t="s">
        <v>265</v>
      </c>
      <c r="B350" s="108" t="s">
        <v>328</v>
      </c>
      <c r="C350" s="111" t="s">
        <v>317</v>
      </c>
      <c r="D350" s="117">
        <v>1</v>
      </c>
      <c r="E350" s="118">
        <v>1</v>
      </c>
      <c r="F350" s="108">
        <v>47.8</v>
      </c>
      <c r="G350" s="108">
        <v>47.8</v>
      </c>
    </row>
    <row r="352" spans="1:7" x14ac:dyDescent="0.2">
      <c r="A352" s="114"/>
      <c r="B352" s="114" t="s">
        <v>264</v>
      </c>
      <c r="C352" s="116"/>
      <c r="D352" s="114"/>
      <c r="E352" s="116"/>
      <c r="F352" s="114"/>
      <c r="G352" s="114">
        <v>12</v>
      </c>
    </row>
    <row r="353" spans="1:7" x14ac:dyDescent="0.2">
      <c r="A353" s="108" t="s">
        <v>265</v>
      </c>
      <c r="B353" s="108" t="s">
        <v>320</v>
      </c>
      <c r="C353" s="111" t="s">
        <v>267</v>
      </c>
      <c r="D353" s="117">
        <v>0.4</v>
      </c>
      <c r="E353" s="118">
        <v>1</v>
      </c>
      <c r="F353" s="108">
        <v>30</v>
      </c>
      <c r="G353" s="108">
        <v>12</v>
      </c>
    </row>
    <row r="355" spans="1:7" x14ac:dyDescent="0.2">
      <c r="A355" s="114"/>
      <c r="B355" s="114" t="s">
        <v>268</v>
      </c>
      <c r="C355" s="116"/>
      <c r="D355" s="119">
        <v>0.6</v>
      </c>
      <c r="E355" s="116"/>
      <c r="F355" s="114"/>
      <c r="G355" s="114">
        <v>6</v>
      </c>
    </row>
    <row r="356" spans="1:7" x14ac:dyDescent="0.2">
      <c r="A356" s="108" t="s">
        <v>265</v>
      </c>
      <c r="B356" s="108" t="s">
        <v>310</v>
      </c>
      <c r="C356" s="111" t="s">
        <v>270</v>
      </c>
      <c r="D356" s="117">
        <v>0.6</v>
      </c>
      <c r="E356" s="118">
        <v>1</v>
      </c>
      <c r="F356" s="108">
        <v>10</v>
      </c>
      <c r="G356" s="108">
        <v>6</v>
      </c>
    </row>
    <row r="358" spans="1:7" x14ac:dyDescent="0.2">
      <c r="A358" s="114"/>
      <c r="B358" s="114" t="s">
        <v>271</v>
      </c>
      <c r="C358" s="116"/>
      <c r="D358" s="114"/>
      <c r="E358" s="116"/>
      <c r="F358" s="114"/>
      <c r="G358" s="114">
        <v>12.58</v>
      </c>
    </row>
    <row r="359" spans="1:7" x14ac:dyDescent="0.2">
      <c r="B359" s="108" t="s">
        <v>272</v>
      </c>
      <c r="C359" s="111" t="s">
        <v>273</v>
      </c>
      <c r="D359" s="108">
        <v>80</v>
      </c>
      <c r="G359" s="108">
        <v>4.8</v>
      </c>
    </row>
    <row r="360" spans="1:7" x14ac:dyDescent="0.2">
      <c r="B360" s="108" t="s">
        <v>298</v>
      </c>
      <c r="C360" s="111" t="s">
        <v>273</v>
      </c>
      <c r="D360" s="108">
        <v>10</v>
      </c>
      <c r="G360" s="108">
        <v>4.78</v>
      </c>
    </row>
    <row r="361" spans="1:7" x14ac:dyDescent="0.2">
      <c r="B361" s="108" t="s">
        <v>274</v>
      </c>
      <c r="C361" s="111" t="s">
        <v>273</v>
      </c>
      <c r="D361" s="108">
        <v>25</v>
      </c>
      <c r="G361" s="108">
        <v>3</v>
      </c>
    </row>
    <row r="363" spans="1:7" x14ac:dyDescent="0.2">
      <c r="A363" s="114"/>
      <c r="B363" s="114" t="s">
        <v>254</v>
      </c>
      <c r="C363" s="116"/>
      <c r="D363" s="114"/>
      <c r="E363" s="116"/>
      <c r="F363" s="114"/>
      <c r="G363" s="114"/>
    </row>
    <row r="364" spans="1:7" x14ac:dyDescent="0.2">
      <c r="B364" s="108" t="s">
        <v>275</v>
      </c>
      <c r="G364" s="108">
        <v>65.8</v>
      </c>
    </row>
    <row r="365" spans="1:7" x14ac:dyDescent="0.2">
      <c r="B365" s="108" t="s">
        <v>276</v>
      </c>
      <c r="G365" s="108">
        <v>12.58</v>
      </c>
    </row>
    <row r="366" spans="1:7" x14ac:dyDescent="0.2">
      <c r="B366" s="108" t="s">
        <v>277</v>
      </c>
      <c r="G366" s="108">
        <v>78.38</v>
      </c>
    </row>
    <row r="367" spans="1:7" x14ac:dyDescent="0.2">
      <c r="B367" s="108" t="s">
        <v>278</v>
      </c>
      <c r="C367" s="111" t="s">
        <v>273</v>
      </c>
      <c r="D367" s="108" t="s">
        <v>279</v>
      </c>
      <c r="G367" s="108">
        <v>7.84</v>
      </c>
    </row>
    <row r="369" spans="1:7" x14ac:dyDescent="0.2">
      <c r="A369" s="112"/>
      <c r="B369" s="112" t="s">
        <v>254</v>
      </c>
      <c r="C369" s="113"/>
      <c r="D369" s="112"/>
      <c r="E369" s="113"/>
      <c r="F369" s="112"/>
      <c r="G369" s="112">
        <v>86.22</v>
      </c>
    </row>
    <row r="371" spans="1:7" x14ac:dyDescent="0.2">
      <c r="A371" s="112" t="s">
        <v>92</v>
      </c>
      <c r="B371" s="112"/>
      <c r="C371" s="113"/>
      <c r="D371" s="112"/>
      <c r="E371" s="113"/>
      <c r="F371" s="112"/>
      <c r="G371" s="112"/>
    </row>
    <row r="372" spans="1:7" x14ac:dyDescent="0.2">
      <c r="A372" s="114" t="s">
        <v>329</v>
      </c>
      <c r="G372" s="115" t="s">
        <v>330</v>
      </c>
    </row>
    <row r="374" spans="1:7" x14ac:dyDescent="0.2">
      <c r="A374" s="114"/>
      <c r="B374" s="114" t="s">
        <v>264</v>
      </c>
      <c r="C374" s="116"/>
      <c r="D374" s="114"/>
      <c r="E374" s="116"/>
      <c r="F374" s="114"/>
      <c r="G374" s="114">
        <v>1.68</v>
      </c>
    </row>
    <row r="375" spans="1:7" x14ac:dyDescent="0.2">
      <c r="A375" s="108" t="s">
        <v>265</v>
      </c>
      <c r="B375" s="108" t="s">
        <v>313</v>
      </c>
      <c r="C375" s="111" t="s">
        <v>267</v>
      </c>
      <c r="D375" s="117">
        <v>0.04</v>
      </c>
      <c r="E375" s="118">
        <v>1</v>
      </c>
      <c r="F375" s="108">
        <v>30</v>
      </c>
      <c r="G375" s="108">
        <v>1.2</v>
      </c>
    </row>
    <row r="376" spans="1:7" x14ac:dyDescent="0.2">
      <c r="A376" s="108" t="s">
        <v>265</v>
      </c>
      <c r="B376" s="108" t="s">
        <v>314</v>
      </c>
      <c r="C376" s="111" t="s">
        <v>267</v>
      </c>
      <c r="D376" s="117">
        <v>1.6E-2</v>
      </c>
      <c r="E376" s="118">
        <v>1</v>
      </c>
      <c r="F376" s="108">
        <v>30</v>
      </c>
      <c r="G376" s="108">
        <v>0.48</v>
      </c>
    </row>
    <row r="378" spans="1:7" x14ac:dyDescent="0.2">
      <c r="A378" s="114"/>
      <c r="B378" s="114" t="s">
        <v>268</v>
      </c>
      <c r="C378" s="116"/>
      <c r="D378" s="119">
        <v>0.28000000000000003</v>
      </c>
      <c r="E378" s="116"/>
      <c r="F378" s="114"/>
      <c r="G378" s="114">
        <v>2.8</v>
      </c>
    </row>
    <row r="379" spans="1:7" x14ac:dyDescent="0.2">
      <c r="A379" s="108" t="s">
        <v>265</v>
      </c>
      <c r="B379" s="108" t="s">
        <v>310</v>
      </c>
      <c r="C379" s="111" t="s">
        <v>270</v>
      </c>
      <c r="D379" s="117">
        <v>0.28000000000000003</v>
      </c>
      <c r="E379" s="118">
        <v>1</v>
      </c>
      <c r="F379" s="108">
        <v>10</v>
      </c>
      <c r="G379" s="108">
        <v>2.8</v>
      </c>
    </row>
    <row r="381" spans="1:7" x14ac:dyDescent="0.2">
      <c r="A381" s="114"/>
      <c r="B381" s="114" t="s">
        <v>271</v>
      </c>
      <c r="C381" s="116"/>
      <c r="D381" s="114"/>
      <c r="E381" s="116"/>
      <c r="F381" s="114"/>
      <c r="G381" s="114">
        <v>2.66</v>
      </c>
    </row>
    <row r="382" spans="1:7" x14ac:dyDescent="0.2">
      <c r="B382" s="108" t="s">
        <v>272</v>
      </c>
      <c r="C382" s="111" t="s">
        <v>273</v>
      </c>
      <c r="D382" s="108">
        <v>80</v>
      </c>
      <c r="G382" s="108">
        <v>2.2400000000000002</v>
      </c>
    </row>
    <row r="383" spans="1:7" x14ac:dyDescent="0.2">
      <c r="B383" s="108" t="s">
        <v>274</v>
      </c>
      <c r="C383" s="111" t="s">
        <v>273</v>
      </c>
      <c r="D383" s="108">
        <v>25</v>
      </c>
      <c r="G383" s="108">
        <v>0.42</v>
      </c>
    </row>
    <row r="385" spans="1:7" x14ac:dyDescent="0.2">
      <c r="A385" s="114"/>
      <c r="B385" s="114" t="s">
        <v>254</v>
      </c>
      <c r="C385" s="116"/>
      <c r="D385" s="114"/>
      <c r="E385" s="116"/>
      <c r="F385" s="114"/>
      <c r="G385" s="114"/>
    </row>
    <row r="386" spans="1:7" x14ac:dyDescent="0.2">
      <c r="B386" s="108" t="s">
        <v>275</v>
      </c>
      <c r="G386" s="108">
        <v>4.4800000000000004</v>
      </c>
    </row>
    <row r="387" spans="1:7" x14ac:dyDescent="0.2">
      <c r="B387" s="108" t="s">
        <v>276</v>
      </c>
      <c r="G387" s="108">
        <v>2.66</v>
      </c>
    </row>
    <row r="388" spans="1:7" x14ac:dyDescent="0.2">
      <c r="B388" s="108" t="s">
        <v>277</v>
      </c>
      <c r="G388" s="108">
        <v>7.14</v>
      </c>
    </row>
    <row r="389" spans="1:7" x14ac:dyDescent="0.2">
      <c r="B389" s="108" t="s">
        <v>278</v>
      </c>
      <c r="C389" s="111" t="s">
        <v>273</v>
      </c>
      <c r="D389" s="108" t="s">
        <v>279</v>
      </c>
      <c r="G389" s="108">
        <v>0.71</v>
      </c>
    </row>
    <row r="391" spans="1:7" x14ac:dyDescent="0.2">
      <c r="A391" s="112"/>
      <c r="B391" s="112" t="s">
        <v>254</v>
      </c>
      <c r="C391" s="113"/>
      <c r="D391" s="112"/>
      <c r="E391" s="113"/>
      <c r="F391" s="112"/>
      <c r="G391" s="112">
        <v>7.85</v>
      </c>
    </row>
    <row r="393" spans="1:7" x14ac:dyDescent="0.2">
      <c r="A393" s="112" t="s">
        <v>38</v>
      </c>
      <c r="B393" s="112"/>
      <c r="C393" s="113"/>
      <c r="D393" s="112"/>
      <c r="E393" s="113"/>
      <c r="F393" s="112"/>
      <c r="G393" s="112"/>
    </row>
    <row r="394" spans="1:7" x14ac:dyDescent="0.2">
      <c r="A394" s="114" t="s">
        <v>331</v>
      </c>
      <c r="G394" s="115" t="s">
        <v>312</v>
      </c>
    </row>
    <row r="396" spans="1:7" x14ac:dyDescent="0.2">
      <c r="A396" s="114"/>
      <c r="B396" s="114" t="s">
        <v>294</v>
      </c>
      <c r="C396" s="116"/>
      <c r="D396" s="114"/>
      <c r="E396" s="116"/>
      <c r="F396" s="114"/>
      <c r="G396" s="114">
        <v>14.89</v>
      </c>
    </row>
    <row r="397" spans="1:7" x14ac:dyDescent="0.2">
      <c r="A397" s="108" t="s">
        <v>265</v>
      </c>
      <c r="B397" s="108" t="s">
        <v>332</v>
      </c>
      <c r="C397" s="111" t="s">
        <v>317</v>
      </c>
      <c r="D397" s="117">
        <v>1</v>
      </c>
      <c r="E397" s="118">
        <v>1</v>
      </c>
      <c r="F397" s="108">
        <v>14.89</v>
      </c>
      <c r="G397" s="108">
        <v>14.89</v>
      </c>
    </row>
    <row r="399" spans="1:7" x14ac:dyDescent="0.2">
      <c r="A399" s="114"/>
      <c r="B399" s="114" t="s">
        <v>268</v>
      </c>
      <c r="C399" s="116"/>
      <c r="D399" s="119">
        <v>0.1</v>
      </c>
      <c r="E399" s="116"/>
      <c r="F399" s="114"/>
      <c r="G399" s="114">
        <v>1</v>
      </c>
    </row>
    <row r="400" spans="1:7" x14ac:dyDescent="0.2">
      <c r="A400" s="108" t="s">
        <v>265</v>
      </c>
      <c r="B400" s="108" t="s">
        <v>269</v>
      </c>
      <c r="C400" s="111" t="s">
        <v>270</v>
      </c>
      <c r="D400" s="117">
        <v>0.1</v>
      </c>
      <c r="E400" s="118">
        <v>1</v>
      </c>
      <c r="F400" s="108">
        <v>10</v>
      </c>
      <c r="G400" s="108">
        <v>1</v>
      </c>
    </row>
    <row r="402" spans="1:7" x14ac:dyDescent="0.2">
      <c r="A402" s="114"/>
      <c r="B402" s="114" t="s">
        <v>271</v>
      </c>
      <c r="C402" s="116"/>
      <c r="D402" s="114"/>
      <c r="E402" s="116"/>
      <c r="F402" s="114"/>
      <c r="G402" s="114">
        <v>2.29</v>
      </c>
    </row>
    <row r="403" spans="1:7" x14ac:dyDescent="0.2">
      <c r="B403" s="108" t="s">
        <v>272</v>
      </c>
      <c r="C403" s="111" t="s">
        <v>273</v>
      </c>
      <c r="D403" s="108">
        <v>80</v>
      </c>
      <c r="G403" s="108">
        <v>0.8</v>
      </c>
    </row>
    <row r="404" spans="1:7" x14ac:dyDescent="0.2">
      <c r="B404" s="108" t="s">
        <v>298</v>
      </c>
      <c r="C404" s="111" t="s">
        <v>273</v>
      </c>
      <c r="D404" s="108">
        <v>10</v>
      </c>
      <c r="G404" s="108">
        <v>1.49</v>
      </c>
    </row>
    <row r="406" spans="1:7" x14ac:dyDescent="0.2">
      <c r="A406" s="114"/>
      <c r="B406" s="114" t="s">
        <v>254</v>
      </c>
      <c r="C406" s="116"/>
      <c r="D406" s="114"/>
      <c r="E406" s="116"/>
      <c r="F406" s="114"/>
      <c r="G406" s="114"/>
    </row>
    <row r="407" spans="1:7" x14ac:dyDescent="0.2">
      <c r="B407" s="108" t="s">
        <v>275</v>
      </c>
      <c r="G407" s="108">
        <v>15.89</v>
      </c>
    </row>
    <row r="408" spans="1:7" x14ac:dyDescent="0.2">
      <c r="B408" s="108" t="s">
        <v>276</v>
      </c>
      <c r="G408" s="108">
        <v>2.29</v>
      </c>
    </row>
    <row r="409" spans="1:7" x14ac:dyDescent="0.2">
      <c r="B409" s="108" t="s">
        <v>277</v>
      </c>
      <c r="G409" s="108">
        <v>18.18</v>
      </c>
    </row>
    <row r="410" spans="1:7" x14ac:dyDescent="0.2">
      <c r="B410" s="108" t="s">
        <v>278</v>
      </c>
      <c r="C410" s="111" t="s">
        <v>273</v>
      </c>
      <c r="D410" s="108" t="s">
        <v>279</v>
      </c>
      <c r="G410" s="108">
        <v>1.82</v>
      </c>
    </row>
    <row r="412" spans="1:7" x14ac:dyDescent="0.2">
      <c r="A412" s="112"/>
      <c r="B412" s="112" t="s">
        <v>254</v>
      </c>
      <c r="C412" s="113"/>
      <c r="D412" s="112"/>
      <c r="E412" s="113"/>
      <c r="F412" s="112"/>
      <c r="G412" s="112">
        <v>20</v>
      </c>
    </row>
    <row r="414" spans="1:7" x14ac:dyDescent="0.2">
      <c r="A414" s="112" t="s">
        <v>84</v>
      </c>
      <c r="B414" s="112"/>
      <c r="C414" s="113"/>
      <c r="D414" s="112"/>
      <c r="E414" s="113"/>
      <c r="F414" s="112"/>
      <c r="G414" s="112"/>
    </row>
    <row r="415" spans="1:7" x14ac:dyDescent="0.2">
      <c r="A415" s="114" t="s">
        <v>333</v>
      </c>
      <c r="G415" s="115" t="s">
        <v>281</v>
      </c>
    </row>
    <row r="417" spans="1:7" x14ac:dyDescent="0.2">
      <c r="A417" s="114"/>
      <c r="B417" s="114" t="s">
        <v>294</v>
      </c>
      <c r="C417" s="116"/>
      <c r="D417" s="114"/>
      <c r="E417" s="116"/>
      <c r="F417" s="114"/>
      <c r="G417" s="114">
        <v>86</v>
      </c>
    </row>
    <row r="418" spans="1:7" x14ac:dyDescent="0.2">
      <c r="A418" s="108" t="s">
        <v>265</v>
      </c>
      <c r="B418" s="108" t="s">
        <v>334</v>
      </c>
      <c r="C418" s="111" t="s">
        <v>301</v>
      </c>
      <c r="D418" s="117">
        <v>1</v>
      </c>
      <c r="E418" s="118">
        <v>1</v>
      </c>
      <c r="F418" s="108">
        <v>86</v>
      </c>
      <c r="G418" s="108">
        <v>86</v>
      </c>
    </row>
    <row r="420" spans="1:7" x14ac:dyDescent="0.2">
      <c r="A420" s="114"/>
      <c r="B420" s="114" t="s">
        <v>264</v>
      </c>
      <c r="C420" s="116"/>
      <c r="D420" s="114"/>
      <c r="E420" s="116"/>
      <c r="F420" s="114"/>
      <c r="G420" s="114">
        <v>7.1</v>
      </c>
    </row>
    <row r="421" spans="1:7" x14ac:dyDescent="0.2">
      <c r="A421" s="108" t="s">
        <v>265</v>
      </c>
      <c r="B421" s="108" t="s">
        <v>302</v>
      </c>
      <c r="C421" s="111" t="s">
        <v>267</v>
      </c>
      <c r="D421" s="117">
        <v>2.1999999999999999E-2</v>
      </c>
      <c r="E421" s="118">
        <v>1</v>
      </c>
      <c r="F421" s="108">
        <v>250</v>
      </c>
      <c r="G421" s="108">
        <v>5.5</v>
      </c>
    </row>
    <row r="422" spans="1:7" x14ac:dyDescent="0.2">
      <c r="A422" s="108" t="s">
        <v>265</v>
      </c>
      <c r="B422" s="108" t="s">
        <v>303</v>
      </c>
      <c r="C422" s="111" t="s">
        <v>267</v>
      </c>
      <c r="D422" s="117">
        <v>1.6E-2</v>
      </c>
      <c r="E422" s="118">
        <v>1</v>
      </c>
      <c r="F422" s="108">
        <v>100</v>
      </c>
      <c r="G422" s="108">
        <v>1.6</v>
      </c>
    </row>
    <row r="424" spans="1:7" x14ac:dyDescent="0.2">
      <c r="A424" s="114"/>
      <c r="B424" s="114" t="s">
        <v>268</v>
      </c>
      <c r="C424" s="116"/>
      <c r="D424" s="119">
        <v>0.1</v>
      </c>
      <c r="E424" s="116"/>
      <c r="F424" s="114"/>
      <c r="G424" s="114">
        <v>1</v>
      </c>
    </row>
    <row r="425" spans="1:7" x14ac:dyDescent="0.2">
      <c r="A425" s="108" t="s">
        <v>265</v>
      </c>
      <c r="B425" s="108" t="s">
        <v>269</v>
      </c>
      <c r="C425" s="111" t="s">
        <v>270</v>
      </c>
      <c r="D425" s="117">
        <v>0.1</v>
      </c>
      <c r="E425" s="118">
        <v>1</v>
      </c>
      <c r="F425" s="108">
        <v>10</v>
      </c>
      <c r="G425" s="108">
        <v>1</v>
      </c>
    </row>
    <row r="427" spans="1:7" x14ac:dyDescent="0.2">
      <c r="A427" s="114"/>
      <c r="B427" s="114" t="s">
        <v>271</v>
      </c>
      <c r="C427" s="116"/>
      <c r="D427" s="114"/>
      <c r="E427" s="116"/>
      <c r="F427" s="114"/>
      <c r="G427" s="114">
        <v>11.18</v>
      </c>
    </row>
    <row r="428" spans="1:7" x14ac:dyDescent="0.2">
      <c r="B428" s="108" t="s">
        <v>272</v>
      </c>
      <c r="C428" s="111" t="s">
        <v>273</v>
      </c>
      <c r="D428" s="108">
        <v>80</v>
      </c>
      <c r="G428" s="108">
        <v>0.8</v>
      </c>
    </row>
    <row r="429" spans="1:7" x14ac:dyDescent="0.2">
      <c r="B429" s="108" t="s">
        <v>298</v>
      </c>
      <c r="C429" s="111" t="s">
        <v>273</v>
      </c>
      <c r="D429" s="108">
        <v>10</v>
      </c>
      <c r="G429" s="108">
        <v>8.6</v>
      </c>
    </row>
    <row r="430" spans="1:7" x14ac:dyDescent="0.2">
      <c r="B430" s="108" t="s">
        <v>274</v>
      </c>
      <c r="C430" s="111" t="s">
        <v>273</v>
      </c>
      <c r="D430" s="108">
        <v>25</v>
      </c>
      <c r="G430" s="108">
        <v>1.78</v>
      </c>
    </row>
    <row r="432" spans="1:7" x14ac:dyDescent="0.2">
      <c r="A432" s="114"/>
      <c r="B432" s="114" t="s">
        <v>254</v>
      </c>
      <c r="C432" s="116"/>
      <c r="D432" s="114"/>
      <c r="E432" s="116"/>
      <c r="F432" s="114"/>
      <c r="G432" s="114"/>
    </row>
    <row r="433" spans="1:7" x14ac:dyDescent="0.2">
      <c r="B433" s="108" t="s">
        <v>275</v>
      </c>
      <c r="G433" s="108">
        <v>94.1</v>
      </c>
    </row>
    <row r="434" spans="1:7" x14ac:dyDescent="0.2">
      <c r="B434" s="108" t="s">
        <v>276</v>
      </c>
      <c r="G434" s="108">
        <v>11.18</v>
      </c>
    </row>
    <row r="435" spans="1:7" x14ac:dyDescent="0.2">
      <c r="B435" s="108" t="s">
        <v>277</v>
      </c>
      <c r="G435" s="108">
        <v>105.28</v>
      </c>
    </row>
    <row r="436" spans="1:7" x14ac:dyDescent="0.2">
      <c r="B436" s="108" t="s">
        <v>278</v>
      </c>
      <c r="C436" s="111" t="s">
        <v>273</v>
      </c>
      <c r="D436" s="108" t="s">
        <v>279</v>
      </c>
      <c r="G436" s="108">
        <v>10.53</v>
      </c>
    </row>
    <row r="438" spans="1:7" x14ac:dyDescent="0.2">
      <c r="A438" s="112"/>
      <c r="B438" s="112" t="s">
        <v>254</v>
      </c>
      <c r="C438" s="113"/>
      <c r="D438" s="112"/>
      <c r="E438" s="113"/>
      <c r="F438" s="112"/>
      <c r="G438" s="112">
        <v>115.81</v>
      </c>
    </row>
    <row r="440" spans="1:7" x14ac:dyDescent="0.2">
      <c r="A440" s="112" t="s">
        <v>85</v>
      </c>
      <c r="B440" s="112"/>
      <c r="C440" s="113"/>
      <c r="D440" s="112"/>
      <c r="E440" s="113"/>
      <c r="F440" s="112"/>
      <c r="G440" s="112"/>
    </row>
    <row r="441" spans="1:7" x14ac:dyDescent="0.2">
      <c r="A441" s="114" t="s">
        <v>335</v>
      </c>
      <c r="G441" s="115" t="s">
        <v>336</v>
      </c>
    </row>
    <row r="443" spans="1:7" x14ac:dyDescent="0.2">
      <c r="A443" s="114"/>
      <c r="B443" s="114" t="s">
        <v>294</v>
      </c>
      <c r="C443" s="116"/>
      <c r="D443" s="114"/>
      <c r="E443" s="116"/>
      <c r="F443" s="114"/>
      <c r="G443" s="114">
        <v>1.75</v>
      </c>
    </row>
    <row r="444" spans="1:7" x14ac:dyDescent="0.2">
      <c r="A444" s="108" t="s">
        <v>265</v>
      </c>
      <c r="B444" s="108" t="s">
        <v>337</v>
      </c>
      <c r="C444" s="111" t="s">
        <v>338</v>
      </c>
      <c r="D444" s="117">
        <v>1</v>
      </c>
      <c r="E444" s="118">
        <v>1</v>
      </c>
      <c r="F444" s="108">
        <v>1.75</v>
      </c>
      <c r="G444" s="108">
        <v>1.75</v>
      </c>
    </row>
    <row r="446" spans="1:7" x14ac:dyDescent="0.2">
      <c r="A446" s="114"/>
      <c r="B446" s="114" t="s">
        <v>264</v>
      </c>
      <c r="C446" s="116"/>
      <c r="D446" s="114"/>
      <c r="E446" s="116"/>
      <c r="F446" s="114"/>
      <c r="G446" s="114">
        <v>0.25</v>
      </c>
    </row>
    <row r="447" spans="1:7" x14ac:dyDescent="0.2">
      <c r="A447" s="108" t="s">
        <v>265</v>
      </c>
      <c r="B447" s="108" t="s">
        <v>339</v>
      </c>
      <c r="C447" s="111" t="s">
        <v>267</v>
      </c>
      <c r="D447" s="117">
        <v>1E-3</v>
      </c>
      <c r="E447" s="118">
        <v>1</v>
      </c>
      <c r="F447" s="108">
        <v>250</v>
      </c>
      <c r="G447" s="108">
        <v>0.25</v>
      </c>
    </row>
    <row r="449" spans="1:7" x14ac:dyDescent="0.2">
      <c r="A449" s="114"/>
      <c r="B449" s="114" t="s">
        <v>268</v>
      </c>
      <c r="C449" s="116"/>
      <c r="D449" s="119">
        <v>0.02</v>
      </c>
      <c r="E449" s="116"/>
      <c r="F449" s="114"/>
      <c r="G449" s="114">
        <v>0.2</v>
      </c>
    </row>
    <row r="450" spans="1:7" x14ac:dyDescent="0.2">
      <c r="A450" s="108" t="s">
        <v>265</v>
      </c>
      <c r="B450" s="108" t="s">
        <v>340</v>
      </c>
      <c r="C450" s="111" t="s">
        <v>270</v>
      </c>
      <c r="D450" s="117">
        <v>0.02</v>
      </c>
      <c r="E450" s="118">
        <v>1</v>
      </c>
      <c r="F450" s="108">
        <v>10</v>
      </c>
      <c r="G450" s="108">
        <v>0.2</v>
      </c>
    </row>
    <row r="452" spans="1:7" x14ac:dyDescent="0.2">
      <c r="A452" s="114"/>
      <c r="B452" s="114" t="s">
        <v>271</v>
      </c>
      <c r="C452" s="116"/>
      <c r="D452" s="114"/>
      <c r="E452" s="116"/>
      <c r="F452" s="114"/>
      <c r="G452" s="114">
        <v>0.4</v>
      </c>
    </row>
    <row r="453" spans="1:7" x14ac:dyDescent="0.2">
      <c r="B453" s="108" t="s">
        <v>272</v>
      </c>
      <c r="C453" s="111" t="s">
        <v>273</v>
      </c>
      <c r="D453" s="108">
        <v>80</v>
      </c>
      <c r="G453" s="108">
        <v>0.16</v>
      </c>
    </row>
    <row r="454" spans="1:7" x14ac:dyDescent="0.2">
      <c r="B454" s="108" t="s">
        <v>298</v>
      </c>
      <c r="C454" s="111" t="s">
        <v>273</v>
      </c>
      <c r="D454" s="108">
        <v>10</v>
      </c>
      <c r="G454" s="108">
        <v>0.18</v>
      </c>
    </row>
    <row r="455" spans="1:7" x14ac:dyDescent="0.2">
      <c r="B455" s="108" t="s">
        <v>274</v>
      </c>
      <c r="C455" s="111" t="s">
        <v>273</v>
      </c>
      <c r="D455" s="108">
        <v>25</v>
      </c>
      <c r="G455" s="108">
        <v>0.06</v>
      </c>
    </row>
    <row r="457" spans="1:7" x14ac:dyDescent="0.2">
      <c r="A457" s="114"/>
      <c r="B457" s="114" t="s">
        <v>254</v>
      </c>
      <c r="C457" s="116"/>
      <c r="D457" s="114"/>
      <c r="E457" s="116"/>
      <c r="F457" s="114"/>
      <c r="G457" s="114"/>
    </row>
    <row r="458" spans="1:7" x14ac:dyDescent="0.2">
      <c r="B458" s="108" t="s">
        <v>275</v>
      </c>
      <c r="G458" s="108">
        <v>2.2000000000000002</v>
      </c>
    </row>
    <row r="459" spans="1:7" x14ac:dyDescent="0.2">
      <c r="B459" s="108" t="s">
        <v>276</v>
      </c>
      <c r="G459" s="108">
        <v>0.4</v>
      </c>
    </row>
    <row r="460" spans="1:7" x14ac:dyDescent="0.2">
      <c r="B460" s="108" t="s">
        <v>277</v>
      </c>
      <c r="G460" s="108">
        <v>2.6</v>
      </c>
    </row>
    <row r="461" spans="1:7" x14ac:dyDescent="0.2">
      <c r="B461" s="108" t="s">
        <v>278</v>
      </c>
      <c r="C461" s="111" t="s">
        <v>273</v>
      </c>
      <c r="D461" s="108" t="s">
        <v>279</v>
      </c>
      <c r="G461" s="108">
        <v>0.26</v>
      </c>
    </row>
    <row r="463" spans="1:7" x14ac:dyDescent="0.2">
      <c r="A463" s="112"/>
      <c r="B463" s="112" t="s">
        <v>254</v>
      </c>
      <c r="C463" s="113"/>
      <c r="D463" s="112"/>
      <c r="E463" s="113"/>
      <c r="F463" s="112"/>
      <c r="G463" s="112">
        <v>2.86</v>
      </c>
    </row>
    <row r="465" spans="1:7" x14ac:dyDescent="0.2">
      <c r="A465" s="112" t="s">
        <v>87</v>
      </c>
      <c r="B465" s="112"/>
      <c r="C465" s="113"/>
      <c r="D465" s="112"/>
      <c r="E465" s="113"/>
      <c r="F465" s="112"/>
      <c r="G465" s="112"/>
    </row>
    <row r="466" spans="1:7" x14ac:dyDescent="0.2">
      <c r="A466" s="114" t="s">
        <v>341</v>
      </c>
      <c r="G466" s="115" t="s">
        <v>281</v>
      </c>
    </row>
    <row r="468" spans="1:7" x14ac:dyDescent="0.2">
      <c r="A468" s="114"/>
      <c r="B468" s="114" t="s">
        <v>294</v>
      </c>
      <c r="C468" s="116"/>
      <c r="D468" s="114"/>
      <c r="E468" s="116"/>
      <c r="F468" s="114"/>
      <c r="G468" s="114">
        <v>15</v>
      </c>
    </row>
    <row r="469" spans="1:7" x14ac:dyDescent="0.2">
      <c r="A469" s="108" t="s">
        <v>265</v>
      </c>
      <c r="B469" s="108" t="s">
        <v>87</v>
      </c>
      <c r="C469" s="111" t="s">
        <v>301</v>
      </c>
      <c r="D469" s="117">
        <v>1</v>
      </c>
      <c r="E469" s="118">
        <v>1</v>
      </c>
      <c r="F469" s="108">
        <v>15</v>
      </c>
      <c r="G469" s="108">
        <v>15</v>
      </c>
    </row>
    <row r="471" spans="1:7" x14ac:dyDescent="0.2">
      <c r="A471" s="114"/>
      <c r="B471" s="114" t="s">
        <v>264</v>
      </c>
      <c r="C471" s="116"/>
      <c r="D471" s="114"/>
      <c r="E471" s="116"/>
      <c r="F471" s="114"/>
      <c r="G471" s="114">
        <v>7.1</v>
      </c>
    </row>
    <row r="472" spans="1:7" x14ac:dyDescent="0.2">
      <c r="A472" s="108" t="s">
        <v>265</v>
      </c>
      <c r="B472" s="108" t="s">
        <v>302</v>
      </c>
      <c r="C472" s="111" t="s">
        <v>267</v>
      </c>
      <c r="D472" s="117">
        <v>2.1999999999999999E-2</v>
      </c>
      <c r="E472" s="118">
        <v>1</v>
      </c>
      <c r="F472" s="108">
        <v>250</v>
      </c>
      <c r="G472" s="108">
        <v>5.5</v>
      </c>
    </row>
    <row r="473" spans="1:7" x14ac:dyDescent="0.2">
      <c r="A473" s="108" t="s">
        <v>265</v>
      </c>
      <c r="B473" s="108" t="s">
        <v>303</v>
      </c>
      <c r="C473" s="111" t="s">
        <v>267</v>
      </c>
      <c r="D473" s="117">
        <v>1.6E-2</v>
      </c>
      <c r="E473" s="118">
        <v>1</v>
      </c>
      <c r="F473" s="108">
        <v>100</v>
      </c>
      <c r="G473" s="108">
        <v>1.6</v>
      </c>
    </row>
    <row r="475" spans="1:7" x14ac:dyDescent="0.2">
      <c r="A475" s="114"/>
      <c r="B475" s="114" t="s">
        <v>268</v>
      </c>
      <c r="C475" s="116"/>
      <c r="D475" s="119">
        <v>0.1</v>
      </c>
      <c r="E475" s="116"/>
      <c r="F475" s="114"/>
      <c r="G475" s="114">
        <v>1</v>
      </c>
    </row>
    <row r="476" spans="1:7" x14ac:dyDescent="0.2">
      <c r="A476" s="108" t="s">
        <v>265</v>
      </c>
      <c r="B476" s="108" t="s">
        <v>269</v>
      </c>
      <c r="C476" s="111" t="s">
        <v>270</v>
      </c>
      <c r="D476" s="117">
        <v>0.1</v>
      </c>
      <c r="E476" s="118">
        <v>1</v>
      </c>
      <c r="F476" s="108">
        <v>10</v>
      </c>
      <c r="G476" s="108">
        <v>1</v>
      </c>
    </row>
    <row r="478" spans="1:7" x14ac:dyDescent="0.2">
      <c r="A478" s="114"/>
      <c r="B478" s="114" t="s">
        <v>271</v>
      </c>
      <c r="C478" s="116"/>
      <c r="D478" s="114"/>
      <c r="E478" s="116"/>
      <c r="F478" s="114"/>
      <c r="G478" s="114">
        <v>4.08</v>
      </c>
    </row>
    <row r="479" spans="1:7" x14ac:dyDescent="0.2">
      <c r="B479" s="108" t="s">
        <v>272</v>
      </c>
      <c r="C479" s="111" t="s">
        <v>273</v>
      </c>
      <c r="D479" s="108">
        <v>80</v>
      </c>
      <c r="G479" s="108">
        <v>0.8</v>
      </c>
    </row>
    <row r="480" spans="1:7" x14ac:dyDescent="0.2">
      <c r="B480" s="108" t="s">
        <v>298</v>
      </c>
      <c r="C480" s="111" t="s">
        <v>273</v>
      </c>
      <c r="D480" s="108">
        <v>10</v>
      </c>
      <c r="G480" s="108">
        <v>1.5</v>
      </c>
    </row>
    <row r="481" spans="1:7" x14ac:dyDescent="0.2">
      <c r="B481" s="108" t="s">
        <v>274</v>
      </c>
      <c r="C481" s="111" t="s">
        <v>273</v>
      </c>
      <c r="D481" s="108">
        <v>25</v>
      </c>
      <c r="G481" s="108">
        <v>1.78</v>
      </c>
    </row>
    <row r="483" spans="1:7" x14ac:dyDescent="0.2">
      <c r="A483" s="114"/>
      <c r="B483" s="114" t="s">
        <v>254</v>
      </c>
      <c r="C483" s="116"/>
      <c r="D483" s="114"/>
      <c r="E483" s="116"/>
      <c r="F483" s="114"/>
      <c r="G483" s="114"/>
    </row>
    <row r="484" spans="1:7" x14ac:dyDescent="0.2">
      <c r="B484" s="108" t="s">
        <v>275</v>
      </c>
      <c r="G484" s="108">
        <v>23.1</v>
      </c>
    </row>
    <row r="485" spans="1:7" x14ac:dyDescent="0.2">
      <c r="B485" s="108" t="s">
        <v>276</v>
      </c>
      <c r="G485" s="108">
        <v>4.08</v>
      </c>
    </row>
    <row r="486" spans="1:7" x14ac:dyDescent="0.2">
      <c r="B486" s="108" t="s">
        <v>277</v>
      </c>
      <c r="G486" s="108">
        <v>27.18</v>
      </c>
    </row>
    <row r="487" spans="1:7" x14ac:dyDescent="0.2">
      <c r="B487" s="108" t="s">
        <v>278</v>
      </c>
      <c r="C487" s="111" t="s">
        <v>273</v>
      </c>
      <c r="D487" s="108" t="s">
        <v>279</v>
      </c>
      <c r="G487" s="108">
        <v>2.72</v>
      </c>
    </row>
    <row r="489" spans="1:7" x14ac:dyDescent="0.2">
      <c r="A489" s="112"/>
      <c r="B489" s="112" t="s">
        <v>254</v>
      </c>
      <c r="C489" s="113"/>
      <c r="D489" s="112"/>
      <c r="E489" s="113"/>
      <c r="F489" s="112"/>
      <c r="G489" s="112">
        <v>29.9</v>
      </c>
    </row>
    <row r="491" spans="1:7" x14ac:dyDescent="0.2">
      <c r="A491" s="112" t="s">
        <v>88</v>
      </c>
      <c r="B491" s="112"/>
      <c r="C491" s="113"/>
      <c r="D491" s="112"/>
      <c r="E491" s="113"/>
      <c r="F491" s="112"/>
      <c r="G491" s="112"/>
    </row>
    <row r="492" spans="1:7" x14ac:dyDescent="0.2">
      <c r="A492" s="114" t="s">
        <v>342</v>
      </c>
      <c r="G492" s="115" t="s">
        <v>281</v>
      </c>
    </row>
    <row r="494" spans="1:7" x14ac:dyDescent="0.2">
      <c r="A494" s="114"/>
      <c r="B494" s="114" t="s">
        <v>294</v>
      </c>
      <c r="C494" s="116"/>
      <c r="D494" s="114"/>
      <c r="E494" s="116"/>
      <c r="F494" s="114"/>
      <c r="G494" s="114">
        <v>16</v>
      </c>
    </row>
    <row r="495" spans="1:7" x14ac:dyDescent="0.2">
      <c r="A495" s="108" t="s">
        <v>265</v>
      </c>
      <c r="B495" s="108" t="s">
        <v>300</v>
      </c>
      <c r="C495" s="111" t="s">
        <v>301</v>
      </c>
      <c r="D495" s="117">
        <v>1</v>
      </c>
      <c r="E495" s="118">
        <v>1</v>
      </c>
      <c r="F495" s="108">
        <v>16</v>
      </c>
      <c r="G495" s="108">
        <v>16</v>
      </c>
    </row>
    <row r="497" spans="1:7" x14ac:dyDescent="0.2">
      <c r="A497" s="114"/>
      <c r="B497" s="114" t="s">
        <v>264</v>
      </c>
      <c r="C497" s="116"/>
      <c r="D497" s="114"/>
      <c r="E497" s="116"/>
      <c r="F497" s="114"/>
      <c r="G497" s="114">
        <v>7.1</v>
      </c>
    </row>
    <row r="498" spans="1:7" x14ac:dyDescent="0.2">
      <c r="A498" s="108" t="s">
        <v>265</v>
      </c>
      <c r="B498" s="108" t="s">
        <v>302</v>
      </c>
      <c r="C498" s="111" t="s">
        <v>267</v>
      </c>
      <c r="D498" s="117">
        <v>2.1999999999999999E-2</v>
      </c>
      <c r="E498" s="118">
        <v>1</v>
      </c>
      <c r="F498" s="108">
        <v>250</v>
      </c>
      <c r="G498" s="108">
        <v>5.5</v>
      </c>
    </row>
    <row r="499" spans="1:7" x14ac:dyDescent="0.2">
      <c r="A499" s="108" t="s">
        <v>265</v>
      </c>
      <c r="B499" s="108" t="s">
        <v>303</v>
      </c>
      <c r="C499" s="111" t="s">
        <v>267</v>
      </c>
      <c r="D499" s="117">
        <v>1.6E-2</v>
      </c>
      <c r="E499" s="118">
        <v>1</v>
      </c>
      <c r="F499" s="108">
        <v>100</v>
      </c>
      <c r="G499" s="108">
        <v>1.6</v>
      </c>
    </row>
    <row r="501" spans="1:7" x14ac:dyDescent="0.2">
      <c r="A501" s="114"/>
      <c r="B501" s="114" t="s">
        <v>268</v>
      </c>
      <c r="C501" s="116"/>
      <c r="D501" s="119">
        <v>0.1</v>
      </c>
      <c r="E501" s="116"/>
      <c r="F501" s="114"/>
      <c r="G501" s="114">
        <v>1</v>
      </c>
    </row>
    <row r="502" spans="1:7" x14ac:dyDescent="0.2">
      <c r="A502" s="108" t="s">
        <v>265</v>
      </c>
      <c r="B502" s="108" t="s">
        <v>269</v>
      </c>
      <c r="C502" s="111" t="s">
        <v>270</v>
      </c>
      <c r="D502" s="117">
        <v>0.1</v>
      </c>
      <c r="E502" s="118">
        <v>1</v>
      </c>
      <c r="F502" s="108">
        <v>10</v>
      </c>
      <c r="G502" s="108">
        <v>1</v>
      </c>
    </row>
    <row r="504" spans="1:7" x14ac:dyDescent="0.2">
      <c r="A504" s="114"/>
      <c r="B504" s="114" t="s">
        <v>271</v>
      </c>
      <c r="C504" s="116"/>
      <c r="D504" s="114"/>
      <c r="E504" s="116"/>
      <c r="F504" s="114"/>
      <c r="G504" s="114">
        <v>4.18</v>
      </c>
    </row>
    <row r="505" spans="1:7" x14ac:dyDescent="0.2">
      <c r="B505" s="108" t="s">
        <v>272</v>
      </c>
      <c r="C505" s="111" t="s">
        <v>273</v>
      </c>
      <c r="D505" s="108">
        <v>80</v>
      </c>
      <c r="G505" s="108">
        <v>0.8</v>
      </c>
    </row>
    <row r="506" spans="1:7" x14ac:dyDescent="0.2">
      <c r="B506" s="108" t="s">
        <v>298</v>
      </c>
      <c r="C506" s="111" t="s">
        <v>273</v>
      </c>
      <c r="D506" s="108">
        <v>10</v>
      </c>
      <c r="G506" s="108">
        <v>1.6</v>
      </c>
    </row>
    <row r="507" spans="1:7" x14ac:dyDescent="0.2">
      <c r="B507" s="108" t="s">
        <v>274</v>
      </c>
      <c r="C507" s="111" t="s">
        <v>273</v>
      </c>
      <c r="D507" s="108">
        <v>25</v>
      </c>
      <c r="G507" s="108">
        <v>1.78</v>
      </c>
    </row>
    <row r="509" spans="1:7" x14ac:dyDescent="0.2">
      <c r="A509" s="114"/>
      <c r="B509" s="114" t="s">
        <v>254</v>
      </c>
      <c r="C509" s="116"/>
      <c r="D509" s="114"/>
      <c r="E509" s="116"/>
      <c r="F509" s="114"/>
      <c r="G509" s="114"/>
    </row>
    <row r="510" spans="1:7" x14ac:dyDescent="0.2">
      <c r="B510" s="108" t="s">
        <v>275</v>
      </c>
      <c r="G510" s="108">
        <v>24.1</v>
      </c>
    </row>
    <row r="511" spans="1:7" x14ac:dyDescent="0.2">
      <c r="B511" s="108" t="s">
        <v>276</v>
      </c>
      <c r="G511" s="108">
        <v>4.18</v>
      </c>
    </row>
    <row r="512" spans="1:7" x14ac:dyDescent="0.2">
      <c r="B512" s="108" t="s">
        <v>277</v>
      </c>
      <c r="G512" s="108">
        <v>28.28</v>
      </c>
    </row>
    <row r="513" spans="1:7" x14ac:dyDescent="0.2">
      <c r="B513" s="108" t="s">
        <v>278</v>
      </c>
      <c r="C513" s="111" t="s">
        <v>273</v>
      </c>
      <c r="D513" s="108" t="s">
        <v>279</v>
      </c>
      <c r="G513" s="108">
        <v>2.83</v>
      </c>
    </row>
    <row r="515" spans="1:7" x14ac:dyDescent="0.2">
      <c r="A515" s="112"/>
      <c r="B515" s="112" t="s">
        <v>254</v>
      </c>
      <c r="C515" s="113"/>
      <c r="D515" s="112"/>
      <c r="E515" s="113"/>
      <c r="F515" s="112"/>
      <c r="G515" s="112">
        <v>31.11</v>
      </c>
    </row>
    <row r="517" spans="1:7" x14ac:dyDescent="0.2">
      <c r="A517" s="112" t="s">
        <v>73</v>
      </c>
      <c r="B517" s="112"/>
      <c r="C517" s="113"/>
      <c r="D517" s="112"/>
      <c r="E517" s="113"/>
      <c r="F517" s="112"/>
      <c r="G517" s="112"/>
    </row>
    <row r="518" spans="1:7" x14ac:dyDescent="0.2">
      <c r="A518" s="114" t="s">
        <v>343</v>
      </c>
      <c r="G518" s="115" t="s">
        <v>312</v>
      </c>
    </row>
    <row r="520" spans="1:7" x14ac:dyDescent="0.2">
      <c r="A520" s="114"/>
      <c r="B520" s="114" t="s">
        <v>294</v>
      </c>
      <c r="C520" s="116"/>
      <c r="D520" s="114"/>
      <c r="E520" s="116"/>
      <c r="F520" s="114"/>
      <c r="G520" s="114">
        <v>133</v>
      </c>
    </row>
    <row r="521" spans="1:7" x14ac:dyDescent="0.2">
      <c r="A521" s="108" t="s">
        <v>265</v>
      </c>
      <c r="B521" s="108" t="s">
        <v>344</v>
      </c>
      <c r="C521" s="111" t="s">
        <v>317</v>
      </c>
      <c r="D521" s="117">
        <v>1</v>
      </c>
      <c r="E521" s="118">
        <v>1</v>
      </c>
      <c r="F521" s="108">
        <v>133</v>
      </c>
      <c r="G521" s="108">
        <v>133</v>
      </c>
    </row>
    <row r="523" spans="1:7" x14ac:dyDescent="0.2">
      <c r="A523" s="114"/>
      <c r="B523" s="114" t="s">
        <v>268</v>
      </c>
      <c r="C523" s="116"/>
      <c r="D523" s="119">
        <v>0.62</v>
      </c>
      <c r="E523" s="116"/>
      <c r="F523" s="114"/>
      <c r="G523" s="114">
        <v>6.2</v>
      </c>
    </row>
    <row r="524" spans="1:7" x14ac:dyDescent="0.2">
      <c r="A524" s="108" t="s">
        <v>265</v>
      </c>
      <c r="B524" s="108" t="s">
        <v>310</v>
      </c>
      <c r="C524" s="111" t="s">
        <v>270</v>
      </c>
      <c r="D524" s="117">
        <v>0.62</v>
      </c>
      <c r="E524" s="118">
        <v>1</v>
      </c>
      <c r="F524" s="108">
        <v>10</v>
      </c>
      <c r="G524" s="108">
        <v>6.2</v>
      </c>
    </row>
    <row r="526" spans="1:7" x14ac:dyDescent="0.2">
      <c r="A526" s="114"/>
      <c r="B526" s="114" t="s">
        <v>271</v>
      </c>
      <c r="C526" s="116"/>
      <c r="D526" s="114"/>
      <c r="E526" s="116"/>
      <c r="F526" s="114"/>
      <c r="G526" s="114">
        <v>18.260000000000002</v>
      </c>
    </row>
    <row r="527" spans="1:7" x14ac:dyDescent="0.2">
      <c r="B527" s="108" t="s">
        <v>272</v>
      </c>
      <c r="C527" s="111" t="s">
        <v>273</v>
      </c>
      <c r="D527" s="108">
        <v>80</v>
      </c>
      <c r="G527" s="108">
        <v>4.96</v>
      </c>
    </row>
    <row r="528" spans="1:7" x14ac:dyDescent="0.2">
      <c r="B528" s="108" t="s">
        <v>298</v>
      </c>
      <c r="C528" s="111" t="s">
        <v>273</v>
      </c>
      <c r="D528" s="108">
        <v>10</v>
      </c>
      <c r="G528" s="108">
        <v>13.3</v>
      </c>
    </row>
    <row r="530" spans="1:7" x14ac:dyDescent="0.2">
      <c r="A530" s="114"/>
      <c r="B530" s="114" t="s">
        <v>254</v>
      </c>
      <c r="C530" s="116"/>
      <c r="D530" s="114"/>
      <c r="E530" s="116"/>
      <c r="F530" s="114"/>
      <c r="G530" s="114"/>
    </row>
    <row r="531" spans="1:7" x14ac:dyDescent="0.2">
      <c r="B531" s="108" t="s">
        <v>275</v>
      </c>
      <c r="G531" s="108">
        <v>139.19999999999999</v>
      </c>
    </row>
    <row r="532" spans="1:7" x14ac:dyDescent="0.2">
      <c r="B532" s="108" t="s">
        <v>276</v>
      </c>
      <c r="G532" s="108">
        <v>18.260000000000002</v>
      </c>
    </row>
    <row r="533" spans="1:7" x14ac:dyDescent="0.2">
      <c r="B533" s="108" t="s">
        <v>277</v>
      </c>
      <c r="G533" s="108">
        <v>157.46</v>
      </c>
    </row>
    <row r="534" spans="1:7" x14ac:dyDescent="0.2">
      <c r="B534" s="108" t="s">
        <v>278</v>
      </c>
      <c r="C534" s="111" t="s">
        <v>273</v>
      </c>
      <c r="D534" s="108" t="s">
        <v>279</v>
      </c>
      <c r="G534" s="108">
        <v>15.75</v>
      </c>
    </row>
    <row r="536" spans="1:7" x14ac:dyDescent="0.2">
      <c r="A536" s="112"/>
      <c r="B536" s="112" t="s">
        <v>254</v>
      </c>
      <c r="C536" s="113"/>
      <c r="D536" s="112"/>
      <c r="E536" s="113"/>
      <c r="F536" s="112"/>
      <c r="G536" s="112">
        <v>173.21</v>
      </c>
    </row>
    <row r="538" spans="1:7" x14ac:dyDescent="0.2">
      <c r="A538" s="112" t="s">
        <v>30</v>
      </c>
      <c r="B538" s="112"/>
      <c r="C538" s="113"/>
      <c r="D538" s="112"/>
      <c r="E538" s="113"/>
      <c r="F538" s="112"/>
      <c r="G538" s="112"/>
    </row>
    <row r="539" spans="1:7" x14ac:dyDescent="0.2">
      <c r="A539" s="114" t="s">
        <v>345</v>
      </c>
      <c r="G539" s="115" t="s">
        <v>312</v>
      </c>
    </row>
    <row r="541" spans="1:7" x14ac:dyDescent="0.2">
      <c r="A541" s="114"/>
      <c r="B541" s="114" t="s">
        <v>294</v>
      </c>
      <c r="C541" s="116"/>
      <c r="D541" s="114"/>
      <c r="E541" s="116"/>
      <c r="F541" s="114"/>
      <c r="G541" s="114">
        <v>51.8</v>
      </c>
    </row>
    <row r="542" spans="1:7" x14ac:dyDescent="0.2">
      <c r="A542" s="108" t="s">
        <v>265</v>
      </c>
      <c r="B542" s="108" t="s">
        <v>346</v>
      </c>
      <c r="C542" s="111" t="s">
        <v>317</v>
      </c>
      <c r="D542" s="117">
        <v>1</v>
      </c>
      <c r="E542" s="118">
        <v>1</v>
      </c>
      <c r="F542" s="108">
        <v>51.8</v>
      </c>
      <c r="G542" s="108">
        <v>51.8</v>
      </c>
    </row>
    <row r="544" spans="1:7" x14ac:dyDescent="0.2">
      <c r="A544" s="114"/>
      <c r="B544" s="114" t="s">
        <v>264</v>
      </c>
      <c r="C544" s="116"/>
      <c r="D544" s="114"/>
      <c r="E544" s="116"/>
      <c r="F544" s="114"/>
      <c r="G544" s="114">
        <v>12</v>
      </c>
    </row>
    <row r="545" spans="1:7" x14ac:dyDescent="0.2">
      <c r="A545" s="108" t="s">
        <v>265</v>
      </c>
      <c r="B545" s="108" t="s">
        <v>320</v>
      </c>
      <c r="C545" s="111" t="s">
        <v>267</v>
      </c>
      <c r="D545" s="117">
        <v>0.4</v>
      </c>
      <c r="E545" s="118">
        <v>1</v>
      </c>
      <c r="F545" s="108">
        <v>30</v>
      </c>
      <c r="G545" s="108">
        <v>12</v>
      </c>
    </row>
    <row r="547" spans="1:7" x14ac:dyDescent="0.2">
      <c r="A547" s="114"/>
      <c r="B547" s="114" t="s">
        <v>268</v>
      </c>
      <c r="C547" s="116"/>
      <c r="D547" s="119">
        <v>0.6</v>
      </c>
      <c r="E547" s="116"/>
      <c r="F547" s="114"/>
      <c r="G547" s="114">
        <v>6</v>
      </c>
    </row>
    <row r="548" spans="1:7" x14ac:dyDescent="0.2">
      <c r="A548" s="108" t="s">
        <v>265</v>
      </c>
      <c r="B548" s="108" t="s">
        <v>310</v>
      </c>
      <c r="C548" s="111" t="s">
        <v>270</v>
      </c>
      <c r="D548" s="117">
        <v>0.6</v>
      </c>
      <c r="E548" s="118">
        <v>1</v>
      </c>
      <c r="F548" s="108">
        <v>10</v>
      </c>
      <c r="G548" s="108">
        <v>6</v>
      </c>
    </row>
    <row r="550" spans="1:7" x14ac:dyDescent="0.2">
      <c r="A550" s="114"/>
      <c r="B550" s="114" t="s">
        <v>271</v>
      </c>
      <c r="C550" s="116"/>
      <c r="D550" s="114"/>
      <c r="E550" s="116"/>
      <c r="F550" s="114"/>
      <c r="G550" s="114">
        <v>12.98</v>
      </c>
    </row>
    <row r="551" spans="1:7" x14ac:dyDescent="0.2">
      <c r="B551" s="108" t="s">
        <v>272</v>
      </c>
      <c r="C551" s="111" t="s">
        <v>273</v>
      </c>
      <c r="D551" s="108">
        <v>80</v>
      </c>
      <c r="G551" s="108">
        <v>4.8</v>
      </c>
    </row>
    <row r="552" spans="1:7" x14ac:dyDescent="0.2">
      <c r="B552" s="108" t="s">
        <v>298</v>
      </c>
      <c r="C552" s="111" t="s">
        <v>273</v>
      </c>
      <c r="D552" s="108">
        <v>10</v>
      </c>
      <c r="G552" s="108">
        <v>5.18</v>
      </c>
    </row>
    <row r="553" spans="1:7" x14ac:dyDescent="0.2">
      <c r="B553" s="108" t="s">
        <v>274</v>
      </c>
      <c r="C553" s="111" t="s">
        <v>273</v>
      </c>
      <c r="D553" s="108">
        <v>25</v>
      </c>
      <c r="G553" s="108">
        <v>3</v>
      </c>
    </row>
    <row r="555" spans="1:7" x14ac:dyDescent="0.2">
      <c r="A555" s="114"/>
      <c r="B555" s="114" t="s">
        <v>254</v>
      </c>
      <c r="C555" s="116"/>
      <c r="D555" s="114"/>
      <c r="E555" s="116"/>
      <c r="F555" s="114"/>
      <c r="G555" s="114"/>
    </row>
    <row r="556" spans="1:7" x14ac:dyDescent="0.2">
      <c r="B556" s="108" t="s">
        <v>275</v>
      </c>
      <c r="G556" s="108">
        <v>69.8</v>
      </c>
    </row>
    <row r="557" spans="1:7" x14ac:dyDescent="0.2">
      <c r="B557" s="108" t="s">
        <v>276</v>
      </c>
      <c r="G557" s="108">
        <v>12.98</v>
      </c>
    </row>
    <row r="558" spans="1:7" x14ac:dyDescent="0.2">
      <c r="B558" s="108" t="s">
        <v>277</v>
      </c>
      <c r="G558" s="108">
        <v>82.78</v>
      </c>
    </row>
    <row r="559" spans="1:7" x14ac:dyDescent="0.2">
      <c r="B559" s="108" t="s">
        <v>278</v>
      </c>
      <c r="C559" s="111" t="s">
        <v>273</v>
      </c>
      <c r="D559" s="108" t="s">
        <v>279</v>
      </c>
      <c r="G559" s="108">
        <v>8.2799999999999994</v>
      </c>
    </row>
    <row r="561" spans="1:7" x14ac:dyDescent="0.2">
      <c r="A561" s="112"/>
      <c r="B561" s="112" t="s">
        <v>254</v>
      </c>
      <c r="C561" s="113"/>
      <c r="D561" s="112"/>
      <c r="E561" s="113"/>
      <c r="F561" s="112"/>
      <c r="G561" s="112">
        <v>91.06</v>
      </c>
    </row>
    <row r="563" spans="1:7" x14ac:dyDescent="0.2">
      <c r="A563" s="112" t="s">
        <v>31</v>
      </c>
      <c r="B563" s="112"/>
      <c r="C563" s="113"/>
      <c r="D563" s="112"/>
      <c r="E563" s="113"/>
      <c r="F563" s="112"/>
      <c r="G563" s="112"/>
    </row>
    <row r="564" spans="1:7" x14ac:dyDescent="0.2">
      <c r="A564" s="114" t="s">
        <v>347</v>
      </c>
      <c r="G564" s="115" t="s">
        <v>312</v>
      </c>
    </row>
    <row r="566" spans="1:7" x14ac:dyDescent="0.2">
      <c r="A566" s="114"/>
      <c r="B566" s="114" t="s">
        <v>294</v>
      </c>
      <c r="C566" s="116"/>
      <c r="D566" s="114"/>
      <c r="E566" s="116"/>
      <c r="F566" s="114"/>
      <c r="G566" s="114">
        <v>31.8</v>
      </c>
    </row>
    <row r="567" spans="1:7" x14ac:dyDescent="0.2">
      <c r="A567" s="108" t="s">
        <v>265</v>
      </c>
      <c r="B567" s="108" t="s">
        <v>348</v>
      </c>
      <c r="C567" s="111" t="s">
        <v>317</v>
      </c>
      <c r="D567" s="117">
        <v>1</v>
      </c>
      <c r="E567" s="118">
        <v>1</v>
      </c>
      <c r="F567" s="108">
        <v>31.8</v>
      </c>
      <c r="G567" s="108">
        <v>31.8</v>
      </c>
    </row>
    <row r="569" spans="1:7" x14ac:dyDescent="0.2">
      <c r="A569" s="114"/>
      <c r="B569" s="114" t="s">
        <v>264</v>
      </c>
      <c r="C569" s="116"/>
      <c r="D569" s="114"/>
      <c r="E569" s="116"/>
      <c r="F569" s="114"/>
      <c r="G569" s="114">
        <v>12</v>
      </c>
    </row>
    <row r="570" spans="1:7" x14ac:dyDescent="0.2">
      <c r="A570" s="108" t="s">
        <v>265</v>
      </c>
      <c r="B570" s="108" t="s">
        <v>320</v>
      </c>
      <c r="C570" s="111" t="s">
        <v>267</v>
      </c>
      <c r="D570" s="117">
        <v>0.4</v>
      </c>
      <c r="E570" s="118">
        <v>1</v>
      </c>
      <c r="F570" s="108">
        <v>30</v>
      </c>
      <c r="G570" s="108">
        <v>12</v>
      </c>
    </row>
    <row r="572" spans="1:7" x14ac:dyDescent="0.2">
      <c r="A572" s="114"/>
      <c r="B572" s="114" t="s">
        <v>268</v>
      </c>
      <c r="C572" s="116"/>
      <c r="D572" s="119">
        <v>0.6</v>
      </c>
      <c r="E572" s="116"/>
      <c r="F572" s="114"/>
      <c r="G572" s="114">
        <v>6</v>
      </c>
    </row>
    <row r="573" spans="1:7" x14ac:dyDescent="0.2">
      <c r="A573" s="108" t="s">
        <v>265</v>
      </c>
      <c r="B573" s="108" t="s">
        <v>310</v>
      </c>
      <c r="C573" s="111" t="s">
        <v>270</v>
      </c>
      <c r="D573" s="117">
        <v>0.6</v>
      </c>
      <c r="E573" s="118">
        <v>1</v>
      </c>
      <c r="F573" s="108">
        <v>10</v>
      </c>
      <c r="G573" s="108">
        <v>6</v>
      </c>
    </row>
    <row r="575" spans="1:7" x14ac:dyDescent="0.2">
      <c r="A575" s="114"/>
      <c r="B575" s="114" t="s">
        <v>271</v>
      </c>
      <c r="C575" s="116"/>
      <c r="D575" s="114"/>
      <c r="E575" s="116"/>
      <c r="F575" s="114"/>
      <c r="G575" s="114">
        <v>10.98</v>
      </c>
    </row>
    <row r="576" spans="1:7" x14ac:dyDescent="0.2">
      <c r="B576" s="108" t="s">
        <v>272</v>
      </c>
      <c r="C576" s="111" t="s">
        <v>273</v>
      </c>
      <c r="D576" s="108">
        <v>80</v>
      </c>
      <c r="G576" s="108">
        <v>4.8</v>
      </c>
    </row>
    <row r="577" spans="1:7" x14ac:dyDescent="0.2">
      <c r="B577" s="108" t="s">
        <v>298</v>
      </c>
      <c r="C577" s="111" t="s">
        <v>273</v>
      </c>
      <c r="D577" s="108">
        <v>10</v>
      </c>
      <c r="G577" s="108">
        <v>3.18</v>
      </c>
    </row>
    <row r="578" spans="1:7" x14ac:dyDescent="0.2">
      <c r="B578" s="108" t="s">
        <v>274</v>
      </c>
      <c r="C578" s="111" t="s">
        <v>273</v>
      </c>
      <c r="D578" s="108">
        <v>25</v>
      </c>
      <c r="G578" s="108">
        <v>3</v>
      </c>
    </row>
    <row r="580" spans="1:7" x14ac:dyDescent="0.2">
      <c r="A580" s="114"/>
      <c r="B580" s="114" t="s">
        <v>254</v>
      </c>
      <c r="C580" s="116"/>
      <c r="D580" s="114"/>
      <c r="E580" s="116"/>
      <c r="F580" s="114"/>
      <c r="G580" s="114"/>
    </row>
    <row r="581" spans="1:7" x14ac:dyDescent="0.2">
      <c r="B581" s="108" t="s">
        <v>275</v>
      </c>
      <c r="G581" s="108">
        <v>49.8</v>
      </c>
    </row>
    <row r="582" spans="1:7" x14ac:dyDescent="0.2">
      <c r="B582" s="108" t="s">
        <v>276</v>
      </c>
      <c r="G582" s="108">
        <v>10.98</v>
      </c>
    </row>
    <row r="583" spans="1:7" x14ac:dyDescent="0.2">
      <c r="B583" s="108" t="s">
        <v>277</v>
      </c>
      <c r="G583" s="108">
        <v>60.78</v>
      </c>
    </row>
    <row r="584" spans="1:7" x14ac:dyDescent="0.2">
      <c r="B584" s="108" t="s">
        <v>278</v>
      </c>
      <c r="C584" s="111" t="s">
        <v>273</v>
      </c>
      <c r="D584" s="108" t="s">
        <v>279</v>
      </c>
      <c r="G584" s="108">
        <v>6.08</v>
      </c>
    </row>
    <row r="586" spans="1:7" x14ac:dyDescent="0.2">
      <c r="A586" s="112"/>
      <c r="B586" s="112" t="s">
        <v>254</v>
      </c>
      <c r="C586" s="113"/>
      <c r="D586" s="112"/>
      <c r="E586" s="113"/>
      <c r="F586" s="112"/>
      <c r="G586" s="112">
        <v>66.86</v>
      </c>
    </row>
    <row r="588" spans="1:7" x14ac:dyDescent="0.2">
      <c r="A588" s="112" t="s">
        <v>243</v>
      </c>
      <c r="B588" s="112"/>
      <c r="C588" s="113"/>
      <c r="D588" s="112"/>
      <c r="E588" s="113"/>
      <c r="F588" s="112"/>
      <c r="G588" s="112"/>
    </row>
    <row r="589" spans="1:7" x14ac:dyDescent="0.2">
      <c r="A589" s="114" t="s">
        <v>349</v>
      </c>
      <c r="G589" s="115" t="s">
        <v>312</v>
      </c>
    </row>
    <row r="591" spans="1:7" x14ac:dyDescent="0.2">
      <c r="A591" s="114"/>
      <c r="B591" s="114" t="s">
        <v>294</v>
      </c>
      <c r="C591" s="116"/>
      <c r="D591" s="114"/>
      <c r="E591" s="116"/>
      <c r="F591" s="114"/>
      <c r="G591" s="114">
        <v>30.6</v>
      </c>
    </row>
    <row r="592" spans="1:7" x14ac:dyDescent="0.2">
      <c r="A592" s="108" t="s">
        <v>265</v>
      </c>
      <c r="B592" s="108" t="s">
        <v>350</v>
      </c>
      <c r="C592" s="111" t="s">
        <v>317</v>
      </c>
      <c r="D592" s="117">
        <v>1</v>
      </c>
      <c r="E592" s="118">
        <v>1</v>
      </c>
      <c r="F592" s="108">
        <v>30.6</v>
      </c>
      <c r="G592" s="108">
        <v>30.6</v>
      </c>
    </row>
    <row r="594" spans="1:7" x14ac:dyDescent="0.2">
      <c r="A594" s="114"/>
      <c r="B594" s="114" t="s">
        <v>264</v>
      </c>
      <c r="C594" s="116"/>
      <c r="D594" s="114"/>
      <c r="E594" s="116"/>
      <c r="F594" s="114"/>
      <c r="G594" s="114">
        <v>9</v>
      </c>
    </row>
    <row r="595" spans="1:7" x14ac:dyDescent="0.2">
      <c r="A595" s="108" t="s">
        <v>265</v>
      </c>
      <c r="B595" s="108" t="s">
        <v>320</v>
      </c>
      <c r="C595" s="111" t="s">
        <v>267</v>
      </c>
      <c r="D595" s="117">
        <v>0.3</v>
      </c>
      <c r="E595" s="118">
        <v>1</v>
      </c>
      <c r="F595" s="108">
        <v>30</v>
      </c>
      <c r="G595" s="108">
        <v>9</v>
      </c>
    </row>
    <row r="597" spans="1:7" x14ac:dyDescent="0.2">
      <c r="A597" s="114"/>
      <c r="B597" s="114" t="s">
        <v>268</v>
      </c>
      <c r="C597" s="116"/>
      <c r="D597" s="119">
        <v>0.5</v>
      </c>
      <c r="E597" s="116"/>
      <c r="F597" s="114"/>
      <c r="G597" s="114">
        <v>5</v>
      </c>
    </row>
    <row r="598" spans="1:7" x14ac:dyDescent="0.2">
      <c r="A598" s="108" t="s">
        <v>265</v>
      </c>
      <c r="B598" s="108" t="s">
        <v>310</v>
      </c>
      <c r="C598" s="111" t="s">
        <v>270</v>
      </c>
      <c r="D598" s="117">
        <v>0.5</v>
      </c>
      <c r="E598" s="118">
        <v>1</v>
      </c>
      <c r="F598" s="108">
        <v>10</v>
      </c>
      <c r="G598" s="108">
        <v>5</v>
      </c>
    </row>
    <row r="600" spans="1:7" x14ac:dyDescent="0.2">
      <c r="A600" s="114"/>
      <c r="B600" s="114" t="s">
        <v>271</v>
      </c>
      <c r="C600" s="116"/>
      <c r="D600" s="114"/>
      <c r="E600" s="116"/>
      <c r="F600" s="114"/>
      <c r="G600" s="114">
        <v>9.31</v>
      </c>
    </row>
    <row r="601" spans="1:7" x14ac:dyDescent="0.2">
      <c r="B601" s="108" t="s">
        <v>272</v>
      </c>
      <c r="C601" s="111" t="s">
        <v>273</v>
      </c>
      <c r="D601" s="108">
        <v>80</v>
      </c>
      <c r="G601" s="108">
        <v>4</v>
      </c>
    </row>
    <row r="602" spans="1:7" x14ac:dyDescent="0.2">
      <c r="B602" s="108" t="s">
        <v>298</v>
      </c>
      <c r="C602" s="111" t="s">
        <v>273</v>
      </c>
      <c r="D602" s="108">
        <v>10</v>
      </c>
      <c r="G602" s="108">
        <v>3.06</v>
      </c>
    </row>
    <row r="603" spans="1:7" x14ac:dyDescent="0.2">
      <c r="B603" s="108" t="s">
        <v>274</v>
      </c>
      <c r="C603" s="111" t="s">
        <v>273</v>
      </c>
      <c r="D603" s="108">
        <v>25</v>
      </c>
      <c r="G603" s="108">
        <v>2.25</v>
      </c>
    </row>
    <row r="605" spans="1:7" x14ac:dyDescent="0.2">
      <c r="A605" s="114"/>
      <c r="B605" s="114" t="s">
        <v>254</v>
      </c>
      <c r="C605" s="116"/>
      <c r="D605" s="114"/>
      <c r="E605" s="116"/>
      <c r="F605" s="114"/>
      <c r="G605" s="114"/>
    </row>
    <row r="606" spans="1:7" x14ac:dyDescent="0.2">
      <c r="B606" s="108" t="s">
        <v>275</v>
      </c>
      <c r="G606" s="108">
        <v>44.6</v>
      </c>
    </row>
    <row r="607" spans="1:7" x14ac:dyDescent="0.2">
      <c r="B607" s="108" t="s">
        <v>276</v>
      </c>
      <c r="G607" s="108">
        <v>9.31</v>
      </c>
    </row>
    <row r="608" spans="1:7" x14ac:dyDescent="0.2">
      <c r="B608" s="108" t="s">
        <v>277</v>
      </c>
      <c r="G608" s="108">
        <v>53.91</v>
      </c>
    </row>
    <row r="609" spans="1:7" x14ac:dyDescent="0.2">
      <c r="B609" s="108" t="s">
        <v>278</v>
      </c>
      <c r="C609" s="111" t="s">
        <v>273</v>
      </c>
      <c r="D609" s="108" t="s">
        <v>279</v>
      </c>
      <c r="G609" s="108">
        <v>5.39</v>
      </c>
    </row>
    <row r="611" spans="1:7" x14ac:dyDescent="0.2">
      <c r="A611" s="112"/>
      <c r="B611" s="112" t="s">
        <v>254</v>
      </c>
      <c r="C611" s="113"/>
      <c r="D611" s="112"/>
      <c r="E611" s="113"/>
      <c r="F611" s="112"/>
      <c r="G611" s="112">
        <v>59.3</v>
      </c>
    </row>
    <row r="613" spans="1:7" x14ac:dyDescent="0.2">
      <c r="A613" s="112" t="s">
        <v>23</v>
      </c>
      <c r="B613" s="112"/>
      <c r="C613" s="113"/>
      <c r="D613" s="112"/>
      <c r="E613" s="113"/>
      <c r="F613" s="112"/>
      <c r="G613" s="112"/>
    </row>
    <row r="614" spans="1:7" x14ac:dyDescent="0.2">
      <c r="A614" s="114" t="s">
        <v>351</v>
      </c>
      <c r="G614" s="115" t="s">
        <v>312</v>
      </c>
    </row>
    <row r="616" spans="1:7" x14ac:dyDescent="0.2">
      <c r="A616" s="114"/>
      <c r="B616" s="114" t="s">
        <v>294</v>
      </c>
      <c r="C616" s="116"/>
      <c r="D616" s="114"/>
      <c r="E616" s="116"/>
      <c r="F616" s="114"/>
      <c r="G616" s="114">
        <v>147</v>
      </c>
    </row>
    <row r="617" spans="1:7" x14ac:dyDescent="0.2">
      <c r="A617" s="108" t="s">
        <v>265</v>
      </c>
      <c r="B617" s="108" t="s">
        <v>352</v>
      </c>
      <c r="C617" s="111" t="s">
        <v>317</v>
      </c>
      <c r="D617" s="117">
        <v>1</v>
      </c>
      <c r="E617" s="118">
        <v>1</v>
      </c>
      <c r="F617" s="108">
        <v>147</v>
      </c>
      <c r="G617" s="108">
        <v>147</v>
      </c>
    </row>
    <row r="619" spans="1:7" x14ac:dyDescent="0.2">
      <c r="A619" s="114"/>
      <c r="B619" s="114" t="s">
        <v>268</v>
      </c>
      <c r="C619" s="116"/>
      <c r="D619" s="119">
        <v>0.62</v>
      </c>
      <c r="E619" s="116"/>
      <c r="F619" s="114"/>
      <c r="G619" s="114">
        <v>6.2</v>
      </c>
    </row>
    <row r="620" spans="1:7" x14ac:dyDescent="0.2">
      <c r="A620" s="108" t="s">
        <v>265</v>
      </c>
      <c r="B620" s="108" t="s">
        <v>310</v>
      </c>
      <c r="C620" s="111" t="s">
        <v>270</v>
      </c>
      <c r="D620" s="117">
        <v>0.62</v>
      </c>
      <c r="E620" s="118">
        <v>1</v>
      </c>
      <c r="F620" s="108">
        <v>10</v>
      </c>
      <c r="G620" s="108">
        <v>6.2</v>
      </c>
    </row>
    <row r="622" spans="1:7" x14ac:dyDescent="0.2">
      <c r="A622" s="114"/>
      <c r="B622" s="114" t="s">
        <v>271</v>
      </c>
      <c r="C622" s="116"/>
      <c r="D622" s="114"/>
      <c r="E622" s="116"/>
      <c r="F622" s="114"/>
      <c r="G622" s="114">
        <v>19.66</v>
      </c>
    </row>
    <row r="623" spans="1:7" x14ac:dyDescent="0.2">
      <c r="B623" s="108" t="s">
        <v>272</v>
      </c>
      <c r="C623" s="111" t="s">
        <v>273</v>
      </c>
      <c r="D623" s="108">
        <v>80</v>
      </c>
      <c r="G623" s="108">
        <v>4.96</v>
      </c>
    </row>
    <row r="624" spans="1:7" x14ac:dyDescent="0.2">
      <c r="B624" s="108" t="s">
        <v>298</v>
      </c>
      <c r="C624" s="111" t="s">
        <v>273</v>
      </c>
      <c r="D624" s="108">
        <v>10</v>
      </c>
      <c r="G624" s="108">
        <v>14.7</v>
      </c>
    </row>
    <row r="626" spans="1:7" x14ac:dyDescent="0.2">
      <c r="A626" s="114"/>
      <c r="B626" s="114" t="s">
        <v>254</v>
      </c>
      <c r="C626" s="116"/>
      <c r="D626" s="114"/>
      <c r="E626" s="116"/>
      <c r="F626" s="114"/>
      <c r="G626" s="114"/>
    </row>
    <row r="627" spans="1:7" x14ac:dyDescent="0.2">
      <c r="B627" s="108" t="s">
        <v>275</v>
      </c>
      <c r="G627" s="108">
        <v>153.19999999999999</v>
      </c>
    </row>
    <row r="628" spans="1:7" x14ac:dyDescent="0.2">
      <c r="B628" s="108" t="s">
        <v>276</v>
      </c>
      <c r="G628" s="108">
        <v>19.66</v>
      </c>
    </row>
    <row r="629" spans="1:7" x14ac:dyDescent="0.2">
      <c r="B629" s="108" t="s">
        <v>277</v>
      </c>
      <c r="G629" s="108">
        <v>172.86</v>
      </c>
    </row>
    <row r="630" spans="1:7" x14ac:dyDescent="0.2">
      <c r="B630" s="108" t="s">
        <v>278</v>
      </c>
      <c r="C630" s="111" t="s">
        <v>273</v>
      </c>
      <c r="D630" s="108" t="s">
        <v>279</v>
      </c>
      <c r="G630" s="108">
        <v>17.29</v>
      </c>
    </row>
    <row r="632" spans="1:7" x14ac:dyDescent="0.2">
      <c r="A632" s="112"/>
      <c r="B632" s="112" t="s">
        <v>254</v>
      </c>
      <c r="C632" s="113"/>
      <c r="D632" s="112"/>
      <c r="E632" s="113"/>
      <c r="F632" s="112"/>
      <c r="G632" s="112">
        <v>190.15</v>
      </c>
    </row>
    <row r="634" spans="1:7" x14ac:dyDescent="0.2">
      <c r="A634" s="112" t="s">
        <v>24</v>
      </c>
      <c r="B634" s="112"/>
      <c r="C634" s="113"/>
      <c r="D634" s="112"/>
      <c r="E634" s="113"/>
      <c r="F634" s="112"/>
      <c r="G634" s="112"/>
    </row>
    <row r="635" spans="1:7" x14ac:dyDescent="0.2">
      <c r="A635" s="114" t="s">
        <v>353</v>
      </c>
      <c r="G635" s="115" t="s">
        <v>312</v>
      </c>
    </row>
    <row r="637" spans="1:7" x14ac:dyDescent="0.2">
      <c r="A637" s="114"/>
      <c r="B637" s="114" t="s">
        <v>294</v>
      </c>
      <c r="C637" s="116"/>
      <c r="D637" s="114"/>
      <c r="E637" s="116"/>
      <c r="F637" s="114"/>
      <c r="G637" s="114">
        <v>122</v>
      </c>
    </row>
    <row r="638" spans="1:7" x14ac:dyDescent="0.2">
      <c r="A638" s="108" t="s">
        <v>265</v>
      </c>
      <c r="B638" s="108" t="s">
        <v>354</v>
      </c>
      <c r="C638" s="111" t="s">
        <v>317</v>
      </c>
      <c r="D638" s="117">
        <v>1</v>
      </c>
      <c r="E638" s="118">
        <v>1</v>
      </c>
      <c r="F638" s="108">
        <v>122</v>
      </c>
      <c r="G638" s="108">
        <v>122</v>
      </c>
    </row>
    <row r="640" spans="1:7" x14ac:dyDescent="0.2">
      <c r="A640" s="114"/>
      <c r="B640" s="114" t="s">
        <v>268</v>
      </c>
      <c r="C640" s="116"/>
      <c r="D640" s="119">
        <v>0.62</v>
      </c>
      <c r="E640" s="116"/>
      <c r="F640" s="114"/>
      <c r="G640" s="114">
        <v>6.2</v>
      </c>
    </row>
    <row r="641" spans="1:7" x14ac:dyDescent="0.2">
      <c r="A641" s="108" t="s">
        <v>265</v>
      </c>
      <c r="B641" s="108" t="s">
        <v>310</v>
      </c>
      <c r="C641" s="111" t="s">
        <v>270</v>
      </c>
      <c r="D641" s="117">
        <v>0.62</v>
      </c>
      <c r="E641" s="118">
        <v>1</v>
      </c>
      <c r="F641" s="108">
        <v>10</v>
      </c>
      <c r="G641" s="108">
        <v>6.2</v>
      </c>
    </row>
    <row r="643" spans="1:7" x14ac:dyDescent="0.2">
      <c r="A643" s="114"/>
      <c r="B643" s="114" t="s">
        <v>271</v>
      </c>
      <c r="C643" s="116"/>
      <c r="D643" s="114"/>
      <c r="E643" s="116"/>
      <c r="F643" s="114"/>
      <c r="G643" s="114">
        <v>17.16</v>
      </c>
    </row>
    <row r="644" spans="1:7" x14ac:dyDescent="0.2">
      <c r="B644" s="108" t="s">
        <v>272</v>
      </c>
      <c r="C644" s="111" t="s">
        <v>273</v>
      </c>
      <c r="D644" s="108">
        <v>80</v>
      </c>
      <c r="G644" s="108">
        <v>4.96</v>
      </c>
    </row>
    <row r="645" spans="1:7" x14ac:dyDescent="0.2">
      <c r="B645" s="108" t="s">
        <v>298</v>
      </c>
      <c r="C645" s="111" t="s">
        <v>273</v>
      </c>
      <c r="D645" s="108">
        <v>10</v>
      </c>
      <c r="G645" s="108">
        <v>12.2</v>
      </c>
    </row>
    <row r="647" spans="1:7" x14ac:dyDescent="0.2">
      <c r="A647" s="114"/>
      <c r="B647" s="114" t="s">
        <v>254</v>
      </c>
      <c r="C647" s="116"/>
      <c r="D647" s="114"/>
      <c r="E647" s="116"/>
      <c r="F647" s="114"/>
      <c r="G647" s="114"/>
    </row>
    <row r="648" spans="1:7" x14ac:dyDescent="0.2">
      <c r="B648" s="108" t="s">
        <v>275</v>
      </c>
      <c r="G648" s="108">
        <v>128.19999999999999</v>
      </c>
    </row>
    <row r="649" spans="1:7" x14ac:dyDescent="0.2">
      <c r="B649" s="108" t="s">
        <v>276</v>
      </c>
      <c r="G649" s="108">
        <v>17.16</v>
      </c>
    </row>
    <row r="650" spans="1:7" x14ac:dyDescent="0.2">
      <c r="B650" s="108" t="s">
        <v>277</v>
      </c>
      <c r="G650" s="108">
        <v>145.36000000000001</v>
      </c>
    </row>
    <row r="651" spans="1:7" x14ac:dyDescent="0.2">
      <c r="B651" s="108" t="s">
        <v>278</v>
      </c>
      <c r="C651" s="111" t="s">
        <v>273</v>
      </c>
      <c r="D651" s="108" t="s">
        <v>279</v>
      </c>
      <c r="G651" s="108">
        <v>14.54</v>
      </c>
    </row>
    <row r="653" spans="1:7" x14ac:dyDescent="0.2">
      <c r="A653" s="112"/>
      <c r="B653" s="112" t="s">
        <v>254</v>
      </c>
      <c r="C653" s="113"/>
      <c r="D653" s="112"/>
      <c r="E653" s="113"/>
      <c r="F653" s="112"/>
      <c r="G653" s="112">
        <v>159.9</v>
      </c>
    </row>
    <row r="655" spans="1:7" x14ac:dyDescent="0.2">
      <c r="A655" s="112" t="s">
        <v>110</v>
      </c>
      <c r="B655" s="112"/>
      <c r="C655" s="113"/>
      <c r="D655" s="112"/>
      <c r="E655" s="113"/>
      <c r="F655" s="112"/>
      <c r="G655" s="112"/>
    </row>
    <row r="656" spans="1:7" x14ac:dyDescent="0.2">
      <c r="A656" s="114" t="s">
        <v>355</v>
      </c>
      <c r="G656" s="115" t="s">
        <v>312</v>
      </c>
    </row>
    <row r="658" spans="1:7" x14ac:dyDescent="0.2">
      <c r="A658" s="114"/>
      <c r="B658" s="114" t="s">
        <v>294</v>
      </c>
      <c r="C658" s="116"/>
      <c r="D658" s="114"/>
      <c r="E658" s="116"/>
      <c r="F658" s="114"/>
      <c r="G658" s="114">
        <v>25.6</v>
      </c>
    </row>
    <row r="659" spans="1:7" x14ac:dyDescent="0.2">
      <c r="A659" s="108" t="s">
        <v>265</v>
      </c>
      <c r="B659" s="108" t="s">
        <v>356</v>
      </c>
      <c r="C659" s="111" t="s">
        <v>317</v>
      </c>
      <c r="D659" s="117">
        <v>1</v>
      </c>
      <c r="E659" s="118">
        <v>1</v>
      </c>
      <c r="F659" s="108">
        <v>25.6</v>
      </c>
      <c r="G659" s="108">
        <v>25.6</v>
      </c>
    </row>
    <row r="661" spans="1:7" x14ac:dyDescent="0.2">
      <c r="A661" s="114"/>
      <c r="B661" s="114" t="s">
        <v>264</v>
      </c>
      <c r="C661" s="116"/>
      <c r="D661" s="114"/>
      <c r="E661" s="116"/>
      <c r="F661" s="114"/>
      <c r="G661" s="114">
        <v>7.5</v>
      </c>
    </row>
    <row r="662" spans="1:7" x14ac:dyDescent="0.2">
      <c r="A662" s="108" t="s">
        <v>265</v>
      </c>
      <c r="B662" s="108" t="s">
        <v>320</v>
      </c>
      <c r="C662" s="111" t="s">
        <v>267</v>
      </c>
      <c r="D662" s="117">
        <v>0.25</v>
      </c>
      <c r="E662" s="118">
        <v>1</v>
      </c>
      <c r="F662" s="108">
        <v>30</v>
      </c>
      <c r="G662" s="108">
        <v>7.5</v>
      </c>
    </row>
    <row r="664" spans="1:7" x14ac:dyDescent="0.2">
      <c r="A664" s="114"/>
      <c r="B664" s="114" t="s">
        <v>268</v>
      </c>
      <c r="C664" s="116"/>
      <c r="D664" s="119">
        <v>0.6</v>
      </c>
      <c r="E664" s="116"/>
      <c r="F664" s="114"/>
      <c r="G664" s="114">
        <v>6</v>
      </c>
    </row>
    <row r="665" spans="1:7" x14ac:dyDescent="0.2">
      <c r="A665" s="108" t="s">
        <v>265</v>
      </c>
      <c r="B665" s="108" t="s">
        <v>310</v>
      </c>
      <c r="C665" s="111" t="s">
        <v>270</v>
      </c>
      <c r="D665" s="117">
        <v>0.6</v>
      </c>
      <c r="E665" s="118">
        <v>1</v>
      </c>
      <c r="F665" s="108">
        <v>10</v>
      </c>
      <c r="G665" s="108">
        <v>6</v>
      </c>
    </row>
    <row r="667" spans="1:7" x14ac:dyDescent="0.2">
      <c r="A667" s="114"/>
      <c r="B667" s="114" t="s">
        <v>271</v>
      </c>
      <c r="C667" s="116"/>
      <c r="D667" s="114"/>
      <c r="E667" s="116"/>
      <c r="F667" s="114"/>
      <c r="G667" s="114">
        <v>9.24</v>
      </c>
    </row>
    <row r="668" spans="1:7" x14ac:dyDescent="0.2">
      <c r="B668" s="108" t="s">
        <v>272</v>
      </c>
      <c r="C668" s="111" t="s">
        <v>273</v>
      </c>
      <c r="D668" s="108">
        <v>80</v>
      </c>
      <c r="G668" s="108">
        <v>4.8</v>
      </c>
    </row>
    <row r="669" spans="1:7" x14ac:dyDescent="0.2">
      <c r="B669" s="108" t="s">
        <v>298</v>
      </c>
      <c r="C669" s="111" t="s">
        <v>273</v>
      </c>
      <c r="D669" s="108">
        <v>10</v>
      </c>
      <c r="G669" s="108">
        <v>2.56</v>
      </c>
    </row>
    <row r="670" spans="1:7" x14ac:dyDescent="0.2">
      <c r="B670" s="108" t="s">
        <v>274</v>
      </c>
      <c r="C670" s="111" t="s">
        <v>273</v>
      </c>
      <c r="D670" s="108">
        <v>25</v>
      </c>
      <c r="G670" s="108">
        <v>1.88</v>
      </c>
    </row>
    <row r="672" spans="1:7" x14ac:dyDescent="0.2">
      <c r="A672" s="114"/>
      <c r="B672" s="114" t="s">
        <v>254</v>
      </c>
      <c r="C672" s="116"/>
      <c r="D672" s="114"/>
      <c r="E672" s="116"/>
      <c r="F672" s="114"/>
      <c r="G672" s="114"/>
    </row>
    <row r="673" spans="1:7" x14ac:dyDescent="0.2">
      <c r="B673" s="108" t="s">
        <v>275</v>
      </c>
      <c r="G673" s="108">
        <v>39.1</v>
      </c>
    </row>
    <row r="674" spans="1:7" x14ac:dyDescent="0.2">
      <c r="B674" s="108" t="s">
        <v>276</v>
      </c>
      <c r="G674" s="108">
        <v>9.24</v>
      </c>
    </row>
    <row r="675" spans="1:7" x14ac:dyDescent="0.2">
      <c r="B675" s="108" t="s">
        <v>277</v>
      </c>
      <c r="G675" s="108">
        <v>48.34</v>
      </c>
    </row>
    <row r="676" spans="1:7" x14ac:dyDescent="0.2">
      <c r="B676" s="108" t="s">
        <v>278</v>
      </c>
      <c r="C676" s="111" t="s">
        <v>273</v>
      </c>
      <c r="D676" s="108" t="s">
        <v>279</v>
      </c>
      <c r="G676" s="108">
        <v>4.83</v>
      </c>
    </row>
    <row r="678" spans="1:7" x14ac:dyDescent="0.2">
      <c r="A678" s="112"/>
      <c r="B678" s="112" t="s">
        <v>254</v>
      </c>
      <c r="C678" s="113"/>
      <c r="D678" s="112"/>
      <c r="E678" s="113"/>
      <c r="F678" s="112"/>
      <c r="G678" s="112">
        <v>53.17</v>
      </c>
    </row>
    <row r="680" spans="1:7" x14ac:dyDescent="0.2">
      <c r="A680" s="112" t="s">
        <v>111</v>
      </c>
      <c r="B680" s="112"/>
      <c r="C680" s="113"/>
      <c r="D680" s="112"/>
      <c r="E680" s="113"/>
      <c r="F680" s="112"/>
      <c r="G680" s="112"/>
    </row>
    <row r="681" spans="1:7" x14ac:dyDescent="0.2">
      <c r="A681" s="114" t="s">
        <v>357</v>
      </c>
      <c r="G681" s="115" t="s">
        <v>312</v>
      </c>
    </row>
    <row r="683" spans="1:7" x14ac:dyDescent="0.2">
      <c r="A683" s="114"/>
      <c r="B683" s="114" t="s">
        <v>294</v>
      </c>
      <c r="C683" s="116"/>
      <c r="D683" s="114"/>
      <c r="E683" s="116"/>
      <c r="F683" s="114"/>
      <c r="G683" s="114">
        <v>32.9</v>
      </c>
    </row>
    <row r="684" spans="1:7" x14ac:dyDescent="0.2">
      <c r="A684" s="108" t="s">
        <v>265</v>
      </c>
      <c r="B684" s="108" t="s">
        <v>358</v>
      </c>
      <c r="C684" s="111" t="s">
        <v>317</v>
      </c>
      <c r="D684" s="117">
        <v>1</v>
      </c>
      <c r="E684" s="118">
        <v>1</v>
      </c>
      <c r="F684" s="108">
        <v>15.6</v>
      </c>
      <c r="G684" s="108">
        <v>15.6</v>
      </c>
    </row>
    <row r="685" spans="1:7" x14ac:dyDescent="0.2">
      <c r="A685" s="108" t="s">
        <v>265</v>
      </c>
      <c r="B685" s="108" t="s">
        <v>323</v>
      </c>
      <c r="C685" s="111" t="s">
        <v>317</v>
      </c>
      <c r="D685" s="117">
        <v>1</v>
      </c>
      <c r="E685" s="118">
        <v>1</v>
      </c>
      <c r="F685" s="108">
        <v>1.3</v>
      </c>
      <c r="G685" s="108">
        <v>1.3</v>
      </c>
    </row>
    <row r="686" spans="1:7" x14ac:dyDescent="0.2">
      <c r="A686" s="108" t="s">
        <v>265</v>
      </c>
      <c r="B686" s="108" t="s">
        <v>324</v>
      </c>
      <c r="C686" s="111" t="s">
        <v>317</v>
      </c>
      <c r="D686" s="117">
        <v>8</v>
      </c>
      <c r="E686" s="118">
        <v>1</v>
      </c>
      <c r="F686" s="108">
        <v>2</v>
      </c>
      <c r="G686" s="108">
        <v>16</v>
      </c>
    </row>
    <row r="688" spans="1:7" x14ac:dyDescent="0.2">
      <c r="A688" s="114"/>
      <c r="B688" s="114" t="s">
        <v>268</v>
      </c>
      <c r="C688" s="116"/>
      <c r="D688" s="119">
        <v>0.25</v>
      </c>
      <c r="E688" s="116"/>
      <c r="F688" s="114"/>
      <c r="G688" s="114">
        <v>2.5</v>
      </c>
    </row>
    <row r="689" spans="1:7" x14ac:dyDescent="0.2">
      <c r="A689" s="108" t="s">
        <v>265</v>
      </c>
      <c r="B689" s="108" t="s">
        <v>310</v>
      </c>
      <c r="C689" s="111" t="s">
        <v>270</v>
      </c>
      <c r="D689" s="117">
        <v>0.25</v>
      </c>
      <c r="E689" s="118">
        <v>1</v>
      </c>
      <c r="F689" s="108">
        <v>10</v>
      </c>
      <c r="G689" s="108">
        <v>2.5</v>
      </c>
    </row>
    <row r="691" spans="1:7" x14ac:dyDescent="0.2">
      <c r="A691" s="114"/>
      <c r="B691" s="114" t="s">
        <v>271</v>
      </c>
      <c r="C691" s="116"/>
      <c r="D691" s="114"/>
      <c r="E691" s="116"/>
      <c r="F691" s="114"/>
      <c r="G691" s="114">
        <v>5.29</v>
      </c>
    </row>
    <row r="692" spans="1:7" x14ac:dyDescent="0.2">
      <c r="B692" s="108" t="s">
        <v>272</v>
      </c>
      <c r="C692" s="111" t="s">
        <v>273</v>
      </c>
      <c r="D692" s="108">
        <v>80</v>
      </c>
      <c r="G692" s="108">
        <v>2</v>
      </c>
    </row>
    <row r="693" spans="1:7" x14ac:dyDescent="0.2">
      <c r="B693" s="108" t="s">
        <v>298</v>
      </c>
      <c r="C693" s="111" t="s">
        <v>273</v>
      </c>
      <c r="D693" s="108">
        <v>10</v>
      </c>
      <c r="G693" s="108">
        <v>3.29</v>
      </c>
    </row>
    <row r="695" spans="1:7" x14ac:dyDescent="0.2">
      <c r="A695" s="114"/>
      <c r="B695" s="114" t="s">
        <v>254</v>
      </c>
      <c r="C695" s="116"/>
      <c r="D695" s="114"/>
      <c r="E695" s="116"/>
      <c r="F695" s="114"/>
      <c r="G695" s="114"/>
    </row>
    <row r="696" spans="1:7" x14ac:dyDescent="0.2">
      <c r="B696" s="108" t="s">
        <v>275</v>
      </c>
      <c r="G696" s="108">
        <v>35.4</v>
      </c>
    </row>
    <row r="697" spans="1:7" x14ac:dyDescent="0.2">
      <c r="B697" s="108" t="s">
        <v>276</v>
      </c>
      <c r="G697" s="108">
        <v>5.29</v>
      </c>
    </row>
    <row r="698" spans="1:7" x14ac:dyDescent="0.2">
      <c r="B698" s="108" t="s">
        <v>277</v>
      </c>
      <c r="G698" s="108">
        <v>40.69</v>
      </c>
    </row>
    <row r="699" spans="1:7" x14ac:dyDescent="0.2">
      <c r="B699" s="108" t="s">
        <v>278</v>
      </c>
      <c r="C699" s="111" t="s">
        <v>273</v>
      </c>
      <c r="D699" s="108" t="s">
        <v>279</v>
      </c>
      <c r="G699" s="108">
        <v>4.07</v>
      </c>
    </row>
    <row r="701" spans="1:7" x14ac:dyDescent="0.2">
      <c r="A701" s="112"/>
      <c r="B701" s="112" t="s">
        <v>254</v>
      </c>
      <c r="C701" s="113"/>
      <c r="D701" s="112"/>
      <c r="E701" s="113"/>
      <c r="F701" s="112"/>
      <c r="G701" s="112">
        <v>44.76</v>
      </c>
    </row>
    <row r="703" spans="1:7" x14ac:dyDescent="0.2">
      <c r="A703" s="112" t="s">
        <v>105</v>
      </c>
      <c r="B703" s="112"/>
      <c r="C703" s="113"/>
      <c r="D703" s="112"/>
      <c r="E703" s="113"/>
      <c r="F703" s="112"/>
      <c r="G703" s="112"/>
    </row>
    <row r="704" spans="1:7" x14ac:dyDescent="0.2">
      <c r="A704" s="114" t="s">
        <v>359</v>
      </c>
      <c r="G704" s="115" t="s">
        <v>312</v>
      </c>
    </row>
    <row r="706" spans="1:7" x14ac:dyDescent="0.2">
      <c r="A706" s="114"/>
      <c r="B706" s="114" t="s">
        <v>294</v>
      </c>
      <c r="C706" s="116"/>
      <c r="D706" s="114"/>
      <c r="E706" s="116"/>
      <c r="F706" s="114"/>
      <c r="G706" s="114">
        <v>30.3</v>
      </c>
    </row>
    <row r="707" spans="1:7" x14ac:dyDescent="0.2">
      <c r="A707" s="108" t="s">
        <v>265</v>
      </c>
      <c r="B707" s="108" t="s">
        <v>360</v>
      </c>
      <c r="C707" s="111" t="s">
        <v>317</v>
      </c>
      <c r="D707" s="117">
        <v>1</v>
      </c>
      <c r="E707" s="118">
        <v>1</v>
      </c>
      <c r="F707" s="108">
        <v>30.3</v>
      </c>
      <c r="G707" s="108">
        <v>30.3</v>
      </c>
    </row>
    <row r="709" spans="1:7" x14ac:dyDescent="0.2">
      <c r="A709" s="114"/>
      <c r="B709" s="114" t="s">
        <v>264</v>
      </c>
      <c r="C709" s="116"/>
      <c r="D709" s="114"/>
      <c r="E709" s="116"/>
      <c r="F709" s="114"/>
      <c r="G709" s="114">
        <v>7.5</v>
      </c>
    </row>
    <row r="710" spans="1:7" x14ac:dyDescent="0.2">
      <c r="A710" s="108" t="s">
        <v>265</v>
      </c>
      <c r="B710" s="108" t="s">
        <v>320</v>
      </c>
      <c r="C710" s="111" t="s">
        <v>267</v>
      </c>
      <c r="D710" s="117">
        <v>0.25</v>
      </c>
      <c r="E710" s="118">
        <v>1</v>
      </c>
      <c r="F710" s="108">
        <v>30</v>
      </c>
      <c r="G710" s="108">
        <v>7.5</v>
      </c>
    </row>
    <row r="712" spans="1:7" x14ac:dyDescent="0.2">
      <c r="A712" s="114"/>
      <c r="B712" s="114" t="s">
        <v>268</v>
      </c>
      <c r="C712" s="116"/>
      <c r="D712" s="119">
        <v>0.6</v>
      </c>
      <c r="E712" s="116"/>
      <c r="F712" s="114"/>
      <c r="G712" s="114">
        <v>6</v>
      </c>
    </row>
    <row r="713" spans="1:7" x14ac:dyDescent="0.2">
      <c r="A713" s="108" t="s">
        <v>265</v>
      </c>
      <c r="B713" s="108" t="s">
        <v>310</v>
      </c>
      <c r="C713" s="111" t="s">
        <v>270</v>
      </c>
      <c r="D713" s="117">
        <v>0.6</v>
      </c>
      <c r="E713" s="118">
        <v>1</v>
      </c>
      <c r="F713" s="108">
        <v>10</v>
      </c>
      <c r="G713" s="108">
        <v>6</v>
      </c>
    </row>
    <row r="715" spans="1:7" x14ac:dyDescent="0.2">
      <c r="A715" s="114"/>
      <c r="B715" s="114" t="s">
        <v>271</v>
      </c>
      <c r="C715" s="116"/>
      <c r="D715" s="114"/>
      <c r="E715" s="116"/>
      <c r="F715" s="114"/>
      <c r="G715" s="114">
        <v>9.7100000000000009</v>
      </c>
    </row>
    <row r="716" spans="1:7" x14ac:dyDescent="0.2">
      <c r="B716" s="108" t="s">
        <v>272</v>
      </c>
      <c r="C716" s="111" t="s">
        <v>273</v>
      </c>
      <c r="D716" s="108">
        <v>80</v>
      </c>
      <c r="G716" s="108">
        <v>4.8</v>
      </c>
    </row>
    <row r="717" spans="1:7" x14ac:dyDescent="0.2">
      <c r="B717" s="108" t="s">
        <v>298</v>
      </c>
      <c r="C717" s="111" t="s">
        <v>273</v>
      </c>
      <c r="D717" s="108">
        <v>10</v>
      </c>
      <c r="G717" s="108">
        <v>3.03</v>
      </c>
    </row>
    <row r="718" spans="1:7" x14ac:dyDescent="0.2">
      <c r="B718" s="108" t="s">
        <v>274</v>
      </c>
      <c r="C718" s="111" t="s">
        <v>273</v>
      </c>
      <c r="D718" s="108">
        <v>25</v>
      </c>
      <c r="G718" s="108">
        <v>1.88</v>
      </c>
    </row>
    <row r="720" spans="1:7" x14ac:dyDescent="0.2">
      <c r="A720" s="114"/>
      <c r="B720" s="114" t="s">
        <v>254</v>
      </c>
      <c r="C720" s="116"/>
      <c r="D720" s="114"/>
      <c r="E720" s="116"/>
      <c r="F720" s="114"/>
      <c r="G720" s="114"/>
    </row>
    <row r="721" spans="1:7" x14ac:dyDescent="0.2">
      <c r="B721" s="108" t="s">
        <v>275</v>
      </c>
      <c r="G721" s="108">
        <v>43.8</v>
      </c>
    </row>
    <row r="722" spans="1:7" x14ac:dyDescent="0.2">
      <c r="B722" s="108" t="s">
        <v>276</v>
      </c>
      <c r="G722" s="108">
        <v>9.7100000000000009</v>
      </c>
    </row>
    <row r="723" spans="1:7" x14ac:dyDescent="0.2">
      <c r="B723" s="108" t="s">
        <v>277</v>
      </c>
      <c r="G723" s="108">
        <v>53.51</v>
      </c>
    </row>
    <row r="724" spans="1:7" x14ac:dyDescent="0.2">
      <c r="B724" s="108" t="s">
        <v>278</v>
      </c>
      <c r="C724" s="111" t="s">
        <v>273</v>
      </c>
      <c r="D724" s="108" t="s">
        <v>279</v>
      </c>
      <c r="G724" s="108">
        <v>5.35</v>
      </c>
    </row>
    <row r="726" spans="1:7" x14ac:dyDescent="0.2">
      <c r="A726" s="112"/>
      <c r="B726" s="112" t="s">
        <v>254</v>
      </c>
      <c r="C726" s="113"/>
      <c r="D726" s="112"/>
      <c r="E726" s="113"/>
      <c r="F726" s="112"/>
      <c r="G726" s="112">
        <v>58.86</v>
      </c>
    </row>
    <row r="728" spans="1:7" x14ac:dyDescent="0.2">
      <c r="A728" s="112" t="s">
        <v>106</v>
      </c>
      <c r="B728" s="112"/>
      <c r="C728" s="113"/>
      <c r="D728" s="112"/>
      <c r="E728" s="113"/>
      <c r="F728" s="112"/>
      <c r="G728" s="112"/>
    </row>
    <row r="729" spans="1:7" x14ac:dyDescent="0.2">
      <c r="A729" s="114" t="s">
        <v>361</v>
      </c>
      <c r="G729" s="115" t="s">
        <v>312</v>
      </c>
    </row>
    <row r="731" spans="1:7" x14ac:dyDescent="0.2">
      <c r="A731" s="114"/>
      <c r="B731" s="114" t="s">
        <v>294</v>
      </c>
      <c r="C731" s="116"/>
      <c r="D731" s="114"/>
      <c r="E731" s="116"/>
      <c r="F731" s="114"/>
      <c r="G731" s="114">
        <v>37</v>
      </c>
    </row>
    <row r="732" spans="1:7" x14ac:dyDescent="0.2">
      <c r="A732" s="108" t="s">
        <v>265</v>
      </c>
      <c r="B732" s="108" t="s">
        <v>362</v>
      </c>
      <c r="C732" s="111" t="s">
        <v>317</v>
      </c>
      <c r="D732" s="117">
        <v>1</v>
      </c>
      <c r="E732" s="118">
        <v>1</v>
      </c>
      <c r="F732" s="108">
        <v>19.600000000000001</v>
      </c>
      <c r="G732" s="108">
        <v>19.600000000000001</v>
      </c>
    </row>
    <row r="733" spans="1:7" x14ac:dyDescent="0.2">
      <c r="A733" s="108" t="s">
        <v>265</v>
      </c>
      <c r="B733" s="108" t="s">
        <v>323</v>
      </c>
      <c r="C733" s="111" t="s">
        <v>317</v>
      </c>
      <c r="D733" s="117">
        <v>1</v>
      </c>
      <c r="E733" s="118">
        <v>1</v>
      </c>
      <c r="F733" s="108">
        <v>1.4</v>
      </c>
      <c r="G733" s="108">
        <v>1.4</v>
      </c>
    </row>
    <row r="734" spans="1:7" x14ac:dyDescent="0.2">
      <c r="A734" s="108" t="s">
        <v>265</v>
      </c>
      <c r="B734" s="108" t="s">
        <v>324</v>
      </c>
      <c r="C734" s="111" t="s">
        <v>317</v>
      </c>
      <c r="D734" s="117">
        <v>8</v>
      </c>
      <c r="E734" s="118">
        <v>1</v>
      </c>
      <c r="F734" s="108">
        <v>2</v>
      </c>
      <c r="G734" s="108">
        <v>16</v>
      </c>
    </row>
    <row r="736" spans="1:7" x14ac:dyDescent="0.2">
      <c r="A736" s="114"/>
      <c r="B736" s="114" t="s">
        <v>268</v>
      </c>
      <c r="C736" s="116"/>
      <c r="D736" s="119">
        <v>0.25</v>
      </c>
      <c r="E736" s="116"/>
      <c r="F736" s="114"/>
      <c r="G736" s="114">
        <v>2.5</v>
      </c>
    </row>
    <row r="737" spans="1:7" x14ac:dyDescent="0.2">
      <c r="A737" s="108" t="s">
        <v>265</v>
      </c>
      <c r="B737" s="108" t="s">
        <v>310</v>
      </c>
      <c r="C737" s="111" t="s">
        <v>270</v>
      </c>
      <c r="D737" s="117">
        <v>0.25</v>
      </c>
      <c r="E737" s="118">
        <v>1</v>
      </c>
      <c r="F737" s="108">
        <v>10</v>
      </c>
      <c r="G737" s="108">
        <v>2.5</v>
      </c>
    </row>
    <row r="739" spans="1:7" x14ac:dyDescent="0.2">
      <c r="A739" s="114"/>
      <c r="B739" s="114" t="s">
        <v>271</v>
      </c>
      <c r="C739" s="116"/>
      <c r="D739" s="114"/>
      <c r="E739" s="116"/>
      <c r="F739" s="114"/>
      <c r="G739" s="114">
        <v>5.7</v>
      </c>
    </row>
    <row r="740" spans="1:7" x14ac:dyDescent="0.2">
      <c r="B740" s="108" t="s">
        <v>272</v>
      </c>
      <c r="C740" s="111" t="s">
        <v>273</v>
      </c>
      <c r="D740" s="108">
        <v>80</v>
      </c>
      <c r="G740" s="108">
        <v>2</v>
      </c>
    </row>
    <row r="741" spans="1:7" x14ac:dyDescent="0.2">
      <c r="B741" s="108" t="s">
        <v>298</v>
      </c>
      <c r="C741" s="111" t="s">
        <v>273</v>
      </c>
      <c r="D741" s="108">
        <v>10</v>
      </c>
      <c r="G741" s="108">
        <v>3.7</v>
      </c>
    </row>
    <row r="743" spans="1:7" x14ac:dyDescent="0.2">
      <c r="A743" s="114"/>
      <c r="B743" s="114" t="s">
        <v>254</v>
      </c>
      <c r="C743" s="116"/>
      <c r="D743" s="114"/>
      <c r="E743" s="116"/>
      <c r="F743" s="114"/>
      <c r="G743" s="114"/>
    </row>
    <row r="744" spans="1:7" x14ac:dyDescent="0.2">
      <c r="B744" s="108" t="s">
        <v>275</v>
      </c>
      <c r="G744" s="108">
        <v>39.5</v>
      </c>
    </row>
    <row r="745" spans="1:7" x14ac:dyDescent="0.2">
      <c r="B745" s="108" t="s">
        <v>276</v>
      </c>
      <c r="G745" s="108">
        <v>5.7</v>
      </c>
    </row>
    <row r="746" spans="1:7" x14ac:dyDescent="0.2">
      <c r="B746" s="108" t="s">
        <v>277</v>
      </c>
      <c r="G746" s="108">
        <v>45.2</v>
      </c>
    </row>
    <row r="747" spans="1:7" x14ac:dyDescent="0.2">
      <c r="B747" s="108" t="s">
        <v>278</v>
      </c>
      <c r="C747" s="111" t="s">
        <v>273</v>
      </c>
      <c r="D747" s="108" t="s">
        <v>279</v>
      </c>
      <c r="G747" s="108">
        <v>4.5199999999999996</v>
      </c>
    </row>
    <row r="749" spans="1:7" x14ac:dyDescent="0.2">
      <c r="A749" s="112"/>
      <c r="B749" s="112" t="s">
        <v>254</v>
      </c>
      <c r="C749" s="113"/>
      <c r="D749" s="112"/>
      <c r="E749" s="113"/>
      <c r="F749" s="112"/>
      <c r="G749" s="112">
        <v>49.72</v>
      </c>
    </row>
    <row r="751" spans="1:7" x14ac:dyDescent="0.2">
      <c r="A751" s="112" t="s">
        <v>25</v>
      </c>
      <c r="B751" s="112"/>
      <c r="C751" s="113"/>
      <c r="D751" s="112"/>
      <c r="E751" s="113"/>
      <c r="F751" s="112"/>
      <c r="G751" s="112"/>
    </row>
    <row r="752" spans="1:7" x14ac:dyDescent="0.2">
      <c r="A752" s="114" t="s">
        <v>363</v>
      </c>
      <c r="G752" s="115" t="s">
        <v>312</v>
      </c>
    </row>
    <row r="754" spans="1:7" x14ac:dyDescent="0.2">
      <c r="A754" s="114"/>
      <c r="B754" s="114" t="s">
        <v>294</v>
      </c>
      <c r="C754" s="116"/>
      <c r="D754" s="114"/>
      <c r="E754" s="116"/>
      <c r="F754" s="114"/>
      <c r="G754" s="114">
        <v>1825</v>
      </c>
    </row>
    <row r="755" spans="1:7" x14ac:dyDescent="0.2">
      <c r="A755" s="108" t="s">
        <v>265</v>
      </c>
      <c r="B755" s="108" t="s">
        <v>364</v>
      </c>
      <c r="C755" s="111" t="s">
        <v>317</v>
      </c>
      <c r="D755" s="117">
        <v>1</v>
      </c>
      <c r="E755" s="118">
        <v>1</v>
      </c>
      <c r="F755" s="108">
        <v>1825</v>
      </c>
      <c r="G755" s="108">
        <v>1825</v>
      </c>
    </row>
    <row r="757" spans="1:7" x14ac:dyDescent="0.2">
      <c r="A757" s="114"/>
      <c r="B757" s="114" t="s">
        <v>268</v>
      </c>
      <c r="C757" s="116"/>
      <c r="D757" s="119">
        <v>0.62</v>
      </c>
      <c r="E757" s="116"/>
      <c r="F757" s="114"/>
      <c r="G757" s="114">
        <v>6.2</v>
      </c>
    </row>
    <row r="758" spans="1:7" x14ac:dyDescent="0.2">
      <c r="A758" s="108" t="s">
        <v>265</v>
      </c>
      <c r="B758" s="108" t="s">
        <v>310</v>
      </c>
      <c r="C758" s="111" t="s">
        <v>270</v>
      </c>
      <c r="D758" s="117">
        <v>0.62</v>
      </c>
      <c r="E758" s="118">
        <v>1</v>
      </c>
      <c r="F758" s="108">
        <v>10</v>
      </c>
      <c r="G758" s="108">
        <v>6.2</v>
      </c>
    </row>
    <row r="760" spans="1:7" x14ac:dyDescent="0.2">
      <c r="A760" s="114"/>
      <c r="B760" s="114" t="s">
        <v>271</v>
      </c>
      <c r="C760" s="116"/>
      <c r="D760" s="114"/>
      <c r="E760" s="116"/>
      <c r="F760" s="114"/>
      <c r="G760" s="114">
        <v>187.46</v>
      </c>
    </row>
    <row r="761" spans="1:7" x14ac:dyDescent="0.2">
      <c r="B761" s="108" t="s">
        <v>272</v>
      </c>
      <c r="C761" s="111" t="s">
        <v>273</v>
      </c>
      <c r="D761" s="108">
        <v>80</v>
      </c>
      <c r="G761" s="108">
        <v>4.96</v>
      </c>
    </row>
    <row r="762" spans="1:7" x14ac:dyDescent="0.2">
      <c r="B762" s="108" t="s">
        <v>298</v>
      </c>
      <c r="C762" s="111" t="s">
        <v>273</v>
      </c>
      <c r="D762" s="108">
        <v>10</v>
      </c>
      <c r="G762" s="108">
        <v>182.5</v>
      </c>
    </row>
    <row r="764" spans="1:7" x14ac:dyDescent="0.2">
      <c r="A764" s="114"/>
      <c r="B764" s="114" t="s">
        <v>254</v>
      </c>
      <c r="C764" s="116"/>
      <c r="D764" s="114"/>
      <c r="E764" s="116"/>
      <c r="F764" s="114"/>
      <c r="G764" s="114"/>
    </row>
    <row r="765" spans="1:7" x14ac:dyDescent="0.2">
      <c r="B765" s="108" t="s">
        <v>275</v>
      </c>
      <c r="G765" s="108">
        <v>1831.2</v>
      </c>
    </row>
    <row r="766" spans="1:7" x14ac:dyDescent="0.2">
      <c r="B766" s="108" t="s">
        <v>276</v>
      </c>
      <c r="G766" s="108">
        <v>187.46</v>
      </c>
    </row>
    <row r="767" spans="1:7" x14ac:dyDescent="0.2">
      <c r="B767" s="108" t="s">
        <v>277</v>
      </c>
      <c r="G767" s="108">
        <v>2018.66</v>
      </c>
    </row>
    <row r="768" spans="1:7" x14ac:dyDescent="0.2">
      <c r="B768" s="108" t="s">
        <v>278</v>
      </c>
      <c r="C768" s="111" t="s">
        <v>273</v>
      </c>
      <c r="D768" s="108" t="s">
        <v>279</v>
      </c>
      <c r="G768" s="108">
        <v>201.87</v>
      </c>
    </row>
    <row r="770" spans="1:7" x14ac:dyDescent="0.2">
      <c r="A770" s="112"/>
      <c r="B770" s="112" t="s">
        <v>254</v>
      </c>
      <c r="C770" s="113"/>
      <c r="D770" s="112"/>
      <c r="E770" s="113"/>
      <c r="F770" s="112"/>
      <c r="G770" s="112">
        <v>2220.5300000000002</v>
      </c>
    </row>
    <row r="772" spans="1:7" x14ac:dyDescent="0.2">
      <c r="A772" s="112" t="s">
        <v>26</v>
      </c>
      <c r="B772" s="112"/>
      <c r="C772" s="113"/>
      <c r="D772" s="112"/>
      <c r="E772" s="113"/>
      <c r="F772" s="112"/>
      <c r="G772" s="112"/>
    </row>
    <row r="773" spans="1:7" x14ac:dyDescent="0.2">
      <c r="A773" s="114" t="s">
        <v>365</v>
      </c>
      <c r="G773" s="115" t="s">
        <v>312</v>
      </c>
    </row>
    <row r="775" spans="1:7" x14ac:dyDescent="0.2">
      <c r="A775" s="114"/>
      <c r="B775" s="114" t="s">
        <v>294</v>
      </c>
      <c r="C775" s="116"/>
      <c r="D775" s="114"/>
      <c r="E775" s="116"/>
      <c r="F775" s="114"/>
      <c r="G775" s="114">
        <v>1100</v>
      </c>
    </row>
    <row r="776" spans="1:7" x14ac:dyDescent="0.2">
      <c r="A776" s="108" t="s">
        <v>265</v>
      </c>
      <c r="B776" s="108" t="s">
        <v>366</v>
      </c>
      <c r="C776" s="111" t="s">
        <v>317</v>
      </c>
      <c r="D776" s="117">
        <v>1</v>
      </c>
      <c r="E776" s="118">
        <v>1</v>
      </c>
      <c r="F776" s="108">
        <v>1100</v>
      </c>
      <c r="G776" s="108">
        <v>1100</v>
      </c>
    </row>
    <row r="778" spans="1:7" x14ac:dyDescent="0.2">
      <c r="A778" s="114"/>
      <c r="B778" s="114" t="s">
        <v>268</v>
      </c>
      <c r="C778" s="116"/>
      <c r="D778" s="119">
        <v>0.62</v>
      </c>
      <c r="E778" s="116"/>
      <c r="F778" s="114"/>
      <c r="G778" s="114">
        <v>6.2</v>
      </c>
    </row>
    <row r="779" spans="1:7" x14ac:dyDescent="0.2">
      <c r="A779" s="108" t="s">
        <v>265</v>
      </c>
      <c r="B779" s="108" t="s">
        <v>310</v>
      </c>
      <c r="C779" s="111" t="s">
        <v>270</v>
      </c>
      <c r="D779" s="117">
        <v>0.62</v>
      </c>
      <c r="E779" s="118">
        <v>1</v>
      </c>
      <c r="F779" s="108">
        <v>10</v>
      </c>
      <c r="G779" s="108">
        <v>6.2</v>
      </c>
    </row>
    <row r="781" spans="1:7" x14ac:dyDescent="0.2">
      <c r="A781" s="114"/>
      <c r="B781" s="114" t="s">
        <v>271</v>
      </c>
      <c r="C781" s="116"/>
      <c r="D781" s="114"/>
      <c r="E781" s="116"/>
      <c r="F781" s="114"/>
      <c r="G781" s="114">
        <v>114.96</v>
      </c>
    </row>
    <row r="782" spans="1:7" x14ac:dyDescent="0.2">
      <c r="B782" s="108" t="s">
        <v>272</v>
      </c>
      <c r="C782" s="111" t="s">
        <v>273</v>
      </c>
      <c r="D782" s="108">
        <v>80</v>
      </c>
      <c r="G782" s="108">
        <v>4.96</v>
      </c>
    </row>
    <row r="783" spans="1:7" x14ac:dyDescent="0.2">
      <c r="B783" s="108" t="s">
        <v>298</v>
      </c>
      <c r="C783" s="111" t="s">
        <v>273</v>
      </c>
      <c r="D783" s="108">
        <v>10</v>
      </c>
      <c r="G783" s="108">
        <v>110</v>
      </c>
    </row>
    <row r="785" spans="1:7" x14ac:dyDescent="0.2">
      <c r="A785" s="114"/>
      <c r="B785" s="114" t="s">
        <v>254</v>
      </c>
      <c r="C785" s="116"/>
      <c r="D785" s="114"/>
      <c r="E785" s="116"/>
      <c r="F785" s="114"/>
      <c r="G785" s="114"/>
    </row>
    <row r="786" spans="1:7" x14ac:dyDescent="0.2">
      <c r="B786" s="108" t="s">
        <v>275</v>
      </c>
      <c r="G786" s="108">
        <v>1106.2</v>
      </c>
    </row>
    <row r="787" spans="1:7" x14ac:dyDescent="0.2">
      <c r="B787" s="108" t="s">
        <v>276</v>
      </c>
      <c r="G787" s="108">
        <v>114.96</v>
      </c>
    </row>
    <row r="788" spans="1:7" x14ac:dyDescent="0.2">
      <c r="B788" s="108" t="s">
        <v>277</v>
      </c>
      <c r="G788" s="108">
        <v>1221.1600000000001</v>
      </c>
    </row>
    <row r="789" spans="1:7" x14ac:dyDescent="0.2">
      <c r="B789" s="108" t="s">
        <v>278</v>
      </c>
      <c r="C789" s="111" t="s">
        <v>273</v>
      </c>
      <c r="D789" s="108" t="s">
        <v>279</v>
      </c>
      <c r="G789" s="108">
        <v>122.12</v>
      </c>
    </row>
    <row r="791" spans="1:7" x14ac:dyDescent="0.2">
      <c r="A791" s="112"/>
      <c r="B791" s="112" t="s">
        <v>254</v>
      </c>
      <c r="C791" s="113"/>
      <c r="D791" s="112"/>
      <c r="E791" s="113"/>
      <c r="F791" s="112"/>
      <c r="G791" s="112">
        <v>1343.28</v>
      </c>
    </row>
    <row r="793" spans="1:7" x14ac:dyDescent="0.2">
      <c r="A793" s="112" t="s">
        <v>40</v>
      </c>
      <c r="B793" s="112"/>
      <c r="C793" s="113"/>
      <c r="D793" s="112"/>
      <c r="E793" s="113"/>
      <c r="F793" s="112"/>
      <c r="G793" s="112"/>
    </row>
    <row r="794" spans="1:7" x14ac:dyDescent="0.2">
      <c r="A794" s="114" t="s">
        <v>367</v>
      </c>
      <c r="G794" s="115" t="s">
        <v>312</v>
      </c>
    </row>
    <row r="796" spans="1:7" x14ac:dyDescent="0.2">
      <c r="A796" s="114"/>
      <c r="B796" s="114" t="s">
        <v>294</v>
      </c>
      <c r="C796" s="116"/>
      <c r="D796" s="114"/>
      <c r="E796" s="116"/>
      <c r="F796" s="114"/>
      <c r="G796" s="114">
        <v>114</v>
      </c>
    </row>
    <row r="797" spans="1:7" x14ac:dyDescent="0.2">
      <c r="A797" s="108" t="s">
        <v>265</v>
      </c>
      <c r="B797" s="108" t="s">
        <v>368</v>
      </c>
      <c r="C797" s="111" t="s">
        <v>317</v>
      </c>
      <c r="D797" s="117">
        <v>1</v>
      </c>
      <c r="E797" s="118">
        <v>1</v>
      </c>
      <c r="F797" s="108">
        <v>114</v>
      </c>
      <c r="G797" s="108">
        <v>114</v>
      </c>
    </row>
    <row r="799" spans="1:7" x14ac:dyDescent="0.2">
      <c r="A799" s="114"/>
      <c r="B799" s="114" t="s">
        <v>268</v>
      </c>
      <c r="C799" s="116"/>
      <c r="D799" s="119">
        <v>0.62</v>
      </c>
      <c r="E799" s="116"/>
      <c r="F799" s="114"/>
      <c r="G799" s="114">
        <v>6.2</v>
      </c>
    </row>
    <row r="800" spans="1:7" x14ac:dyDescent="0.2">
      <c r="A800" s="108" t="s">
        <v>265</v>
      </c>
      <c r="B800" s="108" t="s">
        <v>310</v>
      </c>
      <c r="C800" s="111" t="s">
        <v>270</v>
      </c>
      <c r="D800" s="117">
        <v>0.62</v>
      </c>
      <c r="E800" s="118">
        <v>1</v>
      </c>
      <c r="F800" s="108">
        <v>10</v>
      </c>
      <c r="G800" s="108">
        <v>6.2</v>
      </c>
    </row>
    <row r="802" spans="1:7" x14ac:dyDescent="0.2">
      <c r="A802" s="114"/>
      <c r="B802" s="114" t="s">
        <v>271</v>
      </c>
      <c r="C802" s="116"/>
      <c r="D802" s="114"/>
      <c r="E802" s="116"/>
      <c r="F802" s="114"/>
      <c r="G802" s="114">
        <v>16.36</v>
      </c>
    </row>
    <row r="803" spans="1:7" x14ac:dyDescent="0.2">
      <c r="B803" s="108" t="s">
        <v>272</v>
      </c>
      <c r="C803" s="111" t="s">
        <v>273</v>
      </c>
      <c r="D803" s="108">
        <v>80</v>
      </c>
      <c r="G803" s="108">
        <v>4.96</v>
      </c>
    </row>
    <row r="804" spans="1:7" x14ac:dyDescent="0.2">
      <c r="B804" s="108" t="s">
        <v>298</v>
      </c>
      <c r="C804" s="111" t="s">
        <v>273</v>
      </c>
      <c r="D804" s="108">
        <v>10</v>
      </c>
      <c r="G804" s="108">
        <v>11.4</v>
      </c>
    </row>
    <row r="806" spans="1:7" x14ac:dyDescent="0.2">
      <c r="A806" s="114"/>
      <c r="B806" s="114" t="s">
        <v>254</v>
      </c>
      <c r="C806" s="116"/>
      <c r="D806" s="114"/>
      <c r="E806" s="116"/>
      <c r="F806" s="114"/>
      <c r="G806" s="114"/>
    </row>
    <row r="807" spans="1:7" x14ac:dyDescent="0.2">
      <c r="B807" s="108" t="s">
        <v>275</v>
      </c>
      <c r="G807" s="108">
        <v>120.2</v>
      </c>
    </row>
    <row r="808" spans="1:7" x14ac:dyDescent="0.2">
      <c r="B808" s="108" t="s">
        <v>276</v>
      </c>
      <c r="G808" s="108">
        <v>16.36</v>
      </c>
    </row>
    <row r="809" spans="1:7" x14ac:dyDescent="0.2">
      <c r="B809" s="108" t="s">
        <v>277</v>
      </c>
      <c r="G809" s="108">
        <v>136.56</v>
      </c>
    </row>
    <row r="810" spans="1:7" x14ac:dyDescent="0.2">
      <c r="B810" s="108" t="s">
        <v>278</v>
      </c>
      <c r="C810" s="111" t="s">
        <v>273</v>
      </c>
      <c r="D810" s="108" t="s">
        <v>279</v>
      </c>
      <c r="G810" s="108">
        <v>13.66</v>
      </c>
    </row>
    <row r="812" spans="1:7" x14ac:dyDescent="0.2">
      <c r="A812" s="112"/>
      <c r="B812" s="112" t="s">
        <v>254</v>
      </c>
      <c r="C812" s="113"/>
      <c r="D812" s="112"/>
      <c r="E812" s="113"/>
      <c r="F812" s="112"/>
      <c r="G812" s="112">
        <v>150.22</v>
      </c>
    </row>
    <row r="814" spans="1:7" x14ac:dyDescent="0.2">
      <c r="A814" s="112" t="s">
        <v>41</v>
      </c>
      <c r="B814" s="112"/>
      <c r="C814" s="113"/>
      <c r="D814" s="112"/>
      <c r="E814" s="113"/>
      <c r="F814" s="112"/>
      <c r="G814" s="112"/>
    </row>
    <row r="815" spans="1:7" x14ac:dyDescent="0.2">
      <c r="A815" s="114" t="s">
        <v>369</v>
      </c>
      <c r="G815" s="115" t="s">
        <v>312</v>
      </c>
    </row>
    <row r="817" spans="1:7" x14ac:dyDescent="0.2">
      <c r="A817" s="114"/>
      <c r="B817" s="114" t="s">
        <v>294</v>
      </c>
      <c r="C817" s="116"/>
      <c r="D817" s="114"/>
      <c r="E817" s="116"/>
      <c r="F817" s="114"/>
      <c r="G817" s="114">
        <v>52.9</v>
      </c>
    </row>
    <row r="818" spans="1:7" x14ac:dyDescent="0.2">
      <c r="A818" s="108" t="s">
        <v>265</v>
      </c>
      <c r="B818" s="108" t="s">
        <v>370</v>
      </c>
      <c r="C818" s="111" t="s">
        <v>317</v>
      </c>
      <c r="D818" s="117">
        <v>1</v>
      </c>
      <c r="E818" s="118">
        <v>1</v>
      </c>
      <c r="F818" s="108">
        <v>52.9</v>
      </c>
      <c r="G818" s="108">
        <v>52.9</v>
      </c>
    </row>
    <row r="820" spans="1:7" x14ac:dyDescent="0.2">
      <c r="A820" s="114"/>
      <c r="B820" s="114" t="s">
        <v>268</v>
      </c>
      <c r="C820" s="116"/>
      <c r="D820" s="119">
        <v>0.5</v>
      </c>
      <c r="E820" s="116"/>
      <c r="F820" s="114"/>
      <c r="G820" s="114">
        <v>5</v>
      </c>
    </row>
    <row r="821" spans="1:7" x14ac:dyDescent="0.2">
      <c r="A821" s="108" t="s">
        <v>265</v>
      </c>
      <c r="B821" s="108" t="s">
        <v>310</v>
      </c>
      <c r="C821" s="111" t="s">
        <v>270</v>
      </c>
      <c r="D821" s="117">
        <v>0.5</v>
      </c>
      <c r="E821" s="118">
        <v>1</v>
      </c>
      <c r="F821" s="108">
        <v>10</v>
      </c>
      <c r="G821" s="108">
        <v>5</v>
      </c>
    </row>
    <row r="823" spans="1:7" x14ac:dyDescent="0.2">
      <c r="A823" s="114"/>
      <c r="B823" s="114" t="s">
        <v>271</v>
      </c>
      <c r="C823" s="116"/>
      <c r="D823" s="114"/>
      <c r="E823" s="116"/>
      <c r="F823" s="114"/>
      <c r="G823" s="114">
        <v>9.2899999999999991</v>
      </c>
    </row>
    <row r="824" spans="1:7" x14ac:dyDescent="0.2">
      <c r="B824" s="108" t="s">
        <v>272</v>
      </c>
      <c r="C824" s="111" t="s">
        <v>273</v>
      </c>
      <c r="D824" s="108">
        <v>80</v>
      </c>
      <c r="G824" s="108">
        <v>4</v>
      </c>
    </row>
    <row r="825" spans="1:7" x14ac:dyDescent="0.2">
      <c r="B825" s="108" t="s">
        <v>298</v>
      </c>
      <c r="C825" s="111" t="s">
        <v>273</v>
      </c>
      <c r="D825" s="108">
        <v>10</v>
      </c>
      <c r="G825" s="108">
        <v>5.29</v>
      </c>
    </row>
    <row r="827" spans="1:7" x14ac:dyDescent="0.2">
      <c r="A827" s="114"/>
      <c r="B827" s="114" t="s">
        <v>254</v>
      </c>
      <c r="C827" s="116"/>
      <c r="D827" s="114"/>
      <c r="E827" s="116"/>
      <c r="F827" s="114"/>
      <c r="G827" s="114"/>
    </row>
    <row r="828" spans="1:7" x14ac:dyDescent="0.2">
      <c r="B828" s="108" t="s">
        <v>275</v>
      </c>
      <c r="G828" s="108">
        <v>57.9</v>
      </c>
    </row>
    <row r="829" spans="1:7" x14ac:dyDescent="0.2">
      <c r="B829" s="108" t="s">
        <v>276</v>
      </c>
      <c r="G829" s="108">
        <v>9.2899999999999991</v>
      </c>
    </row>
    <row r="830" spans="1:7" x14ac:dyDescent="0.2">
      <c r="B830" s="108" t="s">
        <v>277</v>
      </c>
      <c r="G830" s="108">
        <v>67.19</v>
      </c>
    </row>
    <row r="831" spans="1:7" x14ac:dyDescent="0.2">
      <c r="B831" s="108" t="s">
        <v>278</v>
      </c>
      <c r="C831" s="111" t="s">
        <v>273</v>
      </c>
      <c r="D831" s="108" t="s">
        <v>279</v>
      </c>
      <c r="G831" s="108">
        <v>6.72</v>
      </c>
    </row>
    <row r="833" spans="1:7" x14ac:dyDescent="0.2">
      <c r="A833" s="112"/>
      <c r="B833" s="112" t="s">
        <v>254</v>
      </c>
      <c r="C833" s="113"/>
      <c r="D833" s="112"/>
      <c r="E833" s="113"/>
      <c r="F833" s="112"/>
      <c r="G833" s="112">
        <v>73.91</v>
      </c>
    </row>
    <row r="835" spans="1:7" x14ac:dyDescent="0.2">
      <c r="A835" s="112" t="s">
        <v>74</v>
      </c>
      <c r="B835" s="112"/>
      <c r="C835" s="113"/>
      <c r="D835" s="112"/>
      <c r="E835" s="113"/>
      <c r="F835" s="112"/>
      <c r="G835" s="112"/>
    </row>
    <row r="836" spans="1:7" x14ac:dyDescent="0.2">
      <c r="A836" s="114" t="s">
        <v>371</v>
      </c>
      <c r="G836" s="115" t="s">
        <v>312</v>
      </c>
    </row>
    <row r="838" spans="1:7" x14ac:dyDescent="0.2">
      <c r="A838" s="114"/>
      <c r="B838" s="114" t="s">
        <v>294</v>
      </c>
      <c r="C838" s="116"/>
      <c r="D838" s="114"/>
      <c r="E838" s="116"/>
      <c r="F838" s="114"/>
      <c r="G838" s="114">
        <v>174</v>
      </c>
    </row>
    <row r="839" spans="1:7" x14ac:dyDescent="0.2">
      <c r="A839" s="108" t="s">
        <v>265</v>
      </c>
      <c r="B839" s="108" t="s">
        <v>372</v>
      </c>
      <c r="C839" s="111" t="s">
        <v>317</v>
      </c>
      <c r="D839" s="117">
        <v>1</v>
      </c>
      <c r="E839" s="118">
        <v>1</v>
      </c>
      <c r="F839" s="108">
        <v>174</v>
      </c>
      <c r="G839" s="108">
        <v>174</v>
      </c>
    </row>
    <row r="841" spans="1:7" x14ac:dyDescent="0.2">
      <c r="A841" s="114"/>
      <c r="B841" s="114" t="s">
        <v>268</v>
      </c>
      <c r="C841" s="116"/>
      <c r="D841" s="119">
        <v>0.62</v>
      </c>
      <c r="E841" s="116"/>
      <c r="F841" s="114"/>
      <c r="G841" s="114">
        <v>6.2</v>
      </c>
    </row>
    <row r="842" spans="1:7" x14ac:dyDescent="0.2">
      <c r="A842" s="108" t="s">
        <v>265</v>
      </c>
      <c r="B842" s="108" t="s">
        <v>310</v>
      </c>
      <c r="C842" s="111" t="s">
        <v>270</v>
      </c>
      <c r="D842" s="117">
        <v>0.62</v>
      </c>
      <c r="E842" s="118">
        <v>1</v>
      </c>
      <c r="F842" s="108">
        <v>10</v>
      </c>
      <c r="G842" s="108">
        <v>6.2</v>
      </c>
    </row>
    <row r="844" spans="1:7" x14ac:dyDescent="0.2">
      <c r="A844" s="114"/>
      <c r="B844" s="114" t="s">
        <v>271</v>
      </c>
      <c r="C844" s="116"/>
      <c r="D844" s="114"/>
      <c r="E844" s="116"/>
      <c r="F844" s="114"/>
      <c r="G844" s="114">
        <v>22.36</v>
      </c>
    </row>
    <row r="845" spans="1:7" x14ac:dyDescent="0.2">
      <c r="B845" s="108" t="s">
        <v>272</v>
      </c>
      <c r="C845" s="111" t="s">
        <v>273</v>
      </c>
      <c r="D845" s="108">
        <v>80</v>
      </c>
      <c r="G845" s="108">
        <v>4.96</v>
      </c>
    </row>
    <row r="846" spans="1:7" x14ac:dyDescent="0.2">
      <c r="B846" s="108" t="s">
        <v>298</v>
      </c>
      <c r="C846" s="111" t="s">
        <v>273</v>
      </c>
      <c r="D846" s="108">
        <v>10</v>
      </c>
      <c r="G846" s="108">
        <v>17.399999999999999</v>
      </c>
    </row>
    <row r="848" spans="1:7" x14ac:dyDescent="0.2">
      <c r="A848" s="114"/>
      <c r="B848" s="114" t="s">
        <v>254</v>
      </c>
      <c r="C848" s="116"/>
      <c r="D848" s="114"/>
      <c r="E848" s="116"/>
      <c r="F848" s="114"/>
      <c r="G848" s="114"/>
    </row>
    <row r="849" spans="1:7" x14ac:dyDescent="0.2">
      <c r="B849" s="108" t="s">
        <v>275</v>
      </c>
      <c r="G849" s="108">
        <v>180.2</v>
      </c>
    </row>
    <row r="850" spans="1:7" x14ac:dyDescent="0.2">
      <c r="B850" s="108" t="s">
        <v>276</v>
      </c>
      <c r="G850" s="108">
        <v>22.36</v>
      </c>
    </row>
    <row r="851" spans="1:7" x14ac:dyDescent="0.2">
      <c r="B851" s="108" t="s">
        <v>277</v>
      </c>
      <c r="G851" s="108">
        <v>202.56</v>
      </c>
    </row>
    <row r="852" spans="1:7" x14ac:dyDescent="0.2">
      <c r="B852" s="108" t="s">
        <v>278</v>
      </c>
      <c r="C852" s="111" t="s">
        <v>273</v>
      </c>
      <c r="D852" s="108" t="s">
        <v>279</v>
      </c>
      <c r="G852" s="108">
        <v>20.260000000000002</v>
      </c>
    </row>
    <row r="854" spans="1:7" x14ac:dyDescent="0.2">
      <c r="A854" s="112"/>
      <c r="B854" s="112" t="s">
        <v>254</v>
      </c>
      <c r="C854" s="113"/>
      <c r="D854" s="112"/>
      <c r="E854" s="113"/>
      <c r="F854" s="112"/>
      <c r="G854" s="112">
        <v>222.82</v>
      </c>
    </row>
    <row r="856" spans="1:7" x14ac:dyDescent="0.2">
      <c r="A856" s="112" t="s">
        <v>75</v>
      </c>
      <c r="B856" s="112"/>
      <c r="C856" s="113"/>
      <c r="D856" s="112"/>
      <c r="E856" s="113"/>
      <c r="F856" s="112"/>
      <c r="G856" s="112"/>
    </row>
    <row r="857" spans="1:7" x14ac:dyDescent="0.2">
      <c r="A857" s="114" t="s">
        <v>373</v>
      </c>
      <c r="G857" s="115" t="s">
        <v>312</v>
      </c>
    </row>
    <row r="859" spans="1:7" x14ac:dyDescent="0.2">
      <c r="A859" s="114"/>
      <c r="B859" s="114" t="s">
        <v>294</v>
      </c>
      <c r="C859" s="116"/>
      <c r="D859" s="114"/>
      <c r="E859" s="116"/>
      <c r="F859" s="114"/>
      <c r="G859" s="114">
        <v>202</v>
      </c>
    </row>
    <row r="860" spans="1:7" x14ac:dyDescent="0.2">
      <c r="A860" s="108" t="s">
        <v>265</v>
      </c>
      <c r="B860" s="108" t="s">
        <v>374</v>
      </c>
      <c r="C860" s="111" t="s">
        <v>317</v>
      </c>
      <c r="D860" s="117">
        <v>1</v>
      </c>
      <c r="E860" s="118">
        <v>1</v>
      </c>
      <c r="F860" s="108">
        <v>202</v>
      </c>
      <c r="G860" s="108">
        <v>202</v>
      </c>
    </row>
    <row r="862" spans="1:7" x14ac:dyDescent="0.2">
      <c r="A862" s="114"/>
      <c r="B862" s="114" t="s">
        <v>268</v>
      </c>
      <c r="C862" s="116"/>
      <c r="D862" s="119">
        <v>0.62</v>
      </c>
      <c r="E862" s="116"/>
      <c r="F862" s="114"/>
      <c r="G862" s="114">
        <v>6.2</v>
      </c>
    </row>
    <row r="863" spans="1:7" x14ac:dyDescent="0.2">
      <c r="A863" s="108" t="s">
        <v>265</v>
      </c>
      <c r="B863" s="108" t="s">
        <v>310</v>
      </c>
      <c r="C863" s="111" t="s">
        <v>270</v>
      </c>
      <c r="D863" s="117">
        <v>0.62</v>
      </c>
      <c r="E863" s="118">
        <v>1</v>
      </c>
      <c r="F863" s="108">
        <v>10</v>
      </c>
      <c r="G863" s="108">
        <v>6.2</v>
      </c>
    </row>
    <row r="865" spans="1:7" x14ac:dyDescent="0.2">
      <c r="A865" s="114"/>
      <c r="B865" s="114" t="s">
        <v>271</v>
      </c>
      <c r="C865" s="116"/>
      <c r="D865" s="114"/>
      <c r="E865" s="116"/>
      <c r="F865" s="114"/>
      <c r="G865" s="114">
        <v>25.16</v>
      </c>
    </row>
    <row r="866" spans="1:7" x14ac:dyDescent="0.2">
      <c r="B866" s="108" t="s">
        <v>272</v>
      </c>
      <c r="C866" s="111" t="s">
        <v>273</v>
      </c>
      <c r="D866" s="108">
        <v>80</v>
      </c>
      <c r="G866" s="108">
        <v>4.96</v>
      </c>
    </row>
    <row r="867" spans="1:7" x14ac:dyDescent="0.2">
      <c r="B867" s="108" t="s">
        <v>298</v>
      </c>
      <c r="C867" s="111" t="s">
        <v>273</v>
      </c>
      <c r="D867" s="108">
        <v>10</v>
      </c>
      <c r="G867" s="108">
        <v>20.2</v>
      </c>
    </row>
    <row r="869" spans="1:7" x14ac:dyDescent="0.2">
      <c r="A869" s="114"/>
      <c r="B869" s="114" t="s">
        <v>254</v>
      </c>
      <c r="C869" s="116"/>
      <c r="D869" s="114"/>
      <c r="E869" s="116"/>
      <c r="F869" s="114"/>
      <c r="G869" s="114"/>
    </row>
    <row r="870" spans="1:7" x14ac:dyDescent="0.2">
      <c r="B870" s="108" t="s">
        <v>275</v>
      </c>
      <c r="G870" s="108">
        <v>208.2</v>
      </c>
    </row>
    <row r="871" spans="1:7" x14ac:dyDescent="0.2">
      <c r="B871" s="108" t="s">
        <v>276</v>
      </c>
      <c r="G871" s="108">
        <v>25.16</v>
      </c>
    </row>
    <row r="872" spans="1:7" x14ac:dyDescent="0.2">
      <c r="B872" s="108" t="s">
        <v>277</v>
      </c>
      <c r="G872" s="108">
        <v>233.36</v>
      </c>
    </row>
    <row r="873" spans="1:7" x14ac:dyDescent="0.2">
      <c r="B873" s="108" t="s">
        <v>278</v>
      </c>
      <c r="C873" s="111" t="s">
        <v>273</v>
      </c>
      <c r="D873" s="108" t="s">
        <v>279</v>
      </c>
      <c r="G873" s="108">
        <v>23.34</v>
      </c>
    </row>
    <row r="875" spans="1:7" x14ac:dyDescent="0.2">
      <c r="A875" s="112"/>
      <c r="B875" s="112" t="s">
        <v>254</v>
      </c>
      <c r="C875" s="113"/>
      <c r="D875" s="112"/>
      <c r="E875" s="113"/>
      <c r="F875" s="112"/>
      <c r="G875" s="112">
        <v>256.7</v>
      </c>
    </row>
    <row r="877" spans="1:7" x14ac:dyDescent="0.2">
      <c r="A877" s="112" t="s">
        <v>76</v>
      </c>
      <c r="B877" s="112"/>
      <c r="C877" s="113"/>
      <c r="D877" s="112"/>
      <c r="E877" s="113"/>
      <c r="F877" s="112"/>
      <c r="G877" s="112"/>
    </row>
    <row r="878" spans="1:7" x14ac:dyDescent="0.2">
      <c r="A878" s="114" t="s">
        <v>375</v>
      </c>
      <c r="G878" s="115" t="s">
        <v>312</v>
      </c>
    </row>
    <row r="880" spans="1:7" x14ac:dyDescent="0.2">
      <c r="A880" s="114"/>
      <c r="B880" s="114" t="s">
        <v>294</v>
      </c>
      <c r="C880" s="116"/>
      <c r="D880" s="114"/>
      <c r="E880" s="116"/>
      <c r="F880" s="114"/>
      <c r="G880" s="114">
        <v>115</v>
      </c>
    </row>
    <row r="881" spans="1:7" x14ac:dyDescent="0.2">
      <c r="A881" s="108" t="s">
        <v>265</v>
      </c>
      <c r="B881" s="108" t="s">
        <v>376</v>
      </c>
      <c r="C881" s="111" t="s">
        <v>317</v>
      </c>
      <c r="D881" s="117">
        <v>1</v>
      </c>
      <c r="E881" s="118">
        <v>1</v>
      </c>
      <c r="F881" s="108">
        <v>115</v>
      </c>
      <c r="G881" s="108">
        <v>115</v>
      </c>
    </row>
    <row r="883" spans="1:7" x14ac:dyDescent="0.2">
      <c r="A883" s="114"/>
      <c r="B883" s="114" t="s">
        <v>268</v>
      </c>
      <c r="C883" s="116"/>
      <c r="D883" s="119">
        <v>0.62</v>
      </c>
      <c r="E883" s="116"/>
      <c r="F883" s="114"/>
      <c r="G883" s="114">
        <v>6.2</v>
      </c>
    </row>
    <row r="884" spans="1:7" x14ac:dyDescent="0.2">
      <c r="A884" s="108" t="s">
        <v>265</v>
      </c>
      <c r="B884" s="108" t="s">
        <v>310</v>
      </c>
      <c r="C884" s="111" t="s">
        <v>270</v>
      </c>
      <c r="D884" s="117">
        <v>0.62</v>
      </c>
      <c r="E884" s="118">
        <v>1</v>
      </c>
      <c r="F884" s="108">
        <v>10</v>
      </c>
      <c r="G884" s="108">
        <v>6.2</v>
      </c>
    </row>
    <row r="886" spans="1:7" x14ac:dyDescent="0.2">
      <c r="A886" s="114"/>
      <c r="B886" s="114" t="s">
        <v>271</v>
      </c>
      <c r="C886" s="116"/>
      <c r="D886" s="114"/>
      <c r="E886" s="116"/>
      <c r="F886" s="114"/>
      <c r="G886" s="114">
        <v>16.46</v>
      </c>
    </row>
    <row r="887" spans="1:7" x14ac:dyDescent="0.2">
      <c r="B887" s="108" t="s">
        <v>272</v>
      </c>
      <c r="C887" s="111" t="s">
        <v>273</v>
      </c>
      <c r="D887" s="108">
        <v>80</v>
      </c>
      <c r="G887" s="108">
        <v>4.96</v>
      </c>
    </row>
    <row r="888" spans="1:7" x14ac:dyDescent="0.2">
      <c r="B888" s="108" t="s">
        <v>298</v>
      </c>
      <c r="C888" s="111" t="s">
        <v>273</v>
      </c>
      <c r="D888" s="108">
        <v>10</v>
      </c>
      <c r="G888" s="108">
        <v>11.5</v>
      </c>
    </row>
    <row r="890" spans="1:7" x14ac:dyDescent="0.2">
      <c r="A890" s="114"/>
      <c r="B890" s="114" t="s">
        <v>254</v>
      </c>
      <c r="C890" s="116"/>
      <c r="D890" s="114"/>
      <c r="E890" s="116"/>
      <c r="F890" s="114"/>
      <c r="G890" s="114"/>
    </row>
    <row r="891" spans="1:7" x14ac:dyDescent="0.2">
      <c r="B891" s="108" t="s">
        <v>275</v>
      </c>
      <c r="G891" s="108">
        <v>121.2</v>
      </c>
    </row>
    <row r="892" spans="1:7" x14ac:dyDescent="0.2">
      <c r="B892" s="108" t="s">
        <v>276</v>
      </c>
      <c r="G892" s="108">
        <v>16.46</v>
      </c>
    </row>
    <row r="893" spans="1:7" x14ac:dyDescent="0.2">
      <c r="B893" s="108" t="s">
        <v>277</v>
      </c>
      <c r="G893" s="108">
        <v>137.66</v>
      </c>
    </row>
    <row r="894" spans="1:7" x14ac:dyDescent="0.2">
      <c r="B894" s="108" t="s">
        <v>278</v>
      </c>
      <c r="C894" s="111" t="s">
        <v>273</v>
      </c>
      <c r="D894" s="108" t="s">
        <v>279</v>
      </c>
      <c r="G894" s="108">
        <v>13.77</v>
      </c>
    </row>
    <row r="896" spans="1:7" x14ac:dyDescent="0.2">
      <c r="A896" s="112"/>
      <c r="B896" s="112" t="s">
        <v>254</v>
      </c>
      <c r="C896" s="113"/>
      <c r="D896" s="112"/>
      <c r="E896" s="113"/>
      <c r="F896" s="112"/>
      <c r="G896" s="112">
        <v>151.43</v>
      </c>
    </row>
    <row r="898" spans="1:7" x14ac:dyDescent="0.2">
      <c r="A898" s="112" t="s">
        <v>77</v>
      </c>
      <c r="B898" s="112"/>
      <c r="C898" s="113"/>
      <c r="D898" s="112"/>
      <c r="E898" s="113"/>
      <c r="F898" s="112"/>
      <c r="G898" s="112"/>
    </row>
    <row r="899" spans="1:7" x14ac:dyDescent="0.2">
      <c r="A899" s="114" t="s">
        <v>377</v>
      </c>
      <c r="G899" s="115" t="s">
        <v>312</v>
      </c>
    </row>
    <row r="901" spans="1:7" x14ac:dyDescent="0.2">
      <c r="A901" s="114"/>
      <c r="B901" s="114" t="s">
        <v>294</v>
      </c>
      <c r="C901" s="116"/>
      <c r="D901" s="114"/>
      <c r="E901" s="116"/>
      <c r="F901" s="114"/>
      <c r="G901" s="114">
        <v>90</v>
      </c>
    </row>
    <row r="902" spans="1:7" x14ac:dyDescent="0.2">
      <c r="A902" s="108" t="s">
        <v>265</v>
      </c>
      <c r="B902" s="108" t="s">
        <v>378</v>
      </c>
      <c r="C902" s="111" t="s">
        <v>317</v>
      </c>
      <c r="D902" s="117">
        <v>1</v>
      </c>
      <c r="E902" s="118">
        <v>1</v>
      </c>
      <c r="F902" s="108">
        <v>90</v>
      </c>
      <c r="G902" s="108">
        <v>90</v>
      </c>
    </row>
    <row r="904" spans="1:7" x14ac:dyDescent="0.2">
      <c r="A904" s="114"/>
      <c r="B904" s="114" t="s">
        <v>268</v>
      </c>
      <c r="C904" s="116"/>
      <c r="D904" s="119">
        <v>0.62</v>
      </c>
      <c r="E904" s="116"/>
      <c r="F904" s="114"/>
      <c r="G904" s="114">
        <v>6.2</v>
      </c>
    </row>
    <row r="905" spans="1:7" x14ac:dyDescent="0.2">
      <c r="A905" s="108" t="s">
        <v>265</v>
      </c>
      <c r="B905" s="108" t="s">
        <v>310</v>
      </c>
      <c r="C905" s="111" t="s">
        <v>270</v>
      </c>
      <c r="D905" s="117">
        <v>0.62</v>
      </c>
      <c r="E905" s="118">
        <v>1</v>
      </c>
      <c r="F905" s="108">
        <v>10</v>
      </c>
      <c r="G905" s="108">
        <v>6.2</v>
      </c>
    </row>
    <row r="907" spans="1:7" x14ac:dyDescent="0.2">
      <c r="A907" s="114"/>
      <c r="B907" s="114" t="s">
        <v>271</v>
      </c>
      <c r="C907" s="116"/>
      <c r="D907" s="114"/>
      <c r="E907" s="116"/>
      <c r="F907" s="114"/>
      <c r="G907" s="114">
        <v>13.96</v>
      </c>
    </row>
    <row r="908" spans="1:7" x14ac:dyDescent="0.2">
      <c r="B908" s="108" t="s">
        <v>272</v>
      </c>
      <c r="C908" s="111" t="s">
        <v>273</v>
      </c>
      <c r="D908" s="108">
        <v>80</v>
      </c>
      <c r="G908" s="108">
        <v>4.96</v>
      </c>
    </row>
    <row r="909" spans="1:7" x14ac:dyDescent="0.2">
      <c r="B909" s="108" t="s">
        <v>298</v>
      </c>
      <c r="C909" s="111" t="s">
        <v>273</v>
      </c>
      <c r="D909" s="108">
        <v>10</v>
      </c>
      <c r="G909" s="108">
        <v>9</v>
      </c>
    </row>
    <row r="911" spans="1:7" x14ac:dyDescent="0.2">
      <c r="A911" s="114"/>
      <c r="B911" s="114" t="s">
        <v>254</v>
      </c>
      <c r="C911" s="116"/>
      <c r="D911" s="114"/>
      <c r="E911" s="116"/>
      <c r="F911" s="114"/>
      <c r="G911" s="114"/>
    </row>
    <row r="912" spans="1:7" x14ac:dyDescent="0.2">
      <c r="B912" s="108" t="s">
        <v>275</v>
      </c>
      <c r="G912" s="108">
        <v>96.2</v>
      </c>
    </row>
    <row r="913" spans="1:7" x14ac:dyDescent="0.2">
      <c r="B913" s="108" t="s">
        <v>276</v>
      </c>
      <c r="G913" s="108">
        <v>13.96</v>
      </c>
    </row>
    <row r="914" spans="1:7" x14ac:dyDescent="0.2">
      <c r="B914" s="108" t="s">
        <v>277</v>
      </c>
      <c r="G914" s="108">
        <v>110.16</v>
      </c>
    </row>
    <row r="915" spans="1:7" x14ac:dyDescent="0.2">
      <c r="B915" s="108" t="s">
        <v>278</v>
      </c>
      <c r="C915" s="111" t="s">
        <v>273</v>
      </c>
      <c r="D915" s="108" t="s">
        <v>279</v>
      </c>
      <c r="G915" s="108">
        <v>11.02</v>
      </c>
    </row>
    <row r="917" spans="1:7" x14ac:dyDescent="0.2">
      <c r="A917" s="112"/>
      <c r="B917" s="112" t="s">
        <v>254</v>
      </c>
      <c r="C917" s="113"/>
      <c r="D917" s="112"/>
      <c r="E917" s="113"/>
      <c r="F917" s="112"/>
      <c r="G917" s="112">
        <v>121.18</v>
      </c>
    </row>
    <row r="919" spans="1:7" x14ac:dyDescent="0.2">
      <c r="A919" s="112" t="s">
        <v>78</v>
      </c>
      <c r="B919" s="112"/>
      <c r="C919" s="113"/>
      <c r="D919" s="112"/>
      <c r="E919" s="113"/>
      <c r="F919" s="112"/>
      <c r="G919" s="112"/>
    </row>
    <row r="920" spans="1:7" x14ac:dyDescent="0.2">
      <c r="A920" s="114" t="s">
        <v>379</v>
      </c>
      <c r="G920" s="115" t="s">
        <v>312</v>
      </c>
    </row>
    <row r="922" spans="1:7" x14ac:dyDescent="0.2">
      <c r="A922" s="114"/>
      <c r="B922" s="114" t="s">
        <v>294</v>
      </c>
      <c r="C922" s="116"/>
      <c r="D922" s="114"/>
      <c r="E922" s="116"/>
      <c r="F922" s="114"/>
      <c r="G922" s="114">
        <v>77</v>
      </c>
    </row>
    <row r="923" spans="1:7" x14ac:dyDescent="0.2">
      <c r="A923" s="108" t="s">
        <v>265</v>
      </c>
      <c r="B923" s="108" t="s">
        <v>380</v>
      </c>
      <c r="C923" s="111" t="s">
        <v>317</v>
      </c>
      <c r="D923" s="117">
        <v>1</v>
      </c>
      <c r="E923" s="118">
        <v>1</v>
      </c>
      <c r="F923" s="108">
        <v>77</v>
      </c>
      <c r="G923" s="108">
        <v>77</v>
      </c>
    </row>
    <row r="925" spans="1:7" x14ac:dyDescent="0.2">
      <c r="A925" s="114"/>
      <c r="B925" s="114" t="s">
        <v>268</v>
      </c>
      <c r="C925" s="116"/>
      <c r="D925" s="119">
        <v>0.62</v>
      </c>
      <c r="E925" s="116"/>
      <c r="F925" s="114"/>
      <c r="G925" s="114">
        <v>6.2</v>
      </c>
    </row>
    <row r="926" spans="1:7" x14ac:dyDescent="0.2">
      <c r="A926" s="108" t="s">
        <v>265</v>
      </c>
      <c r="B926" s="108" t="s">
        <v>310</v>
      </c>
      <c r="C926" s="111" t="s">
        <v>270</v>
      </c>
      <c r="D926" s="117">
        <v>0.62</v>
      </c>
      <c r="E926" s="118">
        <v>1</v>
      </c>
      <c r="F926" s="108">
        <v>10</v>
      </c>
      <c r="G926" s="108">
        <v>6.2</v>
      </c>
    </row>
    <row r="928" spans="1:7" x14ac:dyDescent="0.2">
      <c r="A928" s="114"/>
      <c r="B928" s="114" t="s">
        <v>271</v>
      </c>
      <c r="C928" s="116"/>
      <c r="D928" s="114"/>
      <c r="E928" s="116"/>
      <c r="F928" s="114"/>
      <c r="G928" s="114">
        <v>12.66</v>
      </c>
    </row>
    <row r="929" spans="1:7" x14ac:dyDescent="0.2">
      <c r="B929" s="108" t="s">
        <v>272</v>
      </c>
      <c r="C929" s="111" t="s">
        <v>273</v>
      </c>
      <c r="D929" s="108">
        <v>80</v>
      </c>
      <c r="G929" s="108">
        <v>4.96</v>
      </c>
    </row>
    <row r="930" spans="1:7" x14ac:dyDescent="0.2">
      <c r="B930" s="108" t="s">
        <v>298</v>
      </c>
      <c r="C930" s="111" t="s">
        <v>273</v>
      </c>
      <c r="D930" s="108">
        <v>10</v>
      </c>
      <c r="G930" s="108">
        <v>7.7</v>
      </c>
    </row>
    <row r="932" spans="1:7" x14ac:dyDescent="0.2">
      <c r="A932" s="114"/>
      <c r="B932" s="114" t="s">
        <v>254</v>
      </c>
      <c r="C932" s="116"/>
      <c r="D932" s="114"/>
      <c r="E932" s="116"/>
      <c r="F932" s="114"/>
      <c r="G932" s="114"/>
    </row>
    <row r="933" spans="1:7" x14ac:dyDescent="0.2">
      <c r="B933" s="108" t="s">
        <v>275</v>
      </c>
      <c r="G933" s="108">
        <v>83.2</v>
      </c>
    </row>
    <row r="934" spans="1:7" x14ac:dyDescent="0.2">
      <c r="B934" s="108" t="s">
        <v>276</v>
      </c>
      <c r="G934" s="108">
        <v>12.66</v>
      </c>
    </row>
    <row r="935" spans="1:7" x14ac:dyDescent="0.2">
      <c r="B935" s="108" t="s">
        <v>277</v>
      </c>
      <c r="G935" s="108">
        <v>95.86</v>
      </c>
    </row>
    <row r="936" spans="1:7" x14ac:dyDescent="0.2">
      <c r="B936" s="108" t="s">
        <v>278</v>
      </c>
      <c r="C936" s="111" t="s">
        <v>273</v>
      </c>
      <c r="D936" s="108" t="s">
        <v>279</v>
      </c>
      <c r="G936" s="108">
        <v>9.59</v>
      </c>
    </row>
    <row r="938" spans="1:7" x14ac:dyDescent="0.2">
      <c r="A938" s="112"/>
      <c r="B938" s="112" t="s">
        <v>254</v>
      </c>
      <c r="C938" s="113"/>
      <c r="D938" s="112"/>
      <c r="E938" s="113"/>
      <c r="F938" s="112"/>
      <c r="G938" s="112">
        <v>105.45</v>
      </c>
    </row>
    <row r="940" spans="1:7" x14ac:dyDescent="0.2">
      <c r="A940" s="112" t="s">
        <v>79</v>
      </c>
      <c r="B940" s="112"/>
      <c r="C940" s="113"/>
      <c r="D940" s="112"/>
      <c r="E940" s="113"/>
      <c r="F940" s="112"/>
      <c r="G940" s="112"/>
    </row>
    <row r="941" spans="1:7" x14ac:dyDescent="0.2">
      <c r="A941" s="114" t="s">
        <v>381</v>
      </c>
      <c r="G941" s="115" t="s">
        <v>312</v>
      </c>
    </row>
    <row r="943" spans="1:7" x14ac:dyDescent="0.2">
      <c r="A943" s="114"/>
      <c r="B943" s="114" t="s">
        <v>294</v>
      </c>
      <c r="C943" s="116"/>
      <c r="D943" s="114"/>
      <c r="E943" s="116"/>
      <c r="F943" s="114"/>
      <c r="G943" s="114">
        <v>79</v>
      </c>
    </row>
    <row r="944" spans="1:7" x14ac:dyDescent="0.2">
      <c r="A944" s="108" t="s">
        <v>265</v>
      </c>
      <c r="B944" s="108" t="s">
        <v>382</v>
      </c>
      <c r="C944" s="111" t="s">
        <v>317</v>
      </c>
      <c r="D944" s="117">
        <v>1</v>
      </c>
      <c r="E944" s="118">
        <v>1</v>
      </c>
      <c r="F944" s="108">
        <v>79</v>
      </c>
      <c r="G944" s="108">
        <v>79</v>
      </c>
    </row>
    <row r="946" spans="1:7" x14ac:dyDescent="0.2">
      <c r="A946" s="114"/>
      <c r="B946" s="114" t="s">
        <v>268</v>
      </c>
      <c r="C946" s="116"/>
      <c r="D946" s="119">
        <v>0.62</v>
      </c>
      <c r="E946" s="116"/>
      <c r="F946" s="114"/>
      <c r="G946" s="114">
        <v>6.2</v>
      </c>
    </row>
    <row r="947" spans="1:7" x14ac:dyDescent="0.2">
      <c r="A947" s="108" t="s">
        <v>265</v>
      </c>
      <c r="B947" s="108" t="s">
        <v>310</v>
      </c>
      <c r="C947" s="111" t="s">
        <v>270</v>
      </c>
      <c r="D947" s="117">
        <v>0.62</v>
      </c>
      <c r="E947" s="118">
        <v>1</v>
      </c>
      <c r="F947" s="108">
        <v>10</v>
      </c>
      <c r="G947" s="108">
        <v>6.2</v>
      </c>
    </row>
    <row r="949" spans="1:7" x14ac:dyDescent="0.2">
      <c r="A949" s="114"/>
      <c r="B949" s="114" t="s">
        <v>271</v>
      </c>
      <c r="C949" s="116"/>
      <c r="D949" s="114"/>
      <c r="E949" s="116"/>
      <c r="F949" s="114"/>
      <c r="G949" s="114">
        <v>12.86</v>
      </c>
    </row>
    <row r="950" spans="1:7" x14ac:dyDescent="0.2">
      <c r="B950" s="108" t="s">
        <v>272</v>
      </c>
      <c r="C950" s="111" t="s">
        <v>273</v>
      </c>
      <c r="D950" s="108">
        <v>80</v>
      </c>
      <c r="G950" s="108">
        <v>4.96</v>
      </c>
    </row>
    <row r="951" spans="1:7" x14ac:dyDescent="0.2">
      <c r="B951" s="108" t="s">
        <v>298</v>
      </c>
      <c r="C951" s="111" t="s">
        <v>273</v>
      </c>
      <c r="D951" s="108">
        <v>10</v>
      </c>
      <c r="G951" s="108">
        <v>7.9</v>
      </c>
    </row>
    <row r="953" spans="1:7" x14ac:dyDescent="0.2">
      <c r="A953" s="114"/>
      <c r="B953" s="114" t="s">
        <v>254</v>
      </c>
      <c r="C953" s="116"/>
      <c r="D953" s="114"/>
      <c r="E953" s="116"/>
      <c r="F953" s="114"/>
      <c r="G953" s="114"/>
    </row>
    <row r="954" spans="1:7" x14ac:dyDescent="0.2">
      <c r="B954" s="108" t="s">
        <v>275</v>
      </c>
      <c r="G954" s="108">
        <v>85.2</v>
      </c>
    </row>
    <row r="955" spans="1:7" x14ac:dyDescent="0.2">
      <c r="B955" s="108" t="s">
        <v>276</v>
      </c>
      <c r="G955" s="108">
        <v>12.86</v>
      </c>
    </row>
    <row r="956" spans="1:7" x14ac:dyDescent="0.2">
      <c r="B956" s="108" t="s">
        <v>277</v>
      </c>
      <c r="G956" s="108">
        <v>98.06</v>
      </c>
    </row>
    <row r="957" spans="1:7" x14ac:dyDescent="0.2">
      <c r="B957" s="108" t="s">
        <v>278</v>
      </c>
      <c r="C957" s="111" t="s">
        <v>273</v>
      </c>
      <c r="D957" s="108" t="s">
        <v>279</v>
      </c>
      <c r="G957" s="108">
        <v>9.81</v>
      </c>
    </row>
    <row r="959" spans="1:7" x14ac:dyDescent="0.2">
      <c r="A959" s="112"/>
      <c r="B959" s="112" t="s">
        <v>254</v>
      </c>
      <c r="C959" s="113"/>
      <c r="D959" s="112"/>
      <c r="E959" s="113"/>
      <c r="F959" s="112"/>
      <c r="G959" s="112">
        <v>107.87</v>
      </c>
    </row>
    <row r="961" spans="1:7" x14ac:dyDescent="0.2">
      <c r="A961" s="112" t="s">
        <v>80</v>
      </c>
      <c r="B961" s="112"/>
      <c r="C961" s="113"/>
      <c r="D961" s="112"/>
      <c r="E961" s="113"/>
      <c r="F961" s="112"/>
      <c r="G961" s="112"/>
    </row>
    <row r="962" spans="1:7" x14ac:dyDescent="0.2">
      <c r="A962" s="114" t="s">
        <v>383</v>
      </c>
      <c r="G962" s="115" t="s">
        <v>312</v>
      </c>
    </row>
    <row r="964" spans="1:7" x14ac:dyDescent="0.2">
      <c r="A964" s="114"/>
      <c r="B964" s="114" t="s">
        <v>294</v>
      </c>
      <c r="C964" s="116"/>
      <c r="D964" s="114"/>
      <c r="E964" s="116"/>
      <c r="F964" s="114"/>
      <c r="G964" s="114">
        <v>52</v>
      </c>
    </row>
    <row r="965" spans="1:7" x14ac:dyDescent="0.2">
      <c r="A965" s="108" t="s">
        <v>265</v>
      </c>
      <c r="B965" s="108" t="s">
        <v>384</v>
      </c>
      <c r="C965" s="111" t="s">
        <v>317</v>
      </c>
      <c r="D965" s="117">
        <v>1</v>
      </c>
      <c r="E965" s="118">
        <v>1</v>
      </c>
      <c r="F965" s="108">
        <v>52</v>
      </c>
      <c r="G965" s="108">
        <v>52</v>
      </c>
    </row>
    <row r="967" spans="1:7" x14ac:dyDescent="0.2">
      <c r="A967" s="114"/>
      <c r="B967" s="114" t="s">
        <v>268</v>
      </c>
      <c r="C967" s="116"/>
      <c r="D967" s="119">
        <v>0.62</v>
      </c>
      <c r="E967" s="116"/>
      <c r="F967" s="114"/>
      <c r="G967" s="114">
        <v>6.2</v>
      </c>
    </row>
    <row r="968" spans="1:7" x14ac:dyDescent="0.2">
      <c r="A968" s="108" t="s">
        <v>265</v>
      </c>
      <c r="B968" s="108" t="s">
        <v>310</v>
      </c>
      <c r="C968" s="111" t="s">
        <v>270</v>
      </c>
      <c r="D968" s="117">
        <v>0.62</v>
      </c>
      <c r="E968" s="118">
        <v>1</v>
      </c>
      <c r="F968" s="108">
        <v>10</v>
      </c>
      <c r="G968" s="108">
        <v>6.2</v>
      </c>
    </row>
    <row r="970" spans="1:7" x14ac:dyDescent="0.2">
      <c r="A970" s="114"/>
      <c r="B970" s="114" t="s">
        <v>271</v>
      </c>
      <c r="C970" s="116"/>
      <c r="D970" s="114"/>
      <c r="E970" s="116"/>
      <c r="F970" s="114"/>
      <c r="G970" s="114">
        <v>10.16</v>
      </c>
    </row>
    <row r="971" spans="1:7" x14ac:dyDescent="0.2">
      <c r="B971" s="108" t="s">
        <v>272</v>
      </c>
      <c r="C971" s="111" t="s">
        <v>273</v>
      </c>
      <c r="D971" s="108">
        <v>80</v>
      </c>
      <c r="G971" s="108">
        <v>4.96</v>
      </c>
    </row>
    <row r="972" spans="1:7" x14ac:dyDescent="0.2">
      <c r="B972" s="108" t="s">
        <v>298</v>
      </c>
      <c r="C972" s="111" t="s">
        <v>273</v>
      </c>
      <c r="D972" s="108">
        <v>10</v>
      </c>
      <c r="G972" s="108">
        <v>5.2</v>
      </c>
    </row>
    <row r="974" spans="1:7" x14ac:dyDescent="0.2">
      <c r="A974" s="114"/>
      <c r="B974" s="114" t="s">
        <v>254</v>
      </c>
      <c r="C974" s="116"/>
      <c r="D974" s="114"/>
      <c r="E974" s="116"/>
      <c r="F974" s="114"/>
      <c r="G974" s="114"/>
    </row>
    <row r="975" spans="1:7" x14ac:dyDescent="0.2">
      <c r="B975" s="108" t="s">
        <v>275</v>
      </c>
      <c r="G975" s="108">
        <v>58.2</v>
      </c>
    </row>
    <row r="976" spans="1:7" x14ac:dyDescent="0.2">
      <c r="B976" s="108" t="s">
        <v>276</v>
      </c>
      <c r="G976" s="108">
        <v>10.16</v>
      </c>
    </row>
    <row r="977" spans="1:7" x14ac:dyDescent="0.2">
      <c r="B977" s="108" t="s">
        <v>277</v>
      </c>
      <c r="G977" s="108">
        <v>68.36</v>
      </c>
    </row>
    <row r="978" spans="1:7" x14ac:dyDescent="0.2">
      <c r="B978" s="108" t="s">
        <v>278</v>
      </c>
      <c r="C978" s="111" t="s">
        <v>273</v>
      </c>
      <c r="D978" s="108" t="s">
        <v>279</v>
      </c>
      <c r="G978" s="108">
        <v>6.84</v>
      </c>
    </row>
    <row r="980" spans="1:7" x14ac:dyDescent="0.2">
      <c r="A980" s="112"/>
      <c r="B980" s="112" t="s">
        <v>254</v>
      </c>
      <c r="C980" s="113"/>
      <c r="D980" s="112"/>
      <c r="E980" s="113"/>
      <c r="F980" s="112"/>
      <c r="G980" s="112">
        <v>75.2</v>
      </c>
    </row>
    <row r="982" spans="1:7" x14ac:dyDescent="0.2">
      <c r="A982" s="112" t="s">
        <v>81</v>
      </c>
      <c r="B982" s="112"/>
      <c r="C982" s="113"/>
      <c r="D982" s="112"/>
      <c r="E982" s="113"/>
      <c r="F982" s="112"/>
      <c r="G982" s="112"/>
    </row>
    <row r="983" spans="1:7" x14ac:dyDescent="0.2">
      <c r="A983" s="114" t="s">
        <v>385</v>
      </c>
      <c r="G983" s="115" t="s">
        <v>263</v>
      </c>
    </row>
    <row r="985" spans="1:7" x14ac:dyDescent="0.2">
      <c r="A985" s="114"/>
      <c r="B985" s="114" t="s">
        <v>294</v>
      </c>
      <c r="C985" s="116"/>
      <c r="D985" s="114"/>
      <c r="E985" s="116"/>
      <c r="F985" s="114"/>
      <c r="G985" s="114">
        <v>24.6</v>
      </c>
    </row>
    <row r="986" spans="1:7" x14ac:dyDescent="0.2">
      <c r="A986" s="108" t="s">
        <v>265</v>
      </c>
      <c r="B986" s="108" t="s">
        <v>386</v>
      </c>
      <c r="C986" s="111" t="s">
        <v>306</v>
      </c>
      <c r="D986" s="117">
        <v>1</v>
      </c>
      <c r="E986" s="118">
        <v>1</v>
      </c>
      <c r="F986" s="108">
        <v>24.6</v>
      </c>
      <c r="G986" s="108">
        <v>24.6</v>
      </c>
    </row>
    <row r="988" spans="1:7" x14ac:dyDescent="0.2">
      <c r="A988" s="114"/>
      <c r="B988" s="114" t="s">
        <v>264</v>
      </c>
      <c r="C988" s="116"/>
      <c r="D988" s="114"/>
      <c r="E988" s="116"/>
      <c r="F988" s="114"/>
      <c r="G988" s="114">
        <v>4.55</v>
      </c>
    </row>
    <row r="989" spans="1:7" x14ac:dyDescent="0.2">
      <c r="A989" s="108" t="s">
        <v>265</v>
      </c>
      <c r="B989" s="108" t="s">
        <v>309</v>
      </c>
      <c r="C989" s="111" t="s">
        <v>267</v>
      </c>
      <c r="D989" s="117">
        <v>1.8200000000000001E-2</v>
      </c>
      <c r="E989" s="118">
        <v>1</v>
      </c>
      <c r="F989" s="108">
        <v>250</v>
      </c>
      <c r="G989" s="108">
        <v>4.55</v>
      </c>
    </row>
    <row r="991" spans="1:7" x14ac:dyDescent="0.2">
      <c r="A991" s="114"/>
      <c r="B991" s="114" t="s">
        <v>268</v>
      </c>
      <c r="C991" s="116"/>
      <c r="D991" s="119">
        <v>0.5</v>
      </c>
      <c r="E991" s="116"/>
      <c r="F991" s="114"/>
      <c r="G991" s="114">
        <v>5</v>
      </c>
    </row>
    <row r="992" spans="1:7" x14ac:dyDescent="0.2">
      <c r="A992" s="108" t="s">
        <v>265</v>
      </c>
      <c r="B992" s="108" t="s">
        <v>310</v>
      </c>
      <c r="C992" s="111" t="s">
        <v>270</v>
      </c>
      <c r="D992" s="117">
        <v>0.5</v>
      </c>
      <c r="E992" s="118">
        <v>1</v>
      </c>
      <c r="F992" s="108">
        <v>10</v>
      </c>
      <c r="G992" s="108">
        <v>5</v>
      </c>
    </row>
    <row r="994" spans="1:7" x14ac:dyDescent="0.2">
      <c r="A994" s="114"/>
      <c r="B994" s="114" t="s">
        <v>271</v>
      </c>
      <c r="C994" s="116"/>
      <c r="D994" s="114"/>
      <c r="E994" s="116"/>
      <c r="F994" s="114"/>
      <c r="G994" s="114">
        <v>7.6</v>
      </c>
    </row>
    <row r="995" spans="1:7" x14ac:dyDescent="0.2">
      <c r="B995" s="108" t="s">
        <v>272</v>
      </c>
      <c r="C995" s="111" t="s">
        <v>273</v>
      </c>
      <c r="D995" s="108">
        <v>80</v>
      </c>
      <c r="G995" s="108">
        <v>4</v>
      </c>
    </row>
    <row r="996" spans="1:7" x14ac:dyDescent="0.2">
      <c r="B996" s="108" t="s">
        <v>298</v>
      </c>
      <c r="C996" s="111" t="s">
        <v>273</v>
      </c>
      <c r="D996" s="108">
        <v>10</v>
      </c>
      <c r="G996" s="108">
        <v>2.46</v>
      </c>
    </row>
    <row r="997" spans="1:7" x14ac:dyDescent="0.2">
      <c r="B997" s="108" t="s">
        <v>274</v>
      </c>
      <c r="C997" s="111" t="s">
        <v>273</v>
      </c>
      <c r="D997" s="108">
        <v>25</v>
      </c>
      <c r="G997" s="108">
        <v>1.1399999999999999</v>
      </c>
    </row>
    <row r="999" spans="1:7" x14ac:dyDescent="0.2">
      <c r="A999" s="114"/>
      <c r="B999" s="114" t="s">
        <v>254</v>
      </c>
      <c r="C999" s="116"/>
      <c r="D999" s="114"/>
      <c r="E999" s="116"/>
      <c r="F999" s="114"/>
      <c r="G999" s="114"/>
    </row>
    <row r="1000" spans="1:7" x14ac:dyDescent="0.2">
      <c r="B1000" s="108" t="s">
        <v>275</v>
      </c>
      <c r="G1000" s="108">
        <v>34.15</v>
      </c>
    </row>
    <row r="1001" spans="1:7" x14ac:dyDescent="0.2">
      <c r="B1001" s="108" t="s">
        <v>276</v>
      </c>
      <c r="G1001" s="108">
        <v>7.6</v>
      </c>
    </row>
    <row r="1002" spans="1:7" x14ac:dyDescent="0.2">
      <c r="B1002" s="108" t="s">
        <v>277</v>
      </c>
      <c r="G1002" s="108">
        <v>41.75</v>
      </c>
    </row>
    <row r="1003" spans="1:7" x14ac:dyDescent="0.2">
      <c r="B1003" s="108" t="s">
        <v>278</v>
      </c>
      <c r="C1003" s="111" t="s">
        <v>273</v>
      </c>
      <c r="D1003" s="108" t="s">
        <v>279</v>
      </c>
      <c r="G1003" s="108">
        <v>4.18</v>
      </c>
    </row>
    <row r="1005" spans="1:7" x14ac:dyDescent="0.2">
      <c r="A1005" s="112"/>
      <c r="B1005" s="112" t="s">
        <v>254</v>
      </c>
      <c r="C1005" s="113"/>
      <c r="D1005" s="112"/>
      <c r="E1005" s="113"/>
      <c r="F1005" s="112"/>
      <c r="G1005" s="112">
        <v>45.93</v>
      </c>
    </row>
    <row r="1007" spans="1:7" x14ac:dyDescent="0.2">
      <c r="A1007" s="112" t="s">
        <v>82</v>
      </c>
      <c r="B1007" s="112"/>
      <c r="C1007" s="113"/>
      <c r="D1007" s="112"/>
      <c r="E1007" s="113"/>
      <c r="F1007" s="112"/>
      <c r="G1007" s="112"/>
    </row>
    <row r="1008" spans="1:7" x14ac:dyDescent="0.2">
      <c r="A1008" s="114" t="s">
        <v>387</v>
      </c>
      <c r="G1008" s="115" t="s">
        <v>312</v>
      </c>
    </row>
    <row r="1010" spans="1:7" x14ac:dyDescent="0.2">
      <c r="A1010" s="114"/>
      <c r="B1010" s="114" t="s">
        <v>294</v>
      </c>
      <c r="C1010" s="116"/>
      <c r="D1010" s="114"/>
      <c r="E1010" s="116"/>
      <c r="F1010" s="114"/>
      <c r="G1010" s="114">
        <v>56.4</v>
      </c>
    </row>
    <row r="1011" spans="1:7" x14ac:dyDescent="0.2">
      <c r="A1011" s="108" t="s">
        <v>265</v>
      </c>
      <c r="B1011" s="108" t="s">
        <v>388</v>
      </c>
      <c r="C1011" s="111" t="s">
        <v>317</v>
      </c>
      <c r="D1011" s="117">
        <v>1</v>
      </c>
      <c r="E1011" s="118">
        <v>1</v>
      </c>
      <c r="F1011" s="108">
        <v>56.4</v>
      </c>
      <c r="G1011" s="108">
        <v>56.4</v>
      </c>
    </row>
    <row r="1013" spans="1:7" x14ac:dyDescent="0.2">
      <c r="A1013" s="114"/>
      <c r="B1013" s="114" t="s">
        <v>264</v>
      </c>
      <c r="C1013" s="116"/>
      <c r="D1013" s="114"/>
      <c r="E1013" s="116"/>
      <c r="F1013" s="114"/>
      <c r="G1013" s="114">
        <v>6</v>
      </c>
    </row>
    <row r="1014" spans="1:7" x14ac:dyDescent="0.2">
      <c r="A1014" s="108" t="s">
        <v>265</v>
      </c>
      <c r="B1014" s="108" t="s">
        <v>389</v>
      </c>
      <c r="C1014" s="111" t="s">
        <v>267</v>
      </c>
      <c r="D1014" s="117">
        <v>0.3</v>
      </c>
      <c r="E1014" s="118">
        <v>1</v>
      </c>
      <c r="F1014" s="108">
        <v>20</v>
      </c>
      <c r="G1014" s="108">
        <v>6</v>
      </c>
    </row>
    <row r="1016" spans="1:7" x14ac:dyDescent="0.2">
      <c r="A1016" s="114"/>
      <c r="B1016" s="114" t="s">
        <v>268</v>
      </c>
      <c r="C1016" s="116"/>
      <c r="D1016" s="119">
        <v>0.25</v>
      </c>
      <c r="E1016" s="116"/>
      <c r="F1016" s="114"/>
      <c r="G1016" s="114">
        <v>2.5</v>
      </c>
    </row>
    <row r="1017" spans="1:7" x14ac:dyDescent="0.2">
      <c r="A1017" s="108" t="s">
        <v>265</v>
      </c>
      <c r="B1017" s="108" t="s">
        <v>310</v>
      </c>
      <c r="C1017" s="111" t="s">
        <v>270</v>
      </c>
      <c r="D1017" s="117">
        <v>0.25</v>
      </c>
      <c r="E1017" s="118">
        <v>1</v>
      </c>
      <c r="F1017" s="108">
        <v>10</v>
      </c>
      <c r="G1017" s="108">
        <v>2.5</v>
      </c>
    </row>
    <row r="1019" spans="1:7" x14ac:dyDescent="0.2">
      <c r="A1019" s="114"/>
      <c r="B1019" s="114" t="s">
        <v>271</v>
      </c>
      <c r="C1019" s="116"/>
      <c r="D1019" s="114"/>
      <c r="E1019" s="116"/>
      <c r="F1019" s="114"/>
      <c r="G1019" s="114">
        <v>9.14</v>
      </c>
    </row>
    <row r="1020" spans="1:7" x14ac:dyDescent="0.2">
      <c r="B1020" s="108" t="s">
        <v>272</v>
      </c>
      <c r="C1020" s="111" t="s">
        <v>273</v>
      </c>
      <c r="D1020" s="108">
        <v>80</v>
      </c>
      <c r="G1020" s="108">
        <v>2</v>
      </c>
    </row>
    <row r="1021" spans="1:7" x14ac:dyDescent="0.2">
      <c r="B1021" s="108" t="s">
        <v>298</v>
      </c>
      <c r="C1021" s="111" t="s">
        <v>273</v>
      </c>
      <c r="D1021" s="108">
        <v>10</v>
      </c>
      <c r="G1021" s="108">
        <v>5.64</v>
      </c>
    </row>
    <row r="1022" spans="1:7" x14ac:dyDescent="0.2">
      <c r="B1022" s="108" t="s">
        <v>274</v>
      </c>
      <c r="C1022" s="111" t="s">
        <v>273</v>
      </c>
      <c r="D1022" s="108">
        <v>25</v>
      </c>
      <c r="G1022" s="108">
        <v>1.5</v>
      </c>
    </row>
    <row r="1024" spans="1:7" x14ac:dyDescent="0.2">
      <c r="A1024" s="114"/>
      <c r="B1024" s="114" t="s">
        <v>254</v>
      </c>
      <c r="C1024" s="116"/>
      <c r="D1024" s="114"/>
      <c r="E1024" s="116"/>
      <c r="F1024" s="114"/>
      <c r="G1024" s="114"/>
    </row>
    <row r="1025" spans="1:7" x14ac:dyDescent="0.2">
      <c r="B1025" s="108" t="s">
        <v>275</v>
      </c>
      <c r="G1025" s="108">
        <v>64.900000000000006</v>
      </c>
    </row>
    <row r="1026" spans="1:7" x14ac:dyDescent="0.2">
      <c r="B1026" s="108" t="s">
        <v>276</v>
      </c>
      <c r="G1026" s="108">
        <v>9.14</v>
      </c>
    </row>
    <row r="1027" spans="1:7" x14ac:dyDescent="0.2">
      <c r="B1027" s="108" t="s">
        <v>277</v>
      </c>
      <c r="G1027" s="108">
        <v>74.040000000000006</v>
      </c>
    </row>
    <row r="1028" spans="1:7" x14ac:dyDescent="0.2">
      <c r="B1028" s="108" t="s">
        <v>278</v>
      </c>
      <c r="C1028" s="111" t="s">
        <v>273</v>
      </c>
      <c r="D1028" s="108" t="s">
        <v>279</v>
      </c>
      <c r="G1028" s="108">
        <v>7.4</v>
      </c>
    </row>
    <row r="1030" spans="1:7" x14ac:dyDescent="0.2">
      <c r="A1030" s="112"/>
      <c r="B1030" s="112" t="s">
        <v>254</v>
      </c>
      <c r="C1030" s="113"/>
      <c r="D1030" s="112"/>
      <c r="E1030" s="113"/>
      <c r="F1030" s="112"/>
      <c r="G1030" s="112">
        <v>81.44</v>
      </c>
    </row>
    <row r="1032" spans="1:7" x14ac:dyDescent="0.2">
      <c r="A1032" s="112" t="s">
        <v>83</v>
      </c>
      <c r="B1032" s="112"/>
      <c r="C1032" s="113"/>
      <c r="D1032" s="112"/>
      <c r="E1032" s="113"/>
      <c r="F1032" s="112"/>
      <c r="G1032" s="112"/>
    </row>
    <row r="1033" spans="1:7" x14ac:dyDescent="0.2">
      <c r="A1033" s="114" t="s">
        <v>390</v>
      </c>
      <c r="G1033" s="115" t="s">
        <v>312</v>
      </c>
    </row>
    <row r="1035" spans="1:7" x14ac:dyDescent="0.2">
      <c r="A1035" s="114"/>
      <c r="B1035" s="114" t="s">
        <v>294</v>
      </c>
      <c r="C1035" s="116"/>
      <c r="D1035" s="114"/>
      <c r="E1035" s="116"/>
      <c r="F1035" s="114"/>
      <c r="G1035" s="114">
        <v>49.6</v>
      </c>
    </row>
    <row r="1036" spans="1:7" x14ac:dyDescent="0.2">
      <c r="A1036" s="108" t="s">
        <v>265</v>
      </c>
      <c r="B1036" s="108" t="s">
        <v>391</v>
      </c>
      <c r="C1036" s="111" t="s">
        <v>317</v>
      </c>
      <c r="D1036" s="117">
        <v>1</v>
      </c>
      <c r="E1036" s="118">
        <v>1</v>
      </c>
      <c r="F1036" s="108">
        <v>49.6</v>
      </c>
      <c r="G1036" s="108">
        <v>49.6</v>
      </c>
    </row>
    <row r="1038" spans="1:7" x14ac:dyDescent="0.2">
      <c r="A1038" s="114"/>
      <c r="B1038" s="114" t="s">
        <v>264</v>
      </c>
      <c r="C1038" s="116"/>
      <c r="D1038" s="114"/>
      <c r="E1038" s="116"/>
      <c r="F1038" s="114"/>
      <c r="G1038" s="114">
        <v>6</v>
      </c>
    </row>
    <row r="1039" spans="1:7" x14ac:dyDescent="0.2">
      <c r="A1039" s="108" t="s">
        <v>265</v>
      </c>
      <c r="B1039" s="108" t="s">
        <v>389</v>
      </c>
      <c r="C1039" s="111" t="s">
        <v>267</v>
      </c>
      <c r="D1039" s="117">
        <v>0.3</v>
      </c>
      <c r="E1039" s="118">
        <v>1</v>
      </c>
      <c r="F1039" s="108">
        <v>20</v>
      </c>
      <c r="G1039" s="108">
        <v>6</v>
      </c>
    </row>
    <row r="1041" spans="1:7" x14ac:dyDescent="0.2">
      <c r="A1041" s="114"/>
      <c r="B1041" s="114" t="s">
        <v>268</v>
      </c>
      <c r="C1041" s="116"/>
      <c r="D1041" s="119">
        <v>0.25</v>
      </c>
      <c r="E1041" s="116"/>
      <c r="F1041" s="114"/>
      <c r="G1041" s="114">
        <v>2.5</v>
      </c>
    </row>
    <row r="1042" spans="1:7" x14ac:dyDescent="0.2">
      <c r="A1042" s="108" t="s">
        <v>265</v>
      </c>
      <c r="B1042" s="108" t="s">
        <v>310</v>
      </c>
      <c r="C1042" s="111" t="s">
        <v>270</v>
      </c>
      <c r="D1042" s="117">
        <v>0.25</v>
      </c>
      <c r="E1042" s="118">
        <v>1</v>
      </c>
      <c r="F1042" s="108">
        <v>10</v>
      </c>
      <c r="G1042" s="108">
        <v>2.5</v>
      </c>
    </row>
    <row r="1044" spans="1:7" x14ac:dyDescent="0.2">
      <c r="A1044" s="114"/>
      <c r="B1044" s="114" t="s">
        <v>271</v>
      </c>
      <c r="C1044" s="116"/>
      <c r="D1044" s="114"/>
      <c r="E1044" s="116"/>
      <c r="F1044" s="114"/>
      <c r="G1044" s="114">
        <v>8.4600000000000009</v>
      </c>
    </row>
    <row r="1045" spans="1:7" x14ac:dyDescent="0.2">
      <c r="B1045" s="108" t="s">
        <v>272</v>
      </c>
      <c r="C1045" s="111" t="s">
        <v>273</v>
      </c>
      <c r="D1045" s="108">
        <v>80</v>
      </c>
      <c r="G1045" s="108">
        <v>2</v>
      </c>
    </row>
    <row r="1046" spans="1:7" x14ac:dyDescent="0.2">
      <c r="B1046" s="108" t="s">
        <v>298</v>
      </c>
      <c r="C1046" s="111" t="s">
        <v>273</v>
      </c>
      <c r="D1046" s="108">
        <v>10</v>
      </c>
      <c r="G1046" s="108">
        <v>4.96</v>
      </c>
    </row>
    <row r="1047" spans="1:7" x14ac:dyDescent="0.2">
      <c r="B1047" s="108" t="s">
        <v>274</v>
      </c>
      <c r="C1047" s="111" t="s">
        <v>273</v>
      </c>
      <c r="D1047" s="108">
        <v>25</v>
      </c>
      <c r="G1047" s="108">
        <v>1.5</v>
      </c>
    </row>
    <row r="1049" spans="1:7" x14ac:dyDescent="0.2">
      <c r="A1049" s="114"/>
      <c r="B1049" s="114" t="s">
        <v>254</v>
      </c>
      <c r="C1049" s="116"/>
      <c r="D1049" s="114"/>
      <c r="E1049" s="116"/>
      <c r="F1049" s="114"/>
      <c r="G1049" s="114"/>
    </row>
    <row r="1050" spans="1:7" x14ac:dyDescent="0.2">
      <c r="B1050" s="108" t="s">
        <v>275</v>
      </c>
      <c r="G1050" s="108">
        <v>58.1</v>
      </c>
    </row>
    <row r="1051" spans="1:7" x14ac:dyDescent="0.2">
      <c r="B1051" s="108" t="s">
        <v>276</v>
      </c>
      <c r="G1051" s="108">
        <v>8.4600000000000009</v>
      </c>
    </row>
    <row r="1052" spans="1:7" x14ac:dyDescent="0.2">
      <c r="B1052" s="108" t="s">
        <v>277</v>
      </c>
      <c r="G1052" s="108">
        <v>66.56</v>
      </c>
    </row>
    <row r="1053" spans="1:7" x14ac:dyDescent="0.2">
      <c r="B1053" s="108" t="s">
        <v>278</v>
      </c>
      <c r="C1053" s="111" t="s">
        <v>273</v>
      </c>
      <c r="D1053" s="108" t="s">
        <v>279</v>
      </c>
      <c r="G1053" s="108">
        <v>6.66</v>
      </c>
    </row>
    <row r="1055" spans="1:7" x14ac:dyDescent="0.2">
      <c r="A1055" s="112"/>
      <c r="B1055" s="112" t="s">
        <v>254</v>
      </c>
      <c r="C1055" s="113"/>
      <c r="D1055" s="112"/>
      <c r="E1055" s="113"/>
      <c r="F1055" s="112"/>
      <c r="G1055" s="112">
        <v>73.22</v>
      </c>
    </row>
    <row r="1057" spans="1:7" x14ac:dyDescent="0.2">
      <c r="A1057" s="112" t="s">
        <v>89</v>
      </c>
      <c r="B1057" s="112"/>
      <c r="C1057" s="113"/>
      <c r="D1057" s="112"/>
      <c r="E1057" s="113"/>
      <c r="F1057" s="112"/>
      <c r="G1057" s="112"/>
    </row>
    <row r="1058" spans="1:7" x14ac:dyDescent="0.2">
      <c r="A1058" s="114" t="s">
        <v>392</v>
      </c>
      <c r="G1058" s="115" t="s">
        <v>330</v>
      </c>
    </row>
    <row r="1060" spans="1:7" x14ac:dyDescent="0.2">
      <c r="A1060" s="114"/>
      <c r="B1060" s="114" t="s">
        <v>294</v>
      </c>
      <c r="C1060" s="116"/>
      <c r="D1060" s="114"/>
      <c r="E1060" s="116"/>
      <c r="F1060" s="114"/>
      <c r="G1060" s="114">
        <v>112</v>
      </c>
    </row>
    <row r="1061" spans="1:7" x14ac:dyDescent="0.2">
      <c r="A1061" s="108" t="s">
        <v>265</v>
      </c>
      <c r="B1061" s="108" t="s">
        <v>393</v>
      </c>
      <c r="C1061" s="111" t="s">
        <v>306</v>
      </c>
      <c r="D1061" s="117">
        <v>1</v>
      </c>
      <c r="E1061" s="118">
        <v>1</v>
      </c>
      <c r="F1061" s="108">
        <v>112</v>
      </c>
      <c r="G1061" s="108">
        <v>112</v>
      </c>
    </row>
    <row r="1063" spans="1:7" x14ac:dyDescent="0.2">
      <c r="A1063" s="114"/>
      <c r="B1063" s="114" t="s">
        <v>264</v>
      </c>
      <c r="C1063" s="116"/>
      <c r="D1063" s="114"/>
      <c r="E1063" s="116"/>
      <c r="F1063" s="114"/>
      <c r="G1063" s="114">
        <v>4.55</v>
      </c>
    </row>
    <row r="1064" spans="1:7" x14ac:dyDescent="0.2">
      <c r="A1064" s="108" t="s">
        <v>265</v>
      </c>
      <c r="B1064" s="108" t="s">
        <v>309</v>
      </c>
      <c r="C1064" s="111" t="s">
        <v>267</v>
      </c>
      <c r="D1064" s="117">
        <v>1.8200000000000001E-2</v>
      </c>
      <c r="E1064" s="118">
        <v>1</v>
      </c>
      <c r="F1064" s="108">
        <v>250</v>
      </c>
      <c r="G1064" s="108">
        <v>4.55</v>
      </c>
    </row>
    <row r="1066" spans="1:7" x14ac:dyDescent="0.2">
      <c r="A1066" s="114"/>
      <c r="B1066" s="114" t="s">
        <v>268</v>
      </c>
      <c r="C1066" s="116"/>
      <c r="D1066" s="119">
        <v>0.25</v>
      </c>
      <c r="E1066" s="116"/>
      <c r="F1066" s="114"/>
      <c r="G1066" s="114">
        <v>2.5</v>
      </c>
    </row>
    <row r="1067" spans="1:7" x14ac:dyDescent="0.2">
      <c r="A1067" s="108" t="s">
        <v>265</v>
      </c>
      <c r="B1067" s="108" t="s">
        <v>394</v>
      </c>
      <c r="C1067" s="111" t="s">
        <v>270</v>
      </c>
      <c r="D1067" s="117">
        <v>0.25</v>
      </c>
      <c r="E1067" s="118">
        <v>1</v>
      </c>
      <c r="F1067" s="108">
        <v>10</v>
      </c>
      <c r="G1067" s="108">
        <v>2.5</v>
      </c>
    </row>
    <row r="1069" spans="1:7" x14ac:dyDescent="0.2">
      <c r="A1069" s="114"/>
      <c r="B1069" s="114" t="s">
        <v>271</v>
      </c>
      <c r="C1069" s="116"/>
      <c r="D1069" s="114"/>
      <c r="E1069" s="116"/>
      <c r="F1069" s="114"/>
      <c r="G1069" s="114">
        <v>14.34</v>
      </c>
    </row>
    <row r="1070" spans="1:7" x14ac:dyDescent="0.2">
      <c r="B1070" s="108" t="s">
        <v>272</v>
      </c>
      <c r="C1070" s="111" t="s">
        <v>273</v>
      </c>
      <c r="D1070" s="108">
        <v>80</v>
      </c>
      <c r="G1070" s="108">
        <v>2</v>
      </c>
    </row>
    <row r="1071" spans="1:7" x14ac:dyDescent="0.2">
      <c r="B1071" s="108" t="s">
        <v>298</v>
      </c>
      <c r="C1071" s="111" t="s">
        <v>273</v>
      </c>
      <c r="D1071" s="108">
        <v>10</v>
      </c>
      <c r="G1071" s="108">
        <v>11.2</v>
      </c>
    </row>
    <row r="1072" spans="1:7" x14ac:dyDescent="0.2">
      <c r="B1072" s="108" t="s">
        <v>274</v>
      </c>
      <c r="C1072" s="111" t="s">
        <v>273</v>
      </c>
      <c r="D1072" s="108">
        <v>25</v>
      </c>
      <c r="G1072" s="108">
        <v>1.1399999999999999</v>
      </c>
    </row>
    <row r="1074" spans="1:7" x14ac:dyDescent="0.2">
      <c r="A1074" s="114"/>
      <c r="B1074" s="114" t="s">
        <v>254</v>
      </c>
      <c r="C1074" s="116"/>
      <c r="D1074" s="114"/>
      <c r="E1074" s="116"/>
      <c r="F1074" s="114"/>
      <c r="G1074" s="114"/>
    </row>
    <row r="1075" spans="1:7" x14ac:dyDescent="0.2">
      <c r="B1075" s="108" t="s">
        <v>275</v>
      </c>
      <c r="G1075" s="108">
        <v>119.05</v>
      </c>
    </row>
    <row r="1076" spans="1:7" x14ac:dyDescent="0.2">
      <c r="B1076" s="108" t="s">
        <v>276</v>
      </c>
      <c r="G1076" s="108">
        <v>14.34</v>
      </c>
    </row>
    <row r="1077" spans="1:7" x14ac:dyDescent="0.2">
      <c r="B1077" s="108" t="s">
        <v>277</v>
      </c>
      <c r="G1077" s="108">
        <v>133.38999999999999</v>
      </c>
    </row>
    <row r="1078" spans="1:7" x14ac:dyDescent="0.2">
      <c r="B1078" s="108" t="s">
        <v>278</v>
      </c>
      <c r="C1078" s="111" t="s">
        <v>273</v>
      </c>
      <c r="D1078" s="108" t="s">
        <v>279</v>
      </c>
      <c r="G1078" s="108">
        <v>13.34</v>
      </c>
    </row>
    <row r="1080" spans="1:7" x14ac:dyDescent="0.2">
      <c r="A1080" s="112"/>
      <c r="B1080" s="112" t="s">
        <v>254</v>
      </c>
      <c r="C1080" s="113"/>
      <c r="D1080" s="112"/>
      <c r="E1080" s="113"/>
      <c r="F1080" s="112"/>
      <c r="G1080" s="112">
        <v>146.72999999999999</v>
      </c>
    </row>
    <row r="1082" spans="1:7" x14ac:dyDescent="0.2">
      <c r="A1082" s="112" t="s">
        <v>97</v>
      </c>
      <c r="B1082" s="112"/>
      <c r="C1082" s="113"/>
      <c r="D1082" s="112"/>
      <c r="E1082" s="113"/>
      <c r="F1082" s="112"/>
      <c r="G1082" s="112"/>
    </row>
    <row r="1083" spans="1:7" x14ac:dyDescent="0.2">
      <c r="A1083" s="114" t="s">
        <v>395</v>
      </c>
      <c r="G1083" s="115" t="s">
        <v>396</v>
      </c>
    </row>
    <row r="1085" spans="1:7" x14ac:dyDescent="0.2">
      <c r="A1085" s="114"/>
      <c r="B1085" s="114" t="s">
        <v>294</v>
      </c>
      <c r="C1085" s="116"/>
      <c r="D1085" s="114"/>
      <c r="E1085" s="116"/>
      <c r="F1085" s="114"/>
      <c r="G1085" s="114">
        <v>2.1</v>
      </c>
    </row>
    <row r="1086" spans="1:7" x14ac:dyDescent="0.2">
      <c r="A1086" s="108" t="s">
        <v>265</v>
      </c>
      <c r="B1086" s="108" t="s">
        <v>397</v>
      </c>
      <c r="C1086" s="111" t="s">
        <v>306</v>
      </c>
      <c r="D1086" s="117">
        <v>1</v>
      </c>
      <c r="E1086" s="118">
        <v>1</v>
      </c>
      <c r="F1086" s="108">
        <v>2.1</v>
      </c>
      <c r="G1086" s="108">
        <v>2.1</v>
      </c>
    </row>
    <row r="1088" spans="1:7" x14ac:dyDescent="0.2">
      <c r="A1088" s="114"/>
      <c r="B1088" s="114" t="s">
        <v>264</v>
      </c>
      <c r="C1088" s="116"/>
      <c r="D1088" s="114"/>
      <c r="E1088" s="116"/>
      <c r="F1088" s="114"/>
      <c r="G1088" s="114">
        <v>0.35</v>
      </c>
    </row>
    <row r="1089" spans="1:7" x14ac:dyDescent="0.2">
      <c r="A1089" s="108" t="s">
        <v>265</v>
      </c>
      <c r="B1089" s="108" t="s">
        <v>309</v>
      </c>
      <c r="C1089" s="111" t="s">
        <v>267</v>
      </c>
      <c r="D1089" s="117">
        <v>1.4E-3</v>
      </c>
      <c r="E1089" s="118">
        <v>1</v>
      </c>
      <c r="F1089" s="108">
        <v>250</v>
      </c>
      <c r="G1089" s="108">
        <v>0.35</v>
      </c>
    </row>
    <row r="1091" spans="1:7" x14ac:dyDescent="0.2">
      <c r="A1091" s="114"/>
      <c r="B1091" s="114" t="s">
        <v>268</v>
      </c>
      <c r="C1091" s="116"/>
      <c r="D1091" s="119">
        <v>0.05</v>
      </c>
      <c r="E1091" s="116"/>
      <c r="F1091" s="114"/>
      <c r="G1091" s="114">
        <v>0.5</v>
      </c>
    </row>
    <row r="1092" spans="1:7" x14ac:dyDescent="0.2">
      <c r="A1092" s="108" t="s">
        <v>265</v>
      </c>
      <c r="B1092" s="108" t="s">
        <v>310</v>
      </c>
      <c r="C1092" s="111" t="s">
        <v>270</v>
      </c>
      <c r="D1092" s="117">
        <v>0.05</v>
      </c>
      <c r="E1092" s="118">
        <v>1</v>
      </c>
      <c r="F1092" s="108">
        <v>10</v>
      </c>
      <c r="G1092" s="108">
        <v>0.5</v>
      </c>
    </row>
    <row r="1094" spans="1:7" x14ac:dyDescent="0.2">
      <c r="A1094" s="114"/>
      <c r="B1094" s="114" t="s">
        <v>271</v>
      </c>
      <c r="C1094" s="116"/>
      <c r="D1094" s="114"/>
      <c r="E1094" s="116"/>
      <c r="F1094" s="114"/>
      <c r="G1094" s="114">
        <v>0.7</v>
      </c>
    </row>
    <row r="1095" spans="1:7" x14ac:dyDescent="0.2">
      <c r="B1095" s="108" t="s">
        <v>272</v>
      </c>
      <c r="C1095" s="111" t="s">
        <v>273</v>
      </c>
      <c r="D1095" s="108">
        <v>80</v>
      </c>
      <c r="G1095" s="108">
        <v>0.4</v>
      </c>
    </row>
    <row r="1096" spans="1:7" x14ac:dyDescent="0.2">
      <c r="B1096" s="108" t="s">
        <v>298</v>
      </c>
      <c r="C1096" s="111" t="s">
        <v>273</v>
      </c>
      <c r="D1096" s="108">
        <v>10</v>
      </c>
      <c r="G1096" s="108">
        <v>0.21</v>
      </c>
    </row>
    <row r="1097" spans="1:7" x14ac:dyDescent="0.2">
      <c r="B1097" s="108" t="s">
        <v>274</v>
      </c>
      <c r="C1097" s="111" t="s">
        <v>273</v>
      </c>
      <c r="D1097" s="108">
        <v>25</v>
      </c>
      <c r="G1097" s="108">
        <v>0.09</v>
      </c>
    </row>
    <row r="1099" spans="1:7" x14ac:dyDescent="0.2">
      <c r="A1099" s="114"/>
      <c r="B1099" s="114" t="s">
        <v>254</v>
      </c>
      <c r="C1099" s="116"/>
      <c r="D1099" s="114"/>
      <c r="E1099" s="116"/>
      <c r="F1099" s="114"/>
      <c r="G1099" s="114"/>
    </row>
    <row r="1100" spans="1:7" x14ac:dyDescent="0.2">
      <c r="B1100" s="108" t="s">
        <v>275</v>
      </c>
      <c r="G1100" s="108">
        <v>2.95</v>
      </c>
    </row>
    <row r="1101" spans="1:7" x14ac:dyDescent="0.2">
      <c r="B1101" s="108" t="s">
        <v>276</v>
      </c>
      <c r="G1101" s="108">
        <v>0.7</v>
      </c>
    </row>
    <row r="1102" spans="1:7" x14ac:dyDescent="0.2">
      <c r="B1102" s="108" t="s">
        <v>277</v>
      </c>
      <c r="G1102" s="108">
        <v>3.65</v>
      </c>
    </row>
    <row r="1103" spans="1:7" x14ac:dyDescent="0.2">
      <c r="B1103" s="108" t="s">
        <v>278</v>
      </c>
      <c r="C1103" s="111" t="s">
        <v>273</v>
      </c>
      <c r="D1103" s="108" t="s">
        <v>279</v>
      </c>
      <c r="G1103" s="108">
        <v>0.37</v>
      </c>
    </row>
    <row r="1105" spans="1:7" x14ac:dyDescent="0.2">
      <c r="A1105" s="112"/>
      <c r="B1105" s="112" t="s">
        <v>254</v>
      </c>
      <c r="C1105" s="113"/>
      <c r="D1105" s="112"/>
      <c r="E1105" s="113"/>
      <c r="F1105" s="112"/>
      <c r="G1105" s="112">
        <v>4.0199999999999996</v>
      </c>
    </row>
    <row r="1107" spans="1:7" x14ac:dyDescent="0.2">
      <c r="A1107" s="112" t="s">
        <v>17</v>
      </c>
      <c r="B1107" s="112"/>
      <c r="C1107" s="113"/>
      <c r="D1107" s="112"/>
      <c r="E1107" s="113"/>
      <c r="F1107" s="112"/>
      <c r="G1107" s="112"/>
    </row>
    <row r="1108" spans="1:7" x14ac:dyDescent="0.2">
      <c r="A1108" s="114" t="s">
        <v>398</v>
      </c>
      <c r="G1108" s="115" t="s">
        <v>312</v>
      </c>
    </row>
    <row r="1110" spans="1:7" x14ac:dyDescent="0.2">
      <c r="A1110" s="114"/>
      <c r="B1110" s="114" t="s">
        <v>294</v>
      </c>
      <c r="C1110" s="116"/>
      <c r="D1110" s="114"/>
      <c r="E1110" s="116"/>
      <c r="F1110" s="114"/>
      <c r="G1110" s="114">
        <v>98</v>
      </c>
    </row>
    <row r="1111" spans="1:7" x14ac:dyDescent="0.2">
      <c r="A1111" s="108" t="s">
        <v>265</v>
      </c>
      <c r="B1111" s="108" t="s">
        <v>399</v>
      </c>
      <c r="C1111" s="111" t="s">
        <v>317</v>
      </c>
      <c r="D1111" s="117">
        <v>1</v>
      </c>
      <c r="E1111" s="118">
        <v>1</v>
      </c>
      <c r="F1111" s="108">
        <v>98</v>
      </c>
      <c r="G1111" s="108">
        <v>98</v>
      </c>
    </row>
    <row r="1113" spans="1:7" x14ac:dyDescent="0.2">
      <c r="A1113" s="114"/>
      <c r="B1113" s="114" t="s">
        <v>268</v>
      </c>
      <c r="C1113" s="116"/>
      <c r="D1113" s="119">
        <v>0.18</v>
      </c>
      <c r="E1113" s="116"/>
      <c r="F1113" s="114"/>
      <c r="G1113" s="114">
        <v>1.8</v>
      </c>
    </row>
    <row r="1114" spans="1:7" x14ac:dyDescent="0.2">
      <c r="A1114" s="108" t="s">
        <v>265</v>
      </c>
      <c r="B1114" s="108" t="s">
        <v>310</v>
      </c>
      <c r="C1114" s="111" t="s">
        <v>270</v>
      </c>
      <c r="D1114" s="117">
        <v>0.18</v>
      </c>
      <c r="E1114" s="118">
        <v>1</v>
      </c>
      <c r="F1114" s="108">
        <v>10</v>
      </c>
      <c r="G1114" s="108">
        <v>1.8</v>
      </c>
    </row>
    <row r="1116" spans="1:7" x14ac:dyDescent="0.2">
      <c r="A1116" s="114"/>
      <c r="B1116" s="114" t="s">
        <v>271</v>
      </c>
      <c r="C1116" s="116"/>
      <c r="D1116" s="114"/>
      <c r="E1116" s="116"/>
      <c r="F1116" s="114"/>
      <c r="G1116" s="114">
        <v>11.24</v>
      </c>
    </row>
    <row r="1117" spans="1:7" x14ac:dyDescent="0.2">
      <c r="B1117" s="108" t="s">
        <v>272</v>
      </c>
      <c r="C1117" s="111" t="s">
        <v>273</v>
      </c>
      <c r="D1117" s="108">
        <v>80</v>
      </c>
      <c r="G1117" s="108">
        <v>1.44</v>
      </c>
    </row>
    <row r="1118" spans="1:7" x14ac:dyDescent="0.2">
      <c r="B1118" s="108" t="s">
        <v>298</v>
      </c>
      <c r="C1118" s="111" t="s">
        <v>273</v>
      </c>
      <c r="D1118" s="108">
        <v>10</v>
      </c>
      <c r="G1118" s="108">
        <v>9.8000000000000007</v>
      </c>
    </row>
    <row r="1120" spans="1:7" x14ac:dyDescent="0.2">
      <c r="A1120" s="114"/>
      <c r="B1120" s="114" t="s">
        <v>254</v>
      </c>
      <c r="C1120" s="116"/>
      <c r="D1120" s="114"/>
      <c r="E1120" s="116"/>
      <c r="F1120" s="114"/>
      <c r="G1120" s="114"/>
    </row>
    <row r="1121" spans="1:7" x14ac:dyDescent="0.2">
      <c r="B1121" s="108" t="s">
        <v>275</v>
      </c>
      <c r="G1121" s="108">
        <v>99.8</v>
      </c>
    </row>
    <row r="1122" spans="1:7" x14ac:dyDescent="0.2">
      <c r="B1122" s="108" t="s">
        <v>276</v>
      </c>
      <c r="G1122" s="108">
        <v>11.24</v>
      </c>
    </row>
    <row r="1123" spans="1:7" x14ac:dyDescent="0.2">
      <c r="B1123" s="108" t="s">
        <v>277</v>
      </c>
      <c r="G1123" s="108">
        <v>111.04</v>
      </c>
    </row>
    <row r="1124" spans="1:7" x14ac:dyDescent="0.2">
      <c r="B1124" s="108" t="s">
        <v>278</v>
      </c>
      <c r="C1124" s="111" t="s">
        <v>273</v>
      </c>
      <c r="D1124" s="108" t="s">
        <v>279</v>
      </c>
      <c r="G1124" s="108">
        <v>11.1</v>
      </c>
    </row>
    <row r="1126" spans="1:7" x14ac:dyDescent="0.2">
      <c r="A1126" s="112"/>
      <c r="B1126" s="112" t="s">
        <v>254</v>
      </c>
      <c r="C1126" s="113"/>
      <c r="D1126" s="112"/>
      <c r="E1126" s="113"/>
      <c r="F1126" s="112"/>
      <c r="G1126" s="112">
        <v>122.14</v>
      </c>
    </row>
    <row r="1128" spans="1:7" x14ac:dyDescent="0.2">
      <c r="A1128" s="112" t="s">
        <v>244</v>
      </c>
      <c r="B1128" s="112"/>
      <c r="C1128" s="113"/>
      <c r="D1128" s="112"/>
      <c r="E1128" s="113"/>
      <c r="F1128" s="112"/>
      <c r="G1128" s="112"/>
    </row>
    <row r="1129" spans="1:7" x14ac:dyDescent="0.2">
      <c r="A1129" s="114" t="s">
        <v>400</v>
      </c>
      <c r="G1129" s="115" t="s">
        <v>312</v>
      </c>
    </row>
    <row r="1131" spans="1:7" x14ac:dyDescent="0.2">
      <c r="A1131" s="114"/>
      <c r="B1131" s="114" t="s">
        <v>294</v>
      </c>
      <c r="C1131" s="116"/>
      <c r="D1131" s="114"/>
      <c r="E1131" s="116"/>
      <c r="F1131" s="114"/>
      <c r="G1131" s="114">
        <v>45.3</v>
      </c>
    </row>
    <row r="1132" spans="1:7" x14ac:dyDescent="0.2">
      <c r="A1132" s="108" t="s">
        <v>265</v>
      </c>
      <c r="B1132" s="108" t="s">
        <v>401</v>
      </c>
      <c r="C1132" s="111" t="s">
        <v>317</v>
      </c>
      <c r="D1132" s="117">
        <v>1</v>
      </c>
      <c r="E1132" s="118">
        <v>1</v>
      </c>
      <c r="F1132" s="108">
        <v>45.3</v>
      </c>
      <c r="G1132" s="108">
        <v>45.3</v>
      </c>
    </row>
    <row r="1134" spans="1:7" x14ac:dyDescent="0.2">
      <c r="A1134" s="114"/>
      <c r="B1134" s="114" t="s">
        <v>264</v>
      </c>
      <c r="C1134" s="116"/>
      <c r="D1134" s="114"/>
      <c r="E1134" s="116"/>
      <c r="F1134" s="114"/>
      <c r="G1134" s="114">
        <v>6</v>
      </c>
    </row>
    <row r="1135" spans="1:7" x14ac:dyDescent="0.2">
      <c r="A1135" s="108" t="s">
        <v>265</v>
      </c>
      <c r="B1135" s="108" t="s">
        <v>389</v>
      </c>
      <c r="C1135" s="111" t="s">
        <v>267</v>
      </c>
      <c r="D1135" s="117">
        <v>0.3</v>
      </c>
      <c r="E1135" s="118">
        <v>1</v>
      </c>
      <c r="F1135" s="108">
        <v>20</v>
      </c>
      <c r="G1135" s="108">
        <v>6</v>
      </c>
    </row>
    <row r="1137" spans="1:7" x14ac:dyDescent="0.2">
      <c r="A1137" s="114"/>
      <c r="B1137" s="114" t="s">
        <v>268</v>
      </c>
      <c r="C1137" s="116"/>
      <c r="D1137" s="119">
        <v>0.25</v>
      </c>
      <c r="E1137" s="116"/>
      <c r="F1137" s="114"/>
      <c r="G1137" s="114">
        <v>2.5</v>
      </c>
    </row>
    <row r="1138" spans="1:7" x14ac:dyDescent="0.2">
      <c r="A1138" s="108" t="s">
        <v>265</v>
      </c>
      <c r="B1138" s="108" t="s">
        <v>310</v>
      </c>
      <c r="C1138" s="111" t="s">
        <v>270</v>
      </c>
      <c r="D1138" s="117">
        <v>0.25</v>
      </c>
      <c r="E1138" s="118">
        <v>1</v>
      </c>
      <c r="F1138" s="108">
        <v>10</v>
      </c>
      <c r="G1138" s="108">
        <v>2.5</v>
      </c>
    </row>
    <row r="1140" spans="1:7" x14ac:dyDescent="0.2">
      <c r="A1140" s="114"/>
      <c r="B1140" s="114" t="s">
        <v>271</v>
      </c>
      <c r="C1140" s="116"/>
      <c r="D1140" s="114"/>
      <c r="E1140" s="116"/>
      <c r="F1140" s="114"/>
      <c r="G1140" s="114">
        <v>8.0299999999999994</v>
      </c>
    </row>
    <row r="1141" spans="1:7" x14ac:dyDescent="0.2">
      <c r="B1141" s="108" t="s">
        <v>272</v>
      </c>
      <c r="C1141" s="111" t="s">
        <v>273</v>
      </c>
      <c r="D1141" s="108">
        <v>80</v>
      </c>
      <c r="G1141" s="108">
        <v>2</v>
      </c>
    </row>
    <row r="1142" spans="1:7" x14ac:dyDescent="0.2">
      <c r="B1142" s="108" t="s">
        <v>298</v>
      </c>
      <c r="C1142" s="111" t="s">
        <v>273</v>
      </c>
      <c r="D1142" s="108">
        <v>10</v>
      </c>
      <c r="G1142" s="108">
        <v>4.53</v>
      </c>
    </row>
    <row r="1143" spans="1:7" x14ac:dyDescent="0.2">
      <c r="B1143" s="108" t="s">
        <v>274</v>
      </c>
      <c r="C1143" s="111" t="s">
        <v>273</v>
      </c>
      <c r="D1143" s="108">
        <v>25</v>
      </c>
      <c r="G1143" s="108">
        <v>1.5</v>
      </c>
    </row>
    <row r="1145" spans="1:7" x14ac:dyDescent="0.2">
      <c r="A1145" s="114"/>
      <c r="B1145" s="114" t="s">
        <v>254</v>
      </c>
      <c r="C1145" s="116"/>
      <c r="D1145" s="114"/>
      <c r="E1145" s="116"/>
      <c r="F1145" s="114"/>
      <c r="G1145" s="114"/>
    </row>
    <row r="1146" spans="1:7" x14ac:dyDescent="0.2">
      <c r="B1146" s="108" t="s">
        <v>275</v>
      </c>
      <c r="G1146" s="108">
        <v>53.8</v>
      </c>
    </row>
    <row r="1147" spans="1:7" x14ac:dyDescent="0.2">
      <c r="B1147" s="108" t="s">
        <v>276</v>
      </c>
      <c r="G1147" s="108">
        <v>8.0299999999999994</v>
      </c>
    </row>
    <row r="1148" spans="1:7" x14ac:dyDescent="0.2">
      <c r="B1148" s="108" t="s">
        <v>277</v>
      </c>
      <c r="G1148" s="108">
        <v>61.83</v>
      </c>
    </row>
    <row r="1149" spans="1:7" x14ac:dyDescent="0.2">
      <c r="B1149" s="108" t="s">
        <v>278</v>
      </c>
      <c r="C1149" s="111" t="s">
        <v>273</v>
      </c>
      <c r="D1149" s="108" t="s">
        <v>279</v>
      </c>
      <c r="G1149" s="108">
        <v>6.18</v>
      </c>
    </row>
    <row r="1151" spans="1:7" x14ac:dyDescent="0.2">
      <c r="A1151" s="112"/>
      <c r="B1151" s="112" t="s">
        <v>254</v>
      </c>
      <c r="C1151" s="113"/>
      <c r="D1151" s="112"/>
      <c r="E1151" s="113"/>
      <c r="F1151" s="112"/>
      <c r="G1151" s="112">
        <v>68.010000000000005</v>
      </c>
    </row>
    <row r="1153" spans="1:7" x14ac:dyDescent="0.2">
      <c r="A1153" s="112" t="s">
        <v>72</v>
      </c>
      <c r="B1153" s="112"/>
      <c r="C1153" s="113"/>
      <c r="D1153" s="112"/>
      <c r="E1153" s="113"/>
      <c r="F1153" s="112"/>
      <c r="G1153" s="112"/>
    </row>
    <row r="1154" spans="1:7" x14ac:dyDescent="0.2">
      <c r="A1154" s="114" t="s">
        <v>402</v>
      </c>
      <c r="G1154" s="115" t="s">
        <v>312</v>
      </c>
    </row>
    <row r="1156" spans="1:7" x14ac:dyDescent="0.2">
      <c r="A1156" s="114"/>
      <c r="B1156" s="114" t="s">
        <v>294</v>
      </c>
      <c r="C1156" s="116"/>
      <c r="D1156" s="114"/>
      <c r="E1156" s="116"/>
      <c r="F1156" s="114"/>
      <c r="G1156" s="114">
        <v>3.7</v>
      </c>
    </row>
    <row r="1157" spans="1:7" x14ac:dyDescent="0.2">
      <c r="A1157" s="108" t="s">
        <v>265</v>
      </c>
      <c r="B1157" s="108" t="s">
        <v>403</v>
      </c>
      <c r="C1157" s="111" t="s">
        <v>317</v>
      </c>
      <c r="D1157" s="117">
        <v>1</v>
      </c>
      <c r="E1157" s="118">
        <v>1</v>
      </c>
      <c r="F1157" s="108">
        <v>3.7</v>
      </c>
      <c r="G1157" s="108">
        <v>3.7</v>
      </c>
    </row>
    <row r="1159" spans="1:7" x14ac:dyDescent="0.2">
      <c r="A1159" s="114"/>
      <c r="B1159" s="114" t="s">
        <v>268</v>
      </c>
      <c r="C1159" s="116"/>
      <c r="D1159" s="119">
        <v>0.12</v>
      </c>
      <c r="E1159" s="116"/>
      <c r="F1159" s="114"/>
      <c r="G1159" s="114">
        <v>1.2</v>
      </c>
    </row>
    <row r="1160" spans="1:7" x14ac:dyDescent="0.2">
      <c r="A1160" s="108" t="s">
        <v>265</v>
      </c>
      <c r="B1160" s="108" t="s">
        <v>310</v>
      </c>
      <c r="C1160" s="111" t="s">
        <v>270</v>
      </c>
      <c r="D1160" s="117">
        <v>0.12</v>
      </c>
      <c r="E1160" s="118">
        <v>1</v>
      </c>
      <c r="F1160" s="108">
        <v>10</v>
      </c>
      <c r="G1160" s="108">
        <v>1.2</v>
      </c>
    </row>
    <row r="1162" spans="1:7" x14ac:dyDescent="0.2">
      <c r="A1162" s="114"/>
      <c r="B1162" s="114" t="s">
        <v>271</v>
      </c>
      <c r="C1162" s="116"/>
      <c r="D1162" s="114"/>
      <c r="E1162" s="116"/>
      <c r="F1162" s="114"/>
      <c r="G1162" s="114">
        <v>1.33</v>
      </c>
    </row>
    <row r="1163" spans="1:7" x14ac:dyDescent="0.2">
      <c r="B1163" s="108" t="s">
        <v>272</v>
      </c>
      <c r="C1163" s="111" t="s">
        <v>273</v>
      </c>
      <c r="D1163" s="108">
        <v>80</v>
      </c>
      <c r="G1163" s="108">
        <v>0.96</v>
      </c>
    </row>
    <row r="1164" spans="1:7" x14ac:dyDescent="0.2">
      <c r="B1164" s="108" t="s">
        <v>298</v>
      </c>
      <c r="C1164" s="111" t="s">
        <v>273</v>
      </c>
      <c r="D1164" s="108">
        <v>10</v>
      </c>
      <c r="G1164" s="108">
        <v>0.37</v>
      </c>
    </row>
    <row r="1166" spans="1:7" x14ac:dyDescent="0.2">
      <c r="A1166" s="114"/>
      <c r="B1166" s="114" t="s">
        <v>254</v>
      </c>
      <c r="C1166" s="116"/>
      <c r="D1166" s="114"/>
      <c r="E1166" s="116"/>
      <c r="F1166" s="114"/>
      <c r="G1166" s="114"/>
    </row>
    <row r="1167" spans="1:7" x14ac:dyDescent="0.2">
      <c r="B1167" s="108" t="s">
        <v>275</v>
      </c>
      <c r="G1167" s="108">
        <v>4.9000000000000004</v>
      </c>
    </row>
    <row r="1168" spans="1:7" x14ac:dyDescent="0.2">
      <c r="B1168" s="108" t="s">
        <v>276</v>
      </c>
      <c r="G1168" s="108">
        <v>1.33</v>
      </c>
    </row>
    <row r="1169" spans="1:7" x14ac:dyDescent="0.2">
      <c r="B1169" s="108" t="s">
        <v>277</v>
      </c>
      <c r="G1169" s="108">
        <v>6.23</v>
      </c>
    </row>
    <row r="1170" spans="1:7" x14ac:dyDescent="0.2">
      <c r="B1170" s="108" t="s">
        <v>278</v>
      </c>
      <c r="C1170" s="111" t="s">
        <v>273</v>
      </c>
      <c r="D1170" s="108" t="s">
        <v>279</v>
      </c>
      <c r="G1170" s="108">
        <v>0.62</v>
      </c>
    </row>
    <row r="1172" spans="1:7" x14ac:dyDescent="0.2">
      <c r="A1172" s="112"/>
      <c r="B1172" s="112" t="s">
        <v>254</v>
      </c>
      <c r="C1172" s="113"/>
      <c r="D1172" s="112"/>
      <c r="E1172" s="113"/>
      <c r="F1172" s="112"/>
      <c r="G1172" s="112">
        <v>6.85</v>
      </c>
    </row>
    <row r="1174" spans="1:7" x14ac:dyDescent="0.2">
      <c r="A1174" s="112" t="s">
        <v>131</v>
      </c>
      <c r="B1174" s="112"/>
      <c r="C1174" s="113"/>
      <c r="D1174" s="112"/>
      <c r="E1174" s="113"/>
      <c r="F1174" s="112"/>
      <c r="G1174" s="112"/>
    </row>
    <row r="1175" spans="1:7" x14ac:dyDescent="0.2">
      <c r="A1175" s="114" t="s">
        <v>404</v>
      </c>
      <c r="G1175" s="115" t="s">
        <v>330</v>
      </c>
    </row>
    <row r="1177" spans="1:7" x14ac:dyDescent="0.2">
      <c r="A1177" s="114"/>
      <c r="B1177" s="114" t="s">
        <v>264</v>
      </c>
      <c r="C1177" s="116"/>
      <c r="D1177" s="114"/>
      <c r="E1177" s="116"/>
      <c r="F1177" s="114"/>
      <c r="G1177" s="114">
        <v>0.36</v>
      </c>
    </row>
    <row r="1178" spans="1:7" x14ac:dyDescent="0.2">
      <c r="A1178" s="108" t="s">
        <v>265</v>
      </c>
      <c r="B1178" s="108" t="s">
        <v>405</v>
      </c>
      <c r="C1178" s="111" t="s">
        <v>267</v>
      </c>
      <c r="D1178" s="117">
        <v>2E-3</v>
      </c>
      <c r="E1178" s="118">
        <v>1</v>
      </c>
      <c r="F1178" s="108">
        <v>30</v>
      </c>
      <c r="G1178" s="108">
        <v>0.06</v>
      </c>
    </row>
    <row r="1179" spans="1:7" x14ac:dyDescent="0.2">
      <c r="A1179" s="108" t="s">
        <v>265</v>
      </c>
      <c r="B1179" s="108" t="s">
        <v>314</v>
      </c>
      <c r="C1179" s="111" t="s">
        <v>267</v>
      </c>
      <c r="D1179" s="117">
        <v>0.01</v>
      </c>
      <c r="E1179" s="118">
        <v>1</v>
      </c>
      <c r="F1179" s="108">
        <v>30</v>
      </c>
      <c r="G1179" s="108">
        <v>0.3</v>
      </c>
    </row>
    <row r="1181" spans="1:7" x14ac:dyDescent="0.2">
      <c r="A1181" s="114"/>
      <c r="B1181" s="114" t="s">
        <v>268</v>
      </c>
      <c r="C1181" s="116"/>
      <c r="D1181" s="119">
        <v>0.1</v>
      </c>
      <c r="E1181" s="116"/>
      <c r="F1181" s="114"/>
      <c r="G1181" s="114">
        <v>1</v>
      </c>
    </row>
    <row r="1182" spans="1:7" x14ac:dyDescent="0.2">
      <c r="A1182" s="108" t="s">
        <v>265</v>
      </c>
      <c r="B1182" s="108" t="s">
        <v>310</v>
      </c>
      <c r="C1182" s="111" t="s">
        <v>270</v>
      </c>
      <c r="D1182" s="117">
        <v>0.1</v>
      </c>
      <c r="E1182" s="118">
        <v>1</v>
      </c>
      <c r="F1182" s="108">
        <v>10</v>
      </c>
      <c r="G1182" s="108">
        <v>1</v>
      </c>
    </row>
    <row r="1184" spans="1:7" x14ac:dyDescent="0.2">
      <c r="A1184" s="114"/>
      <c r="B1184" s="114" t="s">
        <v>271</v>
      </c>
      <c r="C1184" s="116"/>
      <c r="D1184" s="114"/>
      <c r="E1184" s="116"/>
      <c r="F1184" s="114"/>
      <c r="G1184" s="114">
        <v>0.89</v>
      </c>
    </row>
    <row r="1185" spans="1:7" x14ac:dyDescent="0.2">
      <c r="B1185" s="108" t="s">
        <v>272</v>
      </c>
      <c r="C1185" s="111" t="s">
        <v>273</v>
      </c>
      <c r="D1185" s="108">
        <v>80</v>
      </c>
      <c r="G1185" s="108">
        <v>0.8</v>
      </c>
    </row>
    <row r="1186" spans="1:7" x14ac:dyDescent="0.2">
      <c r="B1186" s="108" t="s">
        <v>274</v>
      </c>
      <c r="C1186" s="111" t="s">
        <v>273</v>
      </c>
      <c r="D1186" s="108">
        <v>25</v>
      </c>
      <c r="G1186" s="108">
        <v>0.09</v>
      </c>
    </row>
    <row r="1188" spans="1:7" x14ac:dyDescent="0.2">
      <c r="A1188" s="114"/>
      <c r="B1188" s="114" t="s">
        <v>254</v>
      </c>
      <c r="C1188" s="116"/>
      <c r="D1188" s="114"/>
      <c r="E1188" s="116"/>
      <c r="F1188" s="114"/>
      <c r="G1188" s="114"/>
    </row>
    <row r="1189" spans="1:7" x14ac:dyDescent="0.2">
      <c r="B1189" s="108" t="s">
        <v>275</v>
      </c>
      <c r="G1189" s="108">
        <v>1.36</v>
      </c>
    </row>
    <row r="1190" spans="1:7" x14ac:dyDescent="0.2">
      <c r="B1190" s="108" t="s">
        <v>276</v>
      </c>
      <c r="G1190" s="108">
        <v>0.89</v>
      </c>
    </row>
    <row r="1191" spans="1:7" x14ac:dyDescent="0.2">
      <c r="B1191" s="108" t="s">
        <v>277</v>
      </c>
      <c r="G1191" s="108">
        <v>2.25</v>
      </c>
    </row>
    <row r="1192" spans="1:7" x14ac:dyDescent="0.2">
      <c r="B1192" s="108" t="s">
        <v>278</v>
      </c>
      <c r="C1192" s="111" t="s">
        <v>273</v>
      </c>
      <c r="D1192" s="108" t="s">
        <v>279</v>
      </c>
      <c r="G1192" s="108">
        <v>0.23</v>
      </c>
    </row>
    <row r="1194" spans="1:7" x14ac:dyDescent="0.2">
      <c r="A1194" s="112"/>
      <c r="B1194" s="112" t="s">
        <v>254</v>
      </c>
      <c r="C1194" s="113"/>
      <c r="D1194" s="112"/>
      <c r="E1194" s="113"/>
      <c r="F1194" s="112"/>
      <c r="G1194" s="112">
        <v>2.48</v>
      </c>
    </row>
    <row r="1196" spans="1:7" x14ac:dyDescent="0.2">
      <c r="A1196" s="112" t="s">
        <v>42</v>
      </c>
      <c r="B1196" s="112"/>
      <c r="C1196" s="113"/>
      <c r="D1196" s="112"/>
      <c r="E1196" s="113"/>
      <c r="F1196" s="112"/>
      <c r="G1196" s="112"/>
    </row>
    <row r="1197" spans="1:7" x14ac:dyDescent="0.2">
      <c r="A1197" s="114" t="s">
        <v>406</v>
      </c>
      <c r="G1197" s="115" t="s">
        <v>281</v>
      </c>
    </row>
    <row r="1199" spans="1:7" x14ac:dyDescent="0.2">
      <c r="A1199" s="114"/>
      <c r="B1199" s="114" t="s">
        <v>294</v>
      </c>
      <c r="C1199" s="116"/>
      <c r="D1199" s="114"/>
      <c r="E1199" s="116"/>
      <c r="F1199" s="114"/>
      <c r="G1199" s="114">
        <v>16</v>
      </c>
    </row>
    <row r="1200" spans="1:7" x14ac:dyDescent="0.2">
      <c r="A1200" s="108" t="s">
        <v>265</v>
      </c>
      <c r="B1200" s="108" t="s">
        <v>300</v>
      </c>
      <c r="C1200" s="111" t="s">
        <v>301</v>
      </c>
      <c r="D1200" s="117">
        <v>1</v>
      </c>
      <c r="E1200" s="118">
        <v>1</v>
      </c>
      <c r="F1200" s="108">
        <v>16</v>
      </c>
      <c r="G1200" s="108">
        <v>16</v>
      </c>
    </row>
    <row r="1202" spans="1:7" x14ac:dyDescent="0.2">
      <c r="A1202" s="114"/>
      <c r="B1202" s="114" t="s">
        <v>264</v>
      </c>
      <c r="C1202" s="116"/>
      <c r="D1202" s="114"/>
      <c r="E1202" s="116"/>
      <c r="F1202" s="114"/>
      <c r="G1202" s="114">
        <v>7.1</v>
      </c>
    </row>
    <row r="1203" spans="1:7" x14ac:dyDescent="0.2">
      <c r="A1203" s="108" t="s">
        <v>265</v>
      </c>
      <c r="B1203" s="108" t="s">
        <v>302</v>
      </c>
      <c r="C1203" s="111" t="s">
        <v>267</v>
      </c>
      <c r="D1203" s="117">
        <v>2.1999999999999999E-2</v>
      </c>
      <c r="E1203" s="118">
        <v>1</v>
      </c>
      <c r="F1203" s="108">
        <v>250</v>
      </c>
      <c r="G1203" s="108">
        <v>5.5</v>
      </c>
    </row>
    <row r="1204" spans="1:7" x14ac:dyDescent="0.2">
      <c r="A1204" s="108" t="s">
        <v>265</v>
      </c>
      <c r="B1204" s="108" t="s">
        <v>303</v>
      </c>
      <c r="C1204" s="111" t="s">
        <v>267</v>
      </c>
      <c r="D1204" s="117">
        <v>1.6E-2</v>
      </c>
      <c r="E1204" s="118">
        <v>1</v>
      </c>
      <c r="F1204" s="108">
        <v>100</v>
      </c>
      <c r="G1204" s="108">
        <v>1.6</v>
      </c>
    </row>
    <row r="1206" spans="1:7" x14ac:dyDescent="0.2">
      <c r="A1206" s="114"/>
      <c r="B1206" s="114" t="s">
        <v>268</v>
      </c>
      <c r="C1206" s="116"/>
      <c r="D1206" s="119">
        <v>0.1</v>
      </c>
      <c r="E1206" s="116"/>
      <c r="F1206" s="114"/>
      <c r="G1206" s="114">
        <v>1</v>
      </c>
    </row>
    <row r="1207" spans="1:7" x14ac:dyDescent="0.2">
      <c r="A1207" s="108" t="s">
        <v>265</v>
      </c>
      <c r="B1207" s="108" t="s">
        <v>269</v>
      </c>
      <c r="C1207" s="111" t="s">
        <v>270</v>
      </c>
      <c r="D1207" s="117">
        <v>0.1</v>
      </c>
      <c r="E1207" s="118">
        <v>1</v>
      </c>
      <c r="F1207" s="108">
        <v>10</v>
      </c>
      <c r="G1207" s="108">
        <v>1</v>
      </c>
    </row>
    <row r="1209" spans="1:7" x14ac:dyDescent="0.2">
      <c r="A1209" s="114"/>
      <c r="B1209" s="114" t="s">
        <v>271</v>
      </c>
      <c r="C1209" s="116"/>
      <c r="D1209" s="114"/>
      <c r="E1209" s="116"/>
      <c r="F1209" s="114"/>
      <c r="G1209" s="114">
        <v>4.18</v>
      </c>
    </row>
    <row r="1210" spans="1:7" x14ac:dyDescent="0.2">
      <c r="B1210" s="108" t="s">
        <v>272</v>
      </c>
      <c r="C1210" s="111" t="s">
        <v>273</v>
      </c>
      <c r="D1210" s="108">
        <v>80</v>
      </c>
      <c r="G1210" s="108">
        <v>0.8</v>
      </c>
    </row>
    <row r="1211" spans="1:7" x14ac:dyDescent="0.2">
      <c r="B1211" s="108" t="s">
        <v>298</v>
      </c>
      <c r="C1211" s="111" t="s">
        <v>273</v>
      </c>
      <c r="D1211" s="108">
        <v>10</v>
      </c>
      <c r="G1211" s="108">
        <v>1.6</v>
      </c>
    </row>
    <row r="1212" spans="1:7" x14ac:dyDescent="0.2">
      <c r="B1212" s="108" t="s">
        <v>274</v>
      </c>
      <c r="C1212" s="111" t="s">
        <v>273</v>
      </c>
      <c r="D1212" s="108">
        <v>25</v>
      </c>
      <c r="G1212" s="108">
        <v>1.78</v>
      </c>
    </row>
    <row r="1214" spans="1:7" x14ac:dyDescent="0.2">
      <c r="A1214" s="114"/>
      <c r="B1214" s="114" t="s">
        <v>254</v>
      </c>
      <c r="C1214" s="116"/>
      <c r="D1214" s="114"/>
      <c r="E1214" s="116"/>
      <c r="F1214" s="114"/>
      <c r="G1214" s="114"/>
    </row>
    <row r="1215" spans="1:7" x14ac:dyDescent="0.2">
      <c r="B1215" s="108" t="s">
        <v>275</v>
      </c>
      <c r="G1215" s="108">
        <v>24.1</v>
      </c>
    </row>
    <row r="1216" spans="1:7" x14ac:dyDescent="0.2">
      <c r="B1216" s="108" t="s">
        <v>276</v>
      </c>
      <c r="G1216" s="108">
        <v>4.18</v>
      </c>
    </row>
    <row r="1217" spans="1:7" x14ac:dyDescent="0.2">
      <c r="B1217" s="108" t="s">
        <v>277</v>
      </c>
      <c r="G1217" s="108">
        <v>28.28</v>
      </c>
    </row>
    <row r="1218" spans="1:7" x14ac:dyDescent="0.2">
      <c r="B1218" s="108" t="s">
        <v>278</v>
      </c>
      <c r="C1218" s="111" t="s">
        <v>273</v>
      </c>
      <c r="D1218" s="108" t="s">
        <v>279</v>
      </c>
      <c r="G1218" s="108">
        <v>2.83</v>
      </c>
    </row>
    <row r="1220" spans="1:7" x14ac:dyDescent="0.2">
      <c r="A1220" s="112"/>
      <c r="B1220" s="112" t="s">
        <v>254</v>
      </c>
      <c r="C1220" s="113"/>
      <c r="D1220" s="112"/>
      <c r="E1220" s="113"/>
      <c r="F1220" s="112"/>
      <c r="G1220" s="112">
        <v>31.11</v>
      </c>
    </row>
    <row r="1222" spans="1:7" x14ac:dyDescent="0.2">
      <c r="A1222" s="112" t="s">
        <v>50</v>
      </c>
      <c r="B1222" s="112"/>
      <c r="C1222" s="113"/>
      <c r="D1222" s="112"/>
      <c r="E1222" s="113"/>
      <c r="F1222" s="112"/>
      <c r="G1222" s="112"/>
    </row>
    <row r="1223" spans="1:7" x14ac:dyDescent="0.2">
      <c r="A1223" s="114" t="s">
        <v>407</v>
      </c>
      <c r="G1223" s="115" t="s">
        <v>281</v>
      </c>
    </row>
    <row r="1225" spans="1:7" x14ac:dyDescent="0.2">
      <c r="A1225" s="114"/>
      <c r="B1225" s="114" t="s">
        <v>264</v>
      </c>
      <c r="C1225" s="116"/>
      <c r="D1225" s="114"/>
      <c r="E1225" s="116"/>
      <c r="F1225" s="114"/>
      <c r="G1225" s="114">
        <v>0.75</v>
      </c>
    </row>
    <row r="1226" spans="1:7" x14ac:dyDescent="0.2">
      <c r="A1226" s="108" t="s">
        <v>265</v>
      </c>
      <c r="B1226" s="108" t="s">
        <v>408</v>
      </c>
      <c r="C1226" s="111" t="s">
        <v>267</v>
      </c>
      <c r="D1226" s="117">
        <v>2.5000000000000001E-2</v>
      </c>
      <c r="E1226" s="118">
        <v>1</v>
      </c>
      <c r="F1226" s="108">
        <v>30</v>
      </c>
      <c r="G1226" s="108">
        <v>0.75</v>
      </c>
    </row>
    <row r="1228" spans="1:7" x14ac:dyDescent="0.2">
      <c r="A1228" s="114"/>
      <c r="B1228" s="114" t="s">
        <v>268</v>
      </c>
      <c r="C1228" s="116"/>
      <c r="D1228" s="119">
        <v>0.15</v>
      </c>
      <c r="E1228" s="116"/>
      <c r="F1228" s="114"/>
      <c r="G1228" s="114">
        <v>1.5</v>
      </c>
    </row>
    <row r="1229" spans="1:7" x14ac:dyDescent="0.2">
      <c r="A1229" s="108" t="s">
        <v>265</v>
      </c>
      <c r="B1229" s="108" t="s">
        <v>269</v>
      </c>
      <c r="C1229" s="111" t="s">
        <v>270</v>
      </c>
      <c r="D1229" s="117">
        <v>0.15</v>
      </c>
      <c r="E1229" s="118">
        <v>1</v>
      </c>
      <c r="F1229" s="108">
        <v>10</v>
      </c>
      <c r="G1229" s="108">
        <v>1.5</v>
      </c>
    </row>
    <row r="1231" spans="1:7" x14ac:dyDescent="0.2">
      <c r="A1231" s="114"/>
      <c r="B1231" s="114" t="s">
        <v>271</v>
      </c>
      <c r="C1231" s="116"/>
      <c r="D1231" s="114"/>
      <c r="E1231" s="116"/>
      <c r="F1231" s="114"/>
      <c r="G1231" s="114">
        <v>1.39</v>
      </c>
    </row>
    <row r="1232" spans="1:7" x14ac:dyDescent="0.2">
      <c r="B1232" s="108" t="s">
        <v>272</v>
      </c>
      <c r="C1232" s="111" t="s">
        <v>273</v>
      </c>
      <c r="D1232" s="108">
        <v>80</v>
      </c>
      <c r="G1232" s="108">
        <v>1.2</v>
      </c>
    </row>
    <row r="1233" spans="1:7" x14ac:dyDescent="0.2">
      <c r="B1233" s="108" t="s">
        <v>274</v>
      </c>
      <c r="C1233" s="111" t="s">
        <v>273</v>
      </c>
      <c r="D1233" s="108">
        <v>25</v>
      </c>
      <c r="G1233" s="108">
        <v>0.19</v>
      </c>
    </row>
    <row r="1235" spans="1:7" x14ac:dyDescent="0.2">
      <c r="A1235" s="114"/>
      <c r="B1235" s="114" t="s">
        <v>254</v>
      </c>
      <c r="C1235" s="116"/>
      <c r="D1235" s="114"/>
      <c r="E1235" s="116"/>
      <c r="F1235" s="114"/>
      <c r="G1235" s="114"/>
    </row>
    <row r="1236" spans="1:7" x14ac:dyDescent="0.2">
      <c r="B1236" s="108" t="s">
        <v>275</v>
      </c>
      <c r="G1236" s="108">
        <v>2.25</v>
      </c>
    </row>
    <row r="1237" spans="1:7" x14ac:dyDescent="0.2">
      <c r="B1237" s="108" t="s">
        <v>276</v>
      </c>
      <c r="G1237" s="108">
        <v>1.39</v>
      </c>
    </row>
    <row r="1238" spans="1:7" x14ac:dyDescent="0.2">
      <c r="B1238" s="108" t="s">
        <v>277</v>
      </c>
      <c r="G1238" s="108">
        <v>3.64</v>
      </c>
    </row>
    <row r="1239" spans="1:7" x14ac:dyDescent="0.2">
      <c r="B1239" s="108" t="s">
        <v>278</v>
      </c>
      <c r="C1239" s="111" t="s">
        <v>273</v>
      </c>
      <c r="D1239" s="108" t="s">
        <v>279</v>
      </c>
      <c r="G1239" s="108">
        <v>0.36</v>
      </c>
    </row>
    <row r="1241" spans="1:7" x14ac:dyDescent="0.2">
      <c r="A1241" s="112"/>
      <c r="B1241" s="112" t="s">
        <v>254</v>
      </c>
      <c r="C1241" s="113"/>
      <c r="D1241" s="112"/>
      <c r="E1241" s="113"/>
      <c r="F1241" s="112"/>
      <c r="G1241" s="112">
        <v>4</v>
      </c>
    </row>
    <row r="1243" spans="1:7" x14ac:dyDescent="0.2">
      <c r="A1243" s="112" t="s">
        <v>10</v>
      </c>
      <c r="B1243" s="112"/>
      <c r="C1243" s="113"/>
      <c r="D1243" s="112"/>
      <c r="E1243" s="113"/>
      <c r="F1243" s="112"/>
      <c r="G1243" s="112"/>
    </row>
    <row r="1244" spans="1:7" x14ac:dyDescent="0.2">
      <c r="A1244" s="114" t="s">
        <v>409</v>
      </c>
      <c r="G1244" s="115" t="s">
        <v>281</v>
      </c>
    </row>
    <row r="1246" spans="1:7" x14ac:dyDescent="0.2">
      <c r="A1246" s="114"/>
      <c r="B1246" s="114" t="s">
        <v>294</v>
      </c>
      <c r="C1246" s="116"/>
      <c r="D1246" s="114"/>
      <c r="E1246" s="116"/>
      <c r="F1246" s="114"/>
      <c r="G1246" s="114">
        <v>16</v>
      </c>
    </row>
    <row r="1247" spans="1:7" x14ac:dyDescent="0.2">
      <c r="A1247" s="108" t="s">
        <v>265</v>
      </c>
      <c r="B1247" s="108" t="s">
        <v>410</v>
      </c>
      <c r="C1247" s="111" t="s">
        <v>301</v>
      </c>
      <c r="D1247" s="117">
        <v>1</v>
      </c>
      <c r="E1247" s="118">
        <v>1</v>
      </c>
      <c r="F1247" s="108">
        <v>16</v>
      </c>
      <c r="G1247" s="108">
        <v>16</v>
      </c>
    </row>
    <row r="1249" spans="1:7" x14ac:dyDescent="0.2">
      <c r="A1249" s="114"/>
      <c r="B1249" s="114" t="s">
        <v>264</v>
      </c>
      <c r="C1249" s="116"/>
      <c r="D1249" s="114"/>
      <c r="E1249" s="116"/>
      <c r="F1249" s="114"/>
      <c r="G1249" s="114">
        <v>7.1</v>
      </c>
    </row>
    <row r="1250" spans="1:7" x14ac:dyDescent="0.2">
      <c r="A1250" s="108" t="s">
        <v>265</v>
      </c>
      <c r="B1250" s="108" t="s">
        <v>302</v>
      </c>
      <c r="C1250" s="111" t="s">
        <v>267</v>
      </c>
      <c r="D1250" s="117">
        <v>2.1999999999999999E-2</v>
      </c>
      <c r="E1250" s="118">
        <v>1</v>
      </c>
      <c r="F1250" s="108">
        <v>250</v>
      </c>
      <c r="G1250" s="108">
        <v>5.5</v>
      </c>
    </row>
    <row r="1251" spans="1:7" x14ac:dyDescent="0.2">
      <c r="A1251" s="108" t="s">
        <v>265</v>
      </c>
      <c r="B1251" s="108" t="s">
        <v>303</v>
      </c>
      <c r="C1251" s="111" t="s">
        <v>267</v>
      </c>
      <c r="D1251" s="117">
        <v>1.6E-2</v>
      </c>
      <c r="E1251" s="118">
        <v>1</v>
      </c>
      <c r="F1251" s="108">
        <v>100</v>
      </c>
      <c r="G1251" s="108">
        <v>1.6</v>
      </c>
    </row>
    <row r="1253" spans="1:7" x14ac:dyDescent="0.2">
      <c r="A1253" s="114"/>
      <c r="B1253" s="114" t="s">
        <v>268</v>
      </c>
      <c r="C1253" s="116"/>
      <c r="D1253" s="119">
        <v>0.1</v>
      </c>
      <c r="E1253" s="116"/>
      <c r="F1253" s="114"/>
      <c r="G1253" s="114">
        <v>1</v>
      </c>
    </row>
    <row r="1254" spans="1:7" x14ac:dyDescent="0.2">
      <c r="A1254" s="108" t="s">
        <v>265</v>
      </c>
      <c r="B1254" s="108" t="s">
        <v>269</v>
      </c>
      <c r="C1254" s="111" t="s">
        <v>270</v>
      </c>
      <c r="D1254" s="117">
        <v>0.1</v>
      </c>
      <c r="E1254" s="118">
        <v>1</v>
      </c>
      <c r="F1254" s="108">
        <v>10</v>
      </c>
      <c r="G1254" s="108">
        <v>1</v>
      </c>
    </row>
    <row r="1256" spans="1:7" x14ac:dyDescent="0.2">
      <c r="A1256" s="114"/>
      <c r="B1256" s="114" t="s">
        <v>271</v>
      </c>
      <c r="C1256" s="116"/>
      <c r="D1256" s="114"/>
      <c r="E1256" s="116"/>
      <c r="F1256" s="114"/>
      <c r="G1256" s="114">
        <v>4.18</v>
      </c>
    </row>
    <row r="1257" spans="1:7" x14ac:dyDescent="0.2">
      <c r="B1257" s="108" t="s">
        <v>272</v>
      </c>
      <c r="C1257" s="111" t="s">
        <v>273</v>
      </c>
      <c r="D1257" s="108">
        <v>80</v>
      </c>
      <c r="G1257" s="108">
        <v>0.8</v>
      </c>
    </row>
    <row r="1258" spans="1:7" x14ac:dyDescent="0.2">
      <c r="B1258" s="108" t="s">
        <v>298</v>
      </c>
      <c r="C1258" s="111" t="s">
        <v>273</v>
      </c>
      <c r="D1258" s="108">
        <v>10</v>
      </c>
      <c r="G1258" s="108">
        <v>1.6</v>
      </c>
    </row>
    <row r="1259" spans="1:7" x14ac:dyDescent="0.2">
      <c r="B1259" s="108" t="s">
        <v>274</v>
      </c>
      <c r="C1259" s="111" t="s">
        <v>273</v>
      </c>
      <c r="D1259" s="108">
        <v>25</v>
      </c>
      <c r="G1259" s="108">
        <v>1.78</v>
      </c>
    </row>
    <row r="1261" spans="1:7" x14ac:dyDescent="0.2">
      <c r="A1261" s="114"/>
      <c r="B1261" s="114" t="s">
        <v>254</v>
      </c>
      <c r="C1261" s="116"/>
      <c r="D1261" s="114"/>
      <c r="E1261" s="116"/>
      <c r="F1261" s="114"/>
      <c r="G1261" s="114"/>
    </row>
    <row r="1262" spans="1:7" x14ac:dyDescent="0.2">
      <c r="B1262" s="108" t="s">
        <v>275</v>
      </c>
      <c r="G1262" s="108">
        <v>24.1</v>
      </c>
    </row>
    <row r="1263" spans="1:7" x14ac:dyDescent="0.2">
      <c r="B1263" s="108" t="s">
        <v>276</v>
      </c>
      <c r="G1263" s="108">
        <v>4.18</v>
      </c>
    </row>
    <row r="1264" spans="1:7" x14ac:dyDescent="0.2">
      <c r="B1264" s="108" t="s">
        <v>277</v>
      </c>
      <c r="G1264" s="108">
        <v>28.28</v>
      </c>
    </row>
    <row r="1265" spans="1:7" x14ac:dyDescent="0.2">
      <c r="B1265" s="108" t="s">
        <v>278</v>
      </c>
      <c r="C1265" s="111" t="s">
        <v>273</v>
      </c>
      <c r="D1265" s="108" t="s">
        <v>279</v>
      </c>
      <c r="G1265" s="108">
        <v>2.83</v>
      </c>
    </row>
    <row r="1267" spans="1:7" x14ac:dyDescent="0.2">
      <c r="A1267" s="112"/>
      <c r="B1267" s="112" t="s">
        <v>254</v>
      </c>
      <c r="C1267" s="113"/>
      <c r="D1267" s="112"/>
      <c r="E1267" s="113"/>
      <c r="F1267" s="112"/>
      <c r="G1267" s="112">
        <v>31.11</v>
      </c>
    </row>
    <row r="1269" spans="1:7" x14ac:dyDescent="0.2">
      <c r="A1269" s="112" t="s">
        <v>9</v>
      </c>
      <c r="B1269" s="112"/>
      <c r="C1269" s="113"/>
      <c r="D1269" s="112"/>
      <c r="E1269" s="113"/>
      <c r="F1269" s="112"/>
      <c r="G1269" s="112"/>
    </row>
    <row r="1270" spans="1:7" x14ac:dyDescent="0.2">
      <c r="A1270" s="114" t="s">
        <v>411</v>
      </c>
      <c r="G1270" s="115" t="s">
        <v>281</v>
      </c>
    </row>
    <row r="1272" spans="1:7" x14ac:dyDescent="0.2">
      <c r="A1272" s="114"/>
      <c r="B1272" s="114" t="s">
        <v>294</v>
      </c>
      <c r="C1272" s="116"/>
      <c r="D1272" s="114"/>
      <c r="E1272" s="116"/>
      <c r="F1272" s="114"/>
      <c r="G1272" s="114">
        <v>16</v>
      </c>
    </row>
    <row r="1273" spans="1:7" x14ac:dyDescent="0.2">
      <c r="A1273" s="108" t="s">
        <v>265</v>
      </c>
      <c r="B1273" s="108" t="s">
        <v>412</v>
      </c>
      <c r="C1273" s="111" t="s">
        <v>301</v>
      </c>
      <c r="D1273" s="117">
        <v>1</v>
      </c>
      <c r="E1273" s="118">
        <v>1</v>
      </c>
      <c r="F1273" s="108">
        <v>16</v>
      </c>
      <c r="G1273" s="108">
        <v>16</v>
      </c>
    </row>
    <row r="1275" spans="1:7" x14ac:dyDescent="0.2">
      <c r="A1275" s="114"/>
      <c r="B1275" s="114" t="s">
        <v>264</v>
      </c>
      <c r="C1275" s="116"/>
      <c r="D1275" s="114"/>
      <c r="E1275" s="116"/>
      <c r="F1275" s="114"/>
      <c r="G1275" s="114">
        <v>7.1</v>
      </c>
    </row>
    <row r="1276" spans="1:7" x14ac:dyDescent="0.2">
      <c r="A1276" s="108" t="s">
        <v>265</v>
      </c>
      <c r="B1276" s="108" t="s">
        <v>302</v>
      </c>
      <c r="C1276" s="111" t="s">
        <v>267</v>
      </c>
      <c r="D1276" s="117">
        <v>2.1999999999999999E-2</v>
      </c>
      <c r="E1276" s="118">
        <v>1</v>
      </c>
      <c r="F1276" s="108">
        <v>250</v>
      </c>
      <c r="G1276" s="108">
        <v>5.5</v>
      </c>
    </row>
    <row r="1277" spans="1:7" x14ac:dyDescent="0.2">
      <c r="A1277" s="108" t="s">
        <v>265</v>
      </c>
      <c r="B1277" s="108" t="s">
        <v>303</v>
      </c>
      <c r="C1277" s="111" t="s">
        <v>267</v>
      </c>
      <c r="D1277" s="117">
        <v>1.6E-2</v>
      </c>
      <c r="E1277" s="118">
        <v>1</v>
      </c>
      <c r="F1277" s="108">
        <v>100</v>
      </c>
      <c r="G1277" s="108">
        <v>1.6</v>
      </c>
    </row>
    <row r="1279" spans="1:7" x14ac:dyDescent="0.2">
      <c r="A1279" s="114"/>
      <c r="B1279" s="114" t="s">
        <v>268</v>
      </c>
      <c r="C1279" s="116"/>
      <c r="D1279" s="119">
        <v>0.1</v>
      </c>
      <c r="E1279" s="116"/>
      <c r="F1279" s="114"/>
      <c r="G1279" s="114">
        <v>1</v>
      </c>
    </row>
    <row r="1280" spans="1:7" x14ac:dyDescent="0.2">
      <c r="A1280" s="108" t="s">
        <v>265</v>
      </c>
      <c r="B1280" s="108" t="s">
        <v>269</v>
      </c>
      <c r="C1280" s="111" t="s">
        <v>270</v>
      </c>
      <c r="D1280" s="117">
        <v>0.1</v>
      </c>
      <c r="E1280" s="118">
        <v>1</v>
      </c>
      <c r="F1280" s="108">
        <v>10</v>
      </c>
      <c r="G1280" s="108">
        <v>1</v>
      </c>
    </row>
    <row r="1282" spans="1:7" x14ac:dyDescent="0.2">
      <c r="A1282" s="114"/>
      <c r="B1282" s="114" t="s">
        <v>271</v>
      </c>
      <c r="C1282" s="116"/>
      <c r="D1282" s="114"/>
      <c r="E1282" s="116"/>
      <c r="F1282" s="114"/>
      <c r="G1282" s="114">
        <v>4.18</v>
      </c>
    </row>
    <row r="1283" spans="1:7" x14ac:dyDescent="0.2">
      <c r="B1283" s="108" t="s">
        <v>272</v>
      </c>
      <c r="C1283" s="111" t="s">
        <v>273</v>
      </c>
      <c r="D1283" s="108">
        <v>80</v>
      </c>
      <c r="G1283" s="108">
        <v>0.8</v>
      </c>
    </row>
    <row r="1284" spans="1:7" x14ac:dyDescent="0.2">
      <c r="B1284" s="108" t="s">
        <v>298</v>
      </c>
      <c r="C1284" s="111" t="s">
        <v>273</v>
      </c>
      <c r="D1284" s="108">
        <v>10</v>
      </c>
      <c r="G1284" s="108">
        <v>1.6</v>
      </c>
    </row>
    <row r="1285" spans="1:7" x14ac:dyDescent="0.2">
      <c r="B1285" s="108" t="s">
        <v>274</v>
      </c>
      <c r="C1285" s="111" t="s">
        <v>273</v>
      </c>
      <c r="D1285" s="108">
        <v>25</v>
      </c>
      <c r="G1285" s="108">
        <v>1.78</v>
      </c>
    </row>
    <row r="1287" spans="1:7" x14ac:dyDescent="0.2">
      <c r="A1287" s="114"/>
      <c r="B1287" s="114" t="s">
        <v>254</v>
      </c>
      <c r="C1287" s="116"/>
      <c r="D1287" s="114"/>
      <c r="E1287" s="116"/>
      <c r="F1287" s="114"/>
      <c r="G1287" s="114"/>
    </row>
    <row r="1288" spans="1:7" x14ac:dyDescent="0.2">
      <c r="B1288" s="108" t="s">
        <v>275</v>
      </c>
      <c r="G1288" s="108">
        <v>24.1</v>
      </c>
    </row>
    <row r="1289" spans="1:7" x14ac:dyDescent="0.2">
      <c r="B1289" s="108" t="s">
        <v>276</v>
      </c>
      <c r="G1289" s="108">
        <v>4.18</v>
      </c>
    </row>
    <row r="1290" spans="1:7" x14ac:dyDescent="0.2">
      <c r="B1290" s="108" t="s">
        <v>277</v>
      </c>
      <c r="G1290" s="108">
        <v>28.28</v>
      </c>
    </row>
    <row r="1291" spans="1:7" x14ac:dyDescent="0.2">
      <c r="B1291" s="108" t="s">
        <v>278</v>
      </c>
      <c r="C1291" s="111" t="s">
        <v>273</v>
      </c>
      <c r="D1291" s="108" t="s">
        <v>279</v>
      </c>
      <c r="G1291" s="108">
        <v>2.83</v>
      </c>
    </row>
    <row r="1293" spans="1:7" x14ac:dyDescent="0.2">
      <c r="A1293" s="112"/>
      <c r="B1293" s="112" t="s">
        <v>254</v>
      </c>
      <c r="C1293" s="113"/>
      <c r="D1293" s="112"/>
      <c r="E1293" s="113"/>
      <c r="F1293" s="112"/>
      <c r="G1293" s="112">
        <v>31.11</v>
      </c>
    </row>
    <row r="1295" spans="1:7" x14ac:dyDescent="0.2">
      <c r="A1295" s="112" t="s">
        <v>7</v>
      </c>
      <c r="B1295" s="112"/>
      <c r="C1295" s="113"/>
      <c r="D1295" s="112"/>
      <c r="E1295" s="113"/>
      <c r="F1295" s="112"/>
      <c r="G1295" s="112"/>
    </row>
    <row r="1296" spans="1:7" x14ac:dyDescent="0.2">
      <c r="A1296" s="114" t="s">
        <v>413</v>
      </c>
      <c r="G1296" s="115" t="s">
        <v>414</v>
      </c>
    </row>
    <row r="1298" spans="1:7" x14ac:dyDescent="0.2">
      <c r="A1298" s="114"/>
      <c r="B1298" s="114" t="s">
        <v>294</v>
      </c>
      <c r="C1298" s="116"/>
      <c r="D1298" s="114"/>
      <c r="E1298" s="116"/>
      <c r="F1298" s="114"/>
      <c r="G1298" s="114">
        <v>75</v>
      </c>
    </row>
    <row r="1299" spans="1:7" x14ac:dyDescent="0.2">
      <c r="A1299" s="108" t="s">
        <v>265</v>
      </c>
      <c r="B1299" s="108" t="s">
        <v>415</v>
      </c>
      <c r="C1299" s="111" t="s">
        <v>416</v>
      </c>
      <c r="D1299" s="117">
        <v>1</v>
      </c>
      <c r="E1299" s="118">
        <v>1</v>
      </c>
      <c r="F1299" s="108">
        <v>75</v>
      </c>
      <c r="G1299" s="108">
        <v>75</v>
      </c>
    </row>
    <row r="1301" spans="1:7" x14ac:dyDescent="0.2">
      <c r="A1301" s="114"/>
      <c r="B1301" s="114" t="s">
        <v>264</v>
      </c>
      <c r="C1301" s="116"/>
      <c r="D1301" s="114"/>
      <c r="E1301" s="116"/>
      <c r="F1301" s="114"/>
      <c r="G1301" s="114">
        <v>25.5</v>
      </c>
    </row>
    <row r="1302" spans="1:7" x14ac:dyDescent="0.2">
      <c r="A1302" s="108" t="s">
        <v>265</v>
      </c>
      <c r="B1302" s="108" t="s">
        <v>417</v>
      </c>
      <c r="C1302" s="111" t="s">
        <v>267</v>
      </c>
      <c r="D1302" s="117">
        <v>2.1999999999999999E-2</v>
      </c>
      <c r="E1302" s="118">
        <v>1</v>
      </c>
      <c r="F1302" s="108">
        <v>250</v>
      </c>
      <c r="G1302" s="108">
        <v>5.5</v>
      </c>
    </row>
    <row r="1303" spans="1:7" x14ac:dyDescent="0.2">
      <c r="A1303" s="108" t="s">
        <v>265</v>
      </c>
      <c r="B1303" s="108" t="s">
        <v>418</v>
      </c>
      <c r="C1303" s="111" t="s">
        <v>267</v>
      </c>
      <c r="D1303" s="117">
        <v>0.04</v>
      </c>
      <c r="E1303" s="118">
        <v>1</v>
      </c>
      <c r="F1303" s="108">
        <v>350</v>
      </c>
      <c r="G1303" s="108">
        <v>14</v>
      </c>
    </row>
    <row r="1304" spans="1:7" x14ac:dyDescent="0.2">
      <c r="A1304" s="108" t="s">
        <v>265</v>
      </c>
      <c r="B1304" s="108" t="s">
        <v>419</v>
      </c>
      <c r="C1304" s="111" t="s">
        <v>267</v>
      </c>
      <c r="D1304" s="117">
        <v>0.04</v>
      </c>
      <c r="E1304" s="118">
        <v>1</v>
      </c>
      <c r="F1304" s="108">
        <v>150</v>
      </c>
      <c r="G1304" s="108">
        <v>6</v>
      </c>
    </row>
    <row r="1306" spans="1:7" x14ac:dyDescent="0.2">
      <c r="A1306" s="114"/>
      <c r="B1306" s="114" t="s">
        <v>271</v>
      </c>
      <c r="C1306" s="116"/>
      <c r="D1306" s="114"/>
      <c r="E1306" s="116"/>
      <c r="F1306" s="114"/>
      <c r="G1306" s="114">
        <v>13.88</v>
      </c>
    </row>
    <row r="1307" spans="1:7" x14ac:dyDescent="0.2">
      <c r="B1307" s="108" t="s">
        <v>298</v>
      </c>
      <c r="C1307" s="111" t="s">
        <v>273</v>
      </c>
      <c r="D1307" s="108">
        <v>10</v>
      </c>
      <c r="G1307" s="108">
        <v>7.5</v>
      </c>
    </row>
    <row r="1308" spans="1:7" x14ac:dyDescent="0.2">
      <c r="B1308" s="108" t="s">
        <v>274</v>
      </c>
      <c r="C1308" s="111" t="s">
        <v>273</v>
      </c>
      <c r="D1308" s="108">
        <v>25</v>
      </c>
      <c r="G1308" s="108">
        <v>6.38</v>
      </c>
    </row>
    <row r="1310" spans="1:7" x14ac:dyDescent="0.2">
      <c r="A1310" s="114"/>
      <c r="B1310" s="114" t="s">
        <v>254</v>
      </c>
      <c r="C1310" s="116"/>
      <c r="D1310" s="114"/>
      <c r="E1310" s="116"/>
      <c r="F1310" s="114"/>
      <c r="G1310" s="114"/>
    </row>
    <row r="1311" spans="1:7" x14ac:dyDescent="0.2">
      <c r="B1311" s="108" t="s">
        <v>275</v>
      </c>
      <c r="G1311" s="108">
        <v>100.5</v>
      </c>
    </row>
    <row r="1312" spans="1:7" x14ac:dyDescent="0.2">
      <c r="B1312" s="108" t="s">
        <v>276</v>
      </c>
      <c r="G1312" s="108">
        <v>13.88</v>
      </c>
    </row>
    <row r="1313" spans="1:7" x14ac:dyDescent="0.2">
      <c r="B1313" s="108" t="s">
        <v>277</v>
      </c>
      <c r="G1313" s="108">
        <v>114.38</v>
      </c>
    </row>
    <row r="1314" spans="1:7" x14ac:dyDescent="0.2">
      <c r="B1314" s="108" t="s">
        <v>278</v>
      </c>
      <c r="C1314" s="111" t="s">
        <v>273</v>
      </c>
      <c r="D1314" s="108" t="s">
        <v>279</v>
      </c>
      <c r="G1314" s="108">
        <v>11.44</v>
      </c>
    </row>
    <row r="1316" spans="1:7" x14ac:dyDescent="0.2">
      <c r="A1316" s="112"/>
      <c r="B1316" s="112" t="s">
        <v>254</v>
      </c>
      <c r="C1316" s="113"/>
      <c r="D1316" s="112"/>
      <c r="E1316" s="113"/>
      <c r="F1316" s="112"/>
      <c r="G1316" s="112">
        <v>125.82</v>
      </c>
    </row>
    <row r="1318" spans="1:7" x14ac:dyDescent="0.2">
      <c r="A1318" s="112" t="s">
        <v>93</v>
      </c>
      <c r="B1318" s="112"/>
      <c r="C1318" s="113"/>
      <c r="D1318" s="112"/>
      <c r="E1318" s="113"/>
      <c r="F1318" s="112"/>
      <c r="G1318" s="112"/>
    </row>
    <row r="1319" spans="1:7" x14ac:dyDescent="0.2">
      <c r="A1319" s="114" t="s">
        <v>420</v>
      </c>
      <c r="G1319" s="115" t="s">
        <v>414</v>
      </c>
    </row>
    <row r="1321" spans="1:7" x14ac:dyDescent="0.2">
      <c r="A1321" s="114"/>
      <c r="B1321" s="114" t="s">
        <v>294</v>
      </c>
      <c r="C1321" s="116"/>
      <c r="D1321" s="114"/>
      <c r="E1321" s="116"/>
      <c r="F1321" s="114"/>
      <c r="G1321" s="114">
        <v>78</v>
      </c>
    </row>
    <row r="1322" spans="1:7" x14ac:dyDescent="0.2">
      <c r="A1322" s="108" t="s">
        <v>265</v>
      </c>
      <c r="B1322" s="108" t="s">
        <v>421</v>
      </c>
      <c r="C1322" s="111" t="s">
        <v>416</v>
      </c>
      <c r="D1322" s="117">
        <v>1</v>
      </c>
      <c r="E1322" s="118">
        <v>1</v>
      </c>
      <c r="F1322" s="108">
        <v>78</v>
      </c>
      <c r="G1322" s="108">
        <v>78</v>
      </c>
    </row>
    <row r="1324" spans="1:7" x14ac:dyDescent="0.2">
      <c r="A1324" s="114"/>
      <c r="B1324" s="114" t="s">
        <v>264</v>
      </c>
      <c r="C1324" s="116"/>
      <c r="D1324" s="114"/>
      <c r="E1324" s="116"/>
      <c r="F1324" s="114"/>
      <c r="G1324" s="114">
        <v>25.5</v>
      </c>
    </row>
    <row r="1325" spans="1:7" x14ac:dyDescent="0.2">
      <c r="A1325" s="108" t="s">
        <v>265</v>
      </c>
      <c r="B1325" s="108" t="s">
        <v>417</v>
      </c>
      <c r="C1325" s="111" t="s">
        <v>267</v>
      </c>
      <c r="D1325" s="117">
        <v>2.1999999999999999E-2</v>
      </c>
      <c r="E1325" s="118">
        <v>1</v>
      </c>
      <c r="F1325" s="108">
        <v>250</v>
      </c>
      <c r="G1325" s="108">
        <v>5.5</v>
      </c>
    </row>
    <row r="1326" spans="1:7" x14ac:dyDescent="0.2">
      <c r="A1326" s="108" t="s">
        <v>265</v>
      </c>
      <c r="B1326" s="108" t="s">
        <v>418</v>
      </c>
      <c r="C1326" s="111" t="s">
        <v>267</v>
      </c>
      <c r="D1326" s="117">
        <v>0.04</v>
      </c>
      <c r="E1326" s="118">
        <v>1</v>
      </c>
      <c r="F1326" s="108">
        <v>350</v>
      </c>
      <c r="G1326" s="108">
        <v>14</v>
      </c>
    </row>
    <row r="1327" spans="1:7" x14ac:dyDescent="0.2">
      <c r="A1327" s="108" t="s">
        <v>265</v>
      </c>
      <c r="B1327" s="108" t="s">
        <v>419</v>
      </c>
      <c r="C1327" s="111" t="s">
        <v>267</v>
      </c>
      <c r="D1327" s="117">
        <v>0.04</v>
      </c>
      <c r="E1327" s="118">
        <v>1</v>
      </c>
      <c r="F1327" s="108">
        <v>150</v>
      </c>
      <c r="G1327" s="108">
        <v>6</v>
      </c>
    </row>
    <row r="1329" spans="1:7" x14ac:dyDescent="0.2">
      <c r="A1329" s="114"/>
      <c r="B1329" s="114" t="s">
        <v>271</v>
      </c>
      <c r="C1329" s="116"/>
      <c r="D1329" s="114"/>
      <c r="E1329" s="116"/>
      <c r="F1329" s="114"/>
      <c r="G1329" s="114">
        <v>14.18</v>
      </c>
    </row>
    <row r="1330" spans="1:7" x14ac:dyDescent="0.2">
      <c r="B1330" s="108" t="s">
        <v>298</v>
      </c>
      <c r="C1330" s="111" t="s">
        <v>273</v>
      </c>
      <c r="D1330" s="108">
        <v>10</v>
      </c>
      <c r="G1330" s="108">
        <v>7.8</v>
      </c>
    </row>
    <row r="1331" spans="1:7" x14ac:dyDescent="0.2">
      <c r="B1331" s="108" t="s">
        <v>274</v>
      </c>
      <c r="C1331" s="111" t="s">
        <v>273</v>
      </c>
      <c r="D1331" s="108">
        <v>25</v>
      </c>
      <c r="G1331" s="108">
        <v>6.38</v>
      </c>
    </row>
    <row r="1333" spans="1:7" x14ac:dyDescent="0.2">
      <c r="A1333" s="114"/>
      <c r="B1333" s="114" t="s">
        <v>254</v>
      </c>
      <c r="C1333" s="116"/>
      <c r="D1333" s="114"/>
      <c r="E1333" s="116"/>
      <c r="F1333" s="114"/>
      <c r="G1333" s="114"/>
    </row>
    <row r="1334" spans="1:7" x14ac:dyDescent="0.2">
      <c r="B1334" s="108" t="s">
        <v>275</v>
      </c>
      <c r="G1334" s="108">
        <v>103.5</v>
      </c>
    </row>
    <row r="1335" spans="1:7" x14ac:dyDescent="0.2">
      <c r="B1335" s="108" t="s">
        <v>276</v>
      </c>
      <c r="G1335" s="108">
        <v>14.18</v>
      </c>
    </row>
    <row r="1336" spans="1:7" x14ac:dyDescent="0.2">
      <c r="B1336" s="108" t="s">
        <v>277</v>
      </c>
      <c r="G1336" s="108">
        <v>117.68</v>
      </c>
    </row>
    <row r="1337" spans="1:7" x14ac:dyDescent="0.2">
      <c r="B1337" s="108" t="s">
        <v>278</v>
      </c>
      <c r="C1337" s="111" t="s">
        <v>273</v>
      </c>
      <c r="D1337" s="108" t="s">
        <v>279</v>
      </c>
      <c r="G1337" s="108">
        <v>11.77</v>
      </c>
    </row>
    <row r="1339" spans="1:7" x14ac:dyDescent="0.2">
      <c r="A1339" s="112"/>
      <c r="B1339" s="112" t="s">
        <v>254</v>
      </c>
      <c r="C1339" s="113"/>
      <c r="D1339" s="112"/>
      <c r="E1339" s="113"/>
      <c r="F1339" s="112"/>
      <c r="G1339" s="112">
        <v>129.44999999999999</v>
      </c>
    </row>
    <row r="1341" spans="1:7" x14ac:dyDescent="0.2">
      <c r="A1341" s="112" t="s">
        <v>51</v>
      </c>
      <c r="B1341" s="112"/>
      <c r="C1341" s="113"/>
      <c r="D1341" s="112"/>
      <c r="E1341" s="113"/>
      <c r="F1341" s="112"/>
      <c r="G1341" s="112"/>
    </row>
    <row r="1342" spans="1:7" x14ac:dyDescent="0.2">
      <c r="A1342" s="114" t="s">
        <v>422</v>
      </c>
      <c r="G1342" s="115" t="s">
        <v>281</v>
      </c>
    </row>
    <row r="1344" spans="1:7" x14ac:dyDescent="0.2">
      <c r="A1344" s="114"/>
      <c r="B1344" s="114" t="s">
        <v>264</v>
      </c>
      <c r="C1344" s="116"/>
      <c r="D1344" s="114"/>
      <c r="E1344" s="116"/>
      <c r="F1344" s="114"/>
      <c r="G1344" s="114">
        <v>2.75</v>
      </c>
    </row>
    <row r="1345" spans="1:7" x14ac:dyDescent="0.2">
      <c r="A1345" s="108" t="s">
        <v>265</v>
      </c>
      <c r="B1345" s="108" t="s">
        <v>284</v>
      </c>
      <c r="C1345" s="111" t="s">
        <v>267</v>
      </c>
      <c r="D1345" s="117">
        <v>1E-3</v>
      </c>
      <c r="E1345" s="118">
        <v>1</v>
      </c>
      <c r="F1345" s="108">
        <v>250</v>
      </c>
      <c r="G1345" s="108">
        <v>0.25</v>
      </c>
    </row>
    <row r="1346" spans="1:7" x14ac:dyDescent="0.2">
      <c r="A1346" s="108" t="s">
        <v>265</v>
      </c>
      <c r="B1346" s="108" t="s">
        <v>423</v>
      </c>
      <c r="C1346" s="111" t="s">
        <v>267</v>
      </c>
      <c r="D1346" s="117">
        <v>0.01</v>
      </c>
      <c r="E1346" s="118">
        <v>1</v>
      </c>
      <c r="F1346" s="108">
        <v>250</v>
      </c>
      <c r="G1346" s="108">
        <v>2.5</v>
      </c>
    </row>
    <row r="1348" spans="1:7" x14ac:dyDescent="0.2">
      <c r="A1348" s="114"/>
      <c r="B1348" s="114" t="s">
        <v>271</v>
      </c>
      <c r="C1348" s="116"/>
      <c r="D1348" s="114"/>
      <c r="E1348" s="116"/>
      <c r="F1348" s="114"/>
      <c r="G1348" s="114">
        <v>0.69</v>
      </c>
    </row>
    <row r="1349" spans="1:7" x14ac:dyDescent="0.2">
      <c r="B1349" s="108" t="s">
        <v>274</v>
      </c>
      <c r="C1349" s="111" t="s">
        <v>273</v>
      </c>
      <c r="D1349" s="108">
        <v>25</v>
      </c>
      <c r="G1349" s="108">
        <v>0.69</v>
      </c>
    </row>
    <row r="1351" spans="1:7" x14ac:dyDescent="0.2">
      <c r="A1351" s="114"/>
      <c r="B1351" s="114" t="s">
        <v>254</v>
      </c>
      <c r="C1351" s="116"/>
      <c r="D1351" s="114"/>
      <c r="E1351" s="116"/>
      <c r="F1351" s="114"/>
      <c r="G1351" s="114"/>
    </row>
    <row r="1352" spans="1:7" x14ac:dyDescent="0.2">
      <c r="B1352" s="108" t="s">
        <v>275</v>
      </c>
      <c r="G1352" s="108">
        <v>2.75</v>
      </c>
    </row>
    <row r="1353" spans="1:7" x14ac:dyDescent="0.2">
      <c r="B1353" s="108" t="s">
        <v>276</v>
      </c>
      <c r="G1353" s="108">
        <v>0.69</v>
      </c>
    </row>
    <row r="1354" spans="1:7" x14ac:dyDescent="0.2">
      <c r="B1354" s="108" t="s">
        <v>277</v>
      </c>
      <c r="G1354" s="108">
        <v>3.44</v>
      </c>
    </row>
    <row r="1355" spans="1:7" x14ac:dyDescent="0.2">
      <c r="B1355" s="108" t="s">
        <v>278</v>
      </c>
      <c r="C1355" s="111" t="s">
        <v>273</v>
      </c>
      <c r="D1355" s="108" t="s">
        <v>279</v>
      </c>
      <c r="G1355" s="108">
        <v>0.34</v>
      </c>
    </row>
    <row r="1357" spans="1:7" x14ac:dyDescent="0.2">
      <c r="A1357" s="112"/>
      <c r="B1357" s="112" t="s">
        <v>254</v>
      </c>
      <c r="C1357" s="113"/>
      <c r="D1357" s="112"/>
      <c r="E1357" s="113"/>
      <c r="F1357" s="112"/>
      <c r="G1357" s="112">
        <v>3.78</v>
      </c>
    </row>
    <row r="1359" spans="1:7" x14ac:dyDescent="0.2">
      <c r="A1359" s="112" t="s">
        <v>11</v>
      </c>
      <c r="B1359" s="112"/>
      <c r="C1359" s="113"/>
      <c r="D1359" s="112"/>
      <c r="E1359" s="113"/>
      <c r="F1359" s="112"/>
      <c r="G1359" s="112"/>
    </row>
    <row r="1360" spans="1:7" x14ac:dyDescent="0.2">
      <c r="A1360" s="114" t="s">
        <v>424</v>
      </c>
      <c r="G1360" s="115" t="s">
        <v>281</v>
      </c>
    </row>
    <row r="1362" spans="1:7" x14ac:dyDescent="0.2">
      <c r="A1362" s="114"/>
      <c r="B1362" s="114" t="s">
        <v>264</v>
      </c>
      <c r="C1362" s="116"/>
      <c r="D1362" s="114"/>
      <c r="E1362" s="116"/>
      <c r="F1362" s="114"/>
      <c r="G1362" s="114">
        <v>1.8</v>
      </c>
    </row>
    <row r="1363" spans="1:7" x14ac:dyDescent="0.2">
      <c r="A1363" s="108" t="s">
        <v>265</v>
      </c>
      <c r="B1363" s="108" t="s">
        <v>425</v>
      </c>
      <c r="C1363" s="111" t="s">
        <v>267</v>
      </c>
      <c r="D1363" s="117">
        <v>6.0000000000000001E-3</v>
      </c>
      <c r="E1363" s="118">
        <v>1</v>
      </c>
      <c r="F1363" s="108">
        <v>300</v>
      </c>
      <c r="G1363" s="108">
        <v>1.8</v>
      </c>
    </row>
    <row r="1365" spans="1:7" x14ac:dyDescent="0.2">
      <c r="A1365" s="114"/>
      <c r="B1365" s="114" t="s">
        <v>271</v>
      </c>
      <c r="C1365" s="116"/>
      <c r="D1365" s="114"/>
      <c r="E1365" s="116"/>
      <c r="F1365" s="114"/>
      <c r="G1365" s="114">
        <v>0.45</v>
      </c>
    </row>
    <row r="1366" spans="1:7" x14ac:dyDescent="0.2">
      <c r="B1366" s="108" t="s">
        <v>274</v>
      </c>
      <c r="C1366" s="111" t="s">
        <v>273</v>
      </c>
      <c r="D1366" s="108">
        <v>25</v>
      </c>
      <c r="G1366" s="108">
        <v>0.45</v>
      </c>
    </row>
    <row r="1368" spans="1:7" x14ac:dyDescent="0.2">
      <c r="A1368" s="114"/>
      <c r="B1368" s="114" t="s">
        <v>254</v>
      </c>
      <c r="C1368" s="116"/>
      <c r="D1368" s="114"/>
      <c r="E1368" s="116"/>
      <c r="F1368" s="114"/>
      <c r="G1368" s="114"/>
    </row>
    <row r="1369" spans="1:7" x14ac:dyDescent="0.2">
      <c r="B1369" s="108" t="s">
        <v>275</v>
      </c>
      <c r="G1369" s="108">
        <v>1.8</v>
      </c>
    </row>
    <row r="1370" spans="1:7" x14ac:dyDescent="0.2">
      <c r="B1370" s="108" t="s">
        <v>276</v>
      </c>
      <c r="G1370" s="108">
        <v>0.45</v>
      </c>
    </row>
    <row r="1371" spans="1:7" x14ac:dyDescent="0.2">
      <c r="B1371" s="108" t="s">
        <v>277</v>
      </c>
      <c r="G1371" s="108">
        <v>2.25</v>
      </c>
    </row>
    <row r="1372" spans="1:7" x14ac:dyDescent="0.2">
      <c r="B1372" s="108" t="s">
        <v>278</v>
      </c>
      <c r="C1372" s="111" t="s">
        <v>273</v>
      </c>
      <c r="D1372" s="108" t="s">
        <v>279</v>
      </c>
      <c r="G1372" s="108">
        <v>0.23</v>
      </c>
    </row>
    <row r="1374" spans="1:7" x14ac:dyDescent="0.2">
      <c r="A1374" s="112"/>
      <c r="B1374" s="112" t="s">
        <v>254</v>
      </c>
      <c r="C1374" s="113"/>
      <c r="D1374" s="112"/>
      <c r="E1374" s="113"/>
      <c r="F1374" s="112"/>
      <c r="G1374" s="112">
        <v>2.48</v>
      </c>
    </row>
    <row r="1376" spans="1:7" x14ac:dyDescent="0.2">
      <c r="A1376" s="112" t="s">
        <v>96</v>
      </c>
      <c r="B1376" s="112"/>
      <c r="C1376" s="113"/>
      <c r="D1376" s="112"/>
      <c r="E1376" s="113"/>
      <c r="F1376" s="112"/>
      <c r="G1376" s="112"/>
    </row>
    <row r="1377" spans="1:7" x14ac:dyDescent="0.2">
      <c r="A1377" s="114" t="s">
        <v>426</v>
      </c>
      <c r="G1377" s="115" t="s">
        <v>427</v>
      </c>
    </row>
    <row r="1379" spans="1:7" x14ac:dyDescent="0.2">
      <c r="A1379" s="114"/>
      <c r="B1379" s="114" t="s">
        <v>264</v>
      </c>
      <c r="C1379" s="116"/>
      <c r="D1379" s="114"/>
      <c r="E1379" s="116"/>
      <c r="F1379" s="114"/>
      <c r="G1379" s="114">
        <v>4.75</v>
      </c>
    </row>
    <row r="1380" spans="1:7" x14ac:dyDescent="0.2">
      <c r="A1380" s="108" t="s">
        <v>265</v>
      </c>
      <c r="B1380" s="108" t="s">
        <v>284</v>
      </c>
      <c r="C1380" s="111" t="s">
        <v>267</v>
      </c>
      <c r="D1380" s="117">
        <v>1E-3</v>
      </c>
      <c r="E1380" s="118">
        <v>1</v>
      </c>
      <c r="F1380" s="108">
        <v>250</v>
      </c>
      <c r="G1380" s="108">
        <v>0.25</v>
      </c>
    </row>
    <row r="1381" spans="1:7" x14ac:dyDescent="0.2">
      <c r="A1381" s="108" t="s">
        <v>265</v>
      </c>
      <c r="B1381" s="108" t="s">
        <v>423</v>
      </c>
      <c r="C1381" s="111" t="s">
        <v>267</v>
      </c>
      <c r="D1381" s="117">
        <v>1.7999999999999999E-2</v>
      </c>
      <c r="E1381" s="118">
        <v>1</v>
      </c>
      <c r="F1381" s="108">
        <v>250</v>
      </c>
      <c r="G1381" s="108">
        <v>4.5</v>
      </c>
    </row>
    <row r="1383" spans="1:7" x14ac:dyDescent="0.2">
      <c r="A1383" s="114"/>
      <c r="B1383" s="114" t="s">
        <v>271</v>
      </c>
      <c r="C1383" s="116"/>
      <c r="D1383" s="114"/>
      <c r="E1383" s="116"/>
      <c r="F1383" s="114"/>
      <c r="G1383" s="114">
        <v>1.19</v>
      </c>
    </row>
    <row r="1384" spans="1:7" x14ac:dyDescent="0.2">
      <c r="B1384" s="108" t="s">
        <v>274</v>
      </c>
      <c r="C1384" s="111" t="s">
        <v>273</v>
      </c>
      <c r="D1384" s="108">
        <v>25</v>
      </c>
      <c r="G1384" s="108">
        <v>1.19</v>
      </c>
    </row>
    <row r="1386" spans="1:7" x14ac:dyDescent="0.2">
      <c r="A1386" s="114"/>
      <c r="B1386" s="114" t="s">
        <v>254</v>
      </c>
      <c r="C1386" s="116"/>
      <c r="D1386" s="114"/>
      <c r="E1386" s="116"/>
      <c r="F1386" s="114"/>
      <c r="G1386" s="114"/>
    </row>
    <row r="1387" spans="1:7" x14ac:dyDescent="0.2">
      <c r="B1387" s="108" t="s">
        <v>275</v>
      </c>
      <c r="G1387" s="108">
        <v>4.75</v>
      </c>
    </row>
    <row r="1388" spans="1:7" x14ac:dyDescent="0.2">
      <c r="B1388" s="108" t="s">
        <v>276</v>
      </c>
      <c r="G1388" s="108">
        <v>1.19</v>
      </c>
    </row>
    <row r="1389" spans="1:7" x14ac:dyDescent="0.2">
      <c r="B1389" s="108" t="s">
        <v>277</v>
      </c>
      <c r="G1389" s="108">
        <v>5.94</v>
      </c>
    </row>
    <row r="1390" spans="1:7" x14ac:dyDescent="0.2">
      <c r="B1390" s="108" t="s">
        <v>278</v>
      </c>
      <c r="C1390" s="111" t="s">
        <v>273</v>
      </c>
      <c r="D1390" s="108" t="s">
        <v>279</v>
      </c>
      <c r="G1390" s="108">
        <v>0.59</v>
      </c>
    </row>
    <row r="1392" spans="1:7" x14ac:dyDescent="0.2">
      <c r="A1392" s="112"/>
      <c r="B1392" s="112" t="s">
        <v>254</v>
      </c>
      <c r="C1392" s="113"/>
      <c r="D1392" s="112"/>
      <c r="E1392" s="113"/>
      <c r="F1392" s="112"/>
      <c r="G1392" s="112">
        <v>6.53</v>
      </c>
    </row>
    <row r="1394" spans="1:7" x14ac:dyDescent="0.2">
      <c r="A1394" s="112" t="s">
        <v>15</v>
      </c>
      <c r="B1394" s="112"/>
      <c r="C1394" s="113"/>
      <c r="D1394" s="112"/>
      <c r="E1394" s="113"/>
      <c r="F1394" s="112"/>
      <c r="G1394" s="112"/>
    </row>
    <row r="1395" spans="1:7" x14ac:dyDescent="0.2">
      <c r="A1395" s="114" t="s">
        <v>428</v>
      </c>
      <c r="G1395" s="115" t="s">
        <v>396</v>
      </c>
    </row>
    <row r="1397" spans="1:7" x14ac:dyDescent="0.2">
      <c r="A1397" s="114"/>
      <c r="B1397" s="114" t="s">
        <v>294</v>
      </c>
      <c r="C1397" s="116"/>
      <c r="D1397" s="114"/>
      <c r="E1397" s="116"/>
      <c r="F1397" s="114"/>
      <c r="G1397" s="114">
        <v>0.02</v>
      </c>
    </row>
    <row r="1398" spans="1:7" x14ac:dyDescent="0.2">
      <c r="A1398" s="108" t="s">
        <v>265</v>
      </c>
      <c r="B1398" s="108" t="s">
        <v>429</v>
      </c>
      <c r="C1398" s="111" t="s">
        <v>306</v>
      </c>
      <c r="D1398" s="117">
        <v>0.02</v>
      </c>
      <c r="E1398" s="118">
        <v>1</v>
      </c>
      <c r="F1398" s="108">
        <v>1.2</v>
      </c>
      <c r="G1398" s="108">
        <v>0.02</v>
      </c>
    </row>
    <row r="1400" spans="1:7" x14ac:dyDescent="0.2">
      <c r="A1400" s="114"/>
      <c r="B1400" s="114" t="s">
        <v>264</v>
      </c>
      <c r="C1400" s="116"/>
      <c r="D1400" s="114"/>
      <c r="E1400" s="116"/>
      <c r="F1400" s="114"/>
      <c r="G1400" s="114">
        <v>0.8</v>
      </c>
    </row>
    <row r="1401" spans="1:7" x14ac:dyDescent="0.2">
      <c r="A1401" s="108" t="s">
        <v>265</v>
      </c>
      <c r="B1401" s="108" t="s">
        <v>430</v>
      </c>
      <c r="C1401" s="111" t="s">
        <v>267</v>
      </c>
      <c r="D1401" s="117">
        <v>0.02</v>
      </c>
      <c r="E1401" s="118">
        <v>1</v>
      </c>
      <c r="F1401" s="108">
        <v>40</v>
      </c>
      <c r="G1401" s="108">
        <v>0.8</v>
      </c>
    </row>
    <row r="1403" spans="1:7" x14ac:dyDescent="0.2">
      <c r="A1403" s="114"/>
      <c r="B1403" s="114" t="s">
        <v>268</v>
      </c>
      <c r="C1403" s="116"/>
      <c r="D1403" s="119">
        <v>1.2E-2</v>
      </c>
      <c r="E1403" s="116"/>
      <c r="F1403" s="114"/>
      <c r="G1403" s="114">
        <v>0.12</v>
      </c>
    </row>
    <row r="1404" spans="1:7" x14ac:dyDescent="0.2">
      <c r="A1404" s="108" t="s">
        <v>265</v>
      </c>
      <c r="B1404" s="108" t="s">
        <v>310</v>
      </c>
      <c r="C1404" s="111" t="s">
        <v>270</v>
      </c>
      <c r="D1404" s="117">
        <v>1.2E-2</v>
      </c>
      <c r="E1404" s="118">
        <v>1</v>
      </c>
      <c r="F1404" s="108">
        <v>10</v>
      </c>
      <c r="G1404" s="108">
        <v>0.12</v>
      </c>
    </row>
    <row r="1406" spans="1:7" x14ac:dyDescent="0.2">
      <c r="A1406" s="114"/>
      <c r="B1406" s="114" t="s">
        <v>271</v>
      </c>
      <c r="C1406" s="116"/>
      <c r="D1406" s="114"/>
      <c r="E1406" s="116"/>
      <c r="F1406" s="114"/>
      <c r="G1406" s="114">
        <v>0.3</v>
      </c>
    </row>
    <row r="1407" spans="1:7" x14ac:dyDescent="0.2">
      <c r="B1407" s="108" t="s">
        <v>272</v>
      </c>
      <c r="C1407" s="111" t="s">
        <v>273</v>
      </c>
      <c r="D1407" s="108">
        <v>80</v>
      </c>
      <c r="G1407" s="108">
        <v>0.1</v>
      </c>
    </row>
    <row r="1408" spans="1:7" x14ac:dyDescent="0.2">
      <c r="B1408" s="108" t="s">
        <v>298</v>
      </c>
      <c r="C1408" s="111" t="s">
        <v>273</v>
      </c>
      <c r="D1408" s="108">
        <v>10</v>
      </c>
      <c r="G1408" s="108">
        <v>0</v>
      </c>
    </row>
    <row r="1409" spans="1:7" x14ac:dyDescent="0.2">
      <c r="B1409" s="108" t="s">
        <v>274</v>
      </c>
      <c r="C1409" s="111" t="s">
        <v>273</v>
      </c>
      <c r="D1409" s="108">
        <v>25</v>
      </c>
      <c r="G1409" s="108">
        <v>0.2</v>
      </c>
    </row>
    <row r="1411" spans="1:7" x14ac:dyDescent="0.2">
      <c r="A1411" s="114"/>
      <c r="B1411" s="114" t="s">
        <v>254</v>
      </c>
      <c r="C1411" s="116"/>
      <c r="D1411" s="114"/>
      <c r="E1411" s="116"/>
      <c r="F1411" s="114"/>
      <c r="G1411" s="114"/>
    </row>
    <row r="1412" spans="1:7" x14ac:dyDescent="0.2">
      <c r="B1412" s="108" t="s">
        <v>275</v>
      </c>
      <c r="G1412" s="108">
        <v>0.94</v>
      </c>
    </row>
    <row r="1413" spans="1:7" x14ac:dyDescent="0.2">
      <c r="B1413" s="108" t="s">
        <v>276</v>
      </c>
      <c r="G1413" s="108">
        <v>0.3</v>
      </c>
    </row>
    <row r="1414" spans="1:7" x14ac:dyDescent="0.2">
      <c r="B1414" s="108" t="s">
        <v>277</v>
      </c>
      <c r="G1414" s="108">
        <v>1.24</v>
      </c>
    </row>
    <row r="1415" spans="1:7" x14ac:dyDescent="0.2">
      <c r="B1415" s="108" t="s">
        <v>278</v>
      </c>
      <c r="C1415" s="111" t="s">
        <v>273</v>
      </c>
      <c r="D1415" s="108" t="s">
        <v>279</v>
      </c>
      <c r="G1415" s="108">
        <v>0.12</v>
      </c>
    </row>
    <row r="1417" spans="1:7" x14ac:dyDescent="0.2">
      <c r="A1417" s="112"/>
      <c r="B1417" s="112" t="s">
        <v>254</v>
      </c>
      <c r="C1417" s="113"/>
      <c r="D1417" s="112"/>
      <c r="E1417" s="113"/>
      <c r="F1417" s="112"/>
      <c r="G1417" s="112">
        <v>1.36</v>
      </c>
    </row>
    <row r="1419" spans="1:7" x14ac:dyDescent="0.2">
      <c r="A1419" s="112" t="s">
        <v>16</v>
      </c>
      <c r="B1419" s="112"/>
      <c r="C1419" s="113"/>
      <c r="D1419" s="112"/>
      <c r="E1419" s="113"/>
      <c r="F1419" s="112"/>
      <c r="G1419" s="112"/>
    </row>
    <row r="1420" spans="1:7" x14ac:dyDescent="0.2">
      <c r="A1420" s="114" t="s">
        <v>431</v>
      </c>
      <c r="G1420" s="115" t="s">
        <v>396</v>
      </c>
    </row>
    <row r="1422" spans="1:7" x14ac:dyDescent="0.2">
      <c r="A1422" s="114"/>
      <c r="B1422" s="114" t="s">
        <v>264</v>
      </c>
      <c r="C1422" s="116"/>
      <c r="D1422" s="114"/>
      <c r="E1422" s="116"/>
      <c r="F1422" s="114"/>
      <c r="G1422" s="114">
        <v>0.72</v>
      </c>
    </row>
    <row r="1423" spans="1:7" x14ac:dyDescent="0.2">
      <c r="A1423" s="108" t="s">
        <v>265</v>
      </c>
      <c r="B1423" s="108" t="s">
        <v>432</v>
      </c>
      <c r="C1423" s="111" t="s">
        <v>267</v>
      </c>
      <c r="D1423" s="117">
        <v>1.7999999999999999E-2</v>
      </c>
      <c r="E1423" s="118">
        <v>1</v>
      </c>
      <c r="F1423" s="108">
        <v>40</v>
      </c>
      <c r="G1423" s="108">
        <v>0.72</v>
      </c>
    </row>
    <row r="1425" spans="1:7" x14ac:dyDescent="0.2">
      <c r="A1425" s="114"/>
      <c r="B1425" s="114" t="s">
        <v>268</v>
      </c>
      <c r="C1425" s="116"/>
      <c r="D1425" s="119">
        <v>2.5000000000000001E-2</v>
      </c>
      <c r="E1425" s="116"/>
      <c r="F1425" s="114"/>
      <c r="G1425" s="114">
        <v>0.25</v>
      </c>
    </row>
    <row r="1426" spans="1:7" x14ac:dyDescent="0.2">
      <c r="A1426" s="108" t="s">
        <v>265</v>
      </c>
      <c r="B1426" s="108" t="s">
        <v>310</v>
      </c>
      <c r="C1426" s="111" t="s">
        <v>270</v>
      </c>
      <c r="D1426" s="117">
        <v>2.5000000000000001E-2</v>
      </c>
      <c r="E1426" s="118">
        <v>1</v>
      </c>
      <c r="F1426" s="108">
        <v>10</v>
      </c>
      <c r="G1426" s="108">
        <v>0.25</v>
      </c>
    </row>
    <row r="1428" spans="1:7" x14ac:dyDescent="0.2">
      <c r="A1428" s="114"/>
      <c r="B1428" s="114" t="s">
        <v>271</v>
      </c>
      <c r="C1428" s="116"/>
      <c r="D1428" s="114"/>
      <c r="E1428" s="116"/>
      <c r="F1428" s="114"/>
      <c r="G1428" s="114">
        <v>0.38</v>
      </c>
    </row>
    <row r="1429" spans="1:7" x14ac:dyDescent="0.2">
      <c r="B1429" s="108" t="s">
        <v>272</v>
      </c>
      <c r="C1429" s="111" t="s">
        <v>273</v>
      </c>
      <c r="D1429" s="108">
        <v>80</v>
      </c>
      <c r="G1429" s="108">
        <v>0.2</v>
      </c>
    </row>
    <row r="1430" spans="1:7" x14ac:dyDescent="0.2">
      <c r="B1430" s="108" t="s">
        <v>274</v>
      </c>
      <c r="C1430" s="111" t="s">
        <v>273</v>
      </c>
      <c r="D1430" s="108">
        <v>25</v>
      </c>
      <c r="G1430" s="108">
        <v>0.18</v>
      </c>
    </row>
    <row r="1432" spans="1:7" x14ac:dyDescent="0.2">
      <c r="A1432" s="114"/>
      <c r="B1432" s="114" t="s">
        <v>254</v>
      </c>
      <c r="C1432" s="116"/>
      <c r="D1432" s="114"/>
      <c r="E1432" s="116"/>
      <c r="F1432" s="114"/>
      <c r="G1432" s="114"/>
    </row>
    <row r="1433" spans="1:7" x14ac:dyDescent="0.2">
      <c r="B1433" s="108" t="s">
        <v>275</v>
      </c>
      <c r="G1433" s="108">
        <v>0.97</v>
      </c>
    </row>
    <row r="1434" spans="1:7" x14ac:dyDescent="0.2">
      <c r="B1434" s="108" t="s">
        <v>276</v>
      </c>
      <c r="G1434" s="108">
        <v>0.38</v>
      </c>
    </row>
    <row r="1435" spans="1:7" x14ac:dyDescent="0.2">
      <c r="B1435" s="108" t="s">
        <v>277</v>
      </c>
      <c r="G1435" s="108">
        <v>1.35</v>
      </c>
    </row>
    <row r="1436" spans="1:7" x14ac:dyDescent="0.2">
      <c r="B1436" s="108" t="s">
        <v>278</v>
      </c>
      <c r="C1436" s="111" t="s">
        <v>273</v>
      </c>
      <c r="D1436" s="108" t="s">
        <v>279</v>
      </c>
      <c r="G1436" s="108">
        <v>0.14000000000000001</v>
      </c>
    </row>
    <row r="1438" spans="1:7" x14ac:dyDescent="0.2">
      <c r="A1438" s="112"/>
      <c r="B1438" s="112" t="s">
        <v>254</v>
      </c>
      <c r="C1438" s="113"/>
      <c r="D1438" s="112"/>
      <c r="E1438" s="113"/>
      <c r="F1438" s="112"/>
      <c r="G1438" s="112">
        <v>1.49</v>
      </c>
    </row>
    <row r="1440" spans="1:7" x14ac:dyDescent="0.2">
      <c r="A1440" s="112" t="s">
        <v>100</v>
      </c>
      <c r="B1440" s="112"/>
      <c r="C1440" s="113"/>
      <c r="D1440" s="112"/>
      <c r="E1440" s="113"/>
      <c r="F1440" s="112"/>
      <c r="G1440" s="112"/>
    </row>
    <row r="1441" spans="1:7" x14ac:dyDescent="0.2">
      <c r="A1441" s="114" t="s">
        <v>433</v>
      </c>
      <c r="G1441" s="115" t="s">
        <v>263</v>
      </c>
    </row>
    <row r="1443" spans="1:7" x14ac:dyDescent="0.2">
      <c r="A1443" s="114"/>
      <c r="B1443" s="114" t="s">
        <v>294</v>
      </c>
      <c r="C1443" s="116"/>
      <c r="D1443" s="114"/>
      <c r="E1443" s="116"/>
      <c r="F1443" s="114"/>
      <c r="G1443" s="114">
        <v>23.2</v>
      </c>
    </row>
    <row r="1444" spans="1:7" x14ac:dyDescent="0.2">
      <c r="A1444" s="108" t="s">
        <v>265</v>
      </c>
      <c r="B1444" s="108" t="s">
        <v>434</v>
      </c>
      <c r="C1444" s="111" t="s">
        <v>306</v>
      </c>
      <c r="D1444" s="117">
        <v>1</v>
      </c>
      <c r="E1444" s="118">
        <v>1</v>
      </c>
      <c r="F1444" s="108">
        <v>23.2</v>
      </c>
      <c r="G1444" s="108">
        <v>23.2</v>
      </c>
    </row>
    <row r="1446" spans="1:7" x14ac:dyDescent="0.2">
      <c r="A1446" s="114"/>
      <c r="B1446" s="114" t="s">
        <v>264</v>
      </c>
      <c r="C1446" s="116"/>
      <c r="D1446" s="114"/>
      <c r="E1446" s="116"/>
      <c r="F1446" s="114"/>
      <c r="G1446" s="114">
        <v>4.55</v>
      </c>
    </row>
    <row r="1447" spans="1:7" x14ac:dyDescent="0.2">
      <c r="A1447" s="108" t="s">
        <v>265</v>
      </c>
      <c r="B1447" s="108" t="s">
        <v>309</v>
      </c>
      <c r="C1447" s="111" t="s">
        <v>267</v>
      </c>
      <c r="D1447" s="117">
        <v>1.8200000000000001E-2</v>
      </c>
      <c r="E1447" s="118">
        <v>1</v>
      </c>
      <c r="F1447" s="108">
        <v>250</v>
      </c>
      <c r="G1447" s="108">
        <v>4.55</v>
      </c>
    </row>
    <row r="1449" spans="1:7" x14ac:dyDescent="0.2">
      <c r="A1449" s="114"/>
      <c r="B1449" s="114" t="s">
        <v>268</v>
      </c>
      <c r="C1449" s="116"/>
      <c r="D1449" s="119">
        <v>0.55000000000000004</v>
      </c>
      <c r="E1449" s="116"/>
      <c r="F1449" s="114"/>
      <c r="G1449" s="114">
        <v>5.5</v>
      </c>
    </row>
    <row r="1450" spans="1:7" x14ac:dyDescent="0.2">
      <c r="A1450" s="108" t="s">
        <v>265</v>
      </c>
      <c r="B1450" s="108" t="s">
        <v>310</v>
      </c>
      <c r="C1450" s="111" t="s">
        <v>270</v>
      </c>
      <c r="D1450" s="117">
        <v>0.55000000000000004</v>
      </c>
      <c r="E1450" s="118">
        <v>1</v>
      </c>
      <c r="F1450" s="108">
        <v>10</v>
      </c>
      <c r="G1450" s="108">
        <v>5.5</v>
      </c>
    </row>
    <row r="1452" spans="1:7" x14ac:dyDescent="0.2">
      <c r="A1452" s="114"/>
      <c r="B1452" s="114" t="s">
        <v>271</v>
      </c>
      <c r="C1452" s="116"/>
      <c r="D1452" s="114"/>
      <c r="E1452" s="116"/>
      <c r="F1452" s="114"/>
      <c r="G1452" s="114">
        <v>7.86</v>
      </c>
    </row>
    <row r="1453" spans="1:7" x14ac:dyDescent="0.2">
      <c r="B1453" s="108" t="s">
        <v>272</v>
      </c>
      <c r="C1453" s="111" t="s">
        <v>273</v>
      </c>
      <c r="D1453" s="108">
        <v>80</v>
      </c>
      <c r="G1453" s="108">
        <v>4.4000000000000004</v>
      </c>
    </row>
    <row r="1454" spans="1:7" x14ac:dyDescent="0.2">
      <c r="B1454" s="108" t="s">
        <v>298</v>
      </c>
      <c r="C1454" s="111" t="s">
        <v>273</v>
      </c>
      <c r="D1454" s="108">
        <v>10</v>
      </c>
      <c r="G1454" s="108">
        <v>2.3199999999999998</v>
      </c>
    </row>
    <row r="1455" spans="1:7" x14ac:dyDescent="0.2">
      <c r="B1455" s="108" t="s">
        <v>274</v>
      </c>
      <c r="C1455" s="111" t="s">
        <v>273</v>
      </c>
      <c r="D1455" s="108">
        <v>25</v>
      </c>
      <c r="G1455" s="108">
        <v>1.1399999999999999</v>
      </c>
    </row>
    <row r="1457" spans="1:7" x14ac:dyDescent="0.2">
      <c r="A1457" s="114"/>
      <c r="B1457" s="114" t="s">
        <v>254</v>
      </c>
      <c r="C1457" s="116"/>
      <c r="D1457" s="114"/>
      <c r="E1457" s="116"/>
      <c r="F1457" s="114"/>
      <c r="G1457" s="114"/>
    </row>
    <row r="1458" spans="1:7" x14ac:dyDescent="0.2">
      <c r="B1458" s="108" t="s">
        <v>275</v>
      </c>
      <c r="G1458" s="108">
        <v>33.25</v>
      </c>
    </row>
    <row r="1459" spans="1:7" x14ac:dyDescent="0.2">
      <c r="B1459" s="108" t="s">
        <v>276</v>
      </c>
      <c r="G1459" s="108">
        <v>7.86</v>
      </c>
    </row>
    <row r="1460" spans="1:7" x14ac:dyDescent="0.2">
      <c r="B1460" s="108" t="s">
        <v>277</v>
      </c>
      <c r="G1460" s="108">
        <v>41.11</v>
      </c>
    </row>
    <row r="1461" spans="1:7" x14ac:dyDescent="0.2">
      <c r="B1461" s="108" t="s">
        <v>278</v>
      </c>
      <c r="C1461" s="111" t="s">
        <v>273</v>
      </c>
      <c r="D1461" s="108" t="s">
        <v>279</v>
      </c>
      <c r="G1461" s="108">
        <v>4.1100000000000003</v>
      </c>
    </row>
    <row r="1463" spans="1:7" x14ac:dyDescent="0.2">
      <c r="A1463" s="112"/>
      <c r="B1463" s="112" t="s">
        <v>254</v>
      </c>
      <c r="C1463" s="113"/>
      <c r="D1463" s="112"/>
      <c r="E1463" s="113"/>
      <c r="F1463" s="112"/>
      <c r="G1463" s="112">
        <v>45.22</v>
      </c>
    </row>
    <row r="1465" spans="1:7" x14ac:dyDescent="0.2">
      <c r="A1465" s="112" t="s">
        <v>69</v>
      </c>
      <c r="B1465" s="112"/>
      <c r="C1465" s="113"/>
      <c r="D1465" s="112"/>
      <c r="E1465" s="113"/>
      <c r="F1465" s="112"/>
      <c r="G1465" s="112"/>
    </row>
    <row r="1466" spans="1:7" x14ac:dyDescent="0.2">
      <c r="A1466" s="114" t="s">
        <v>435</v>
      </c>
      <c r="G1466" s="115" t="s">
        <v>312</v>
      </c>
    </row>
    <row r="1468" spans="1:7" x14ac:dyDescent="0.2">
      <c r="A1468" s="114"/>
      <c r="B1468" s="114" t="s">
        <v>264</v>
      </c>
      <c r="C1468" s="116"/>
      <c r="D1468" s="114"/>
      <c r="E1468" s="116"/>
      <c r="F1468" s="114"/>
      <c r="G1468" s="114">
        <v>1.2</v>
      </c>
    </row>
    <row r="1469" spans="1:7" x14ac:dyDescent="0.2">
      <c r="A1469" s="108" t="s">
        <v>265</v>
      </c>
      <c r="B1469" s="108" t="s">
        <v>436</v>
      </c>
      <c r="C1469" s="111" t="s">
        <v>267</v>
      </c>
      <c r="D1469" s="117">
        <v>2.5000000000000001E-2</v>
      </c>
      <c r="E1469" s="118">
        <v>1</v>
      </c>
      <c r="F1469" s="108">
        <v>30</v>
      </c>
      <c r="G1469" s="108">
        <v>0.75</v>
      </c>
    </row>
    <row r="1470" spans="1:7" x14ac:dyDescent="0.2">
      <c r="A1470" s="108" t="s">
        <v>265</v>
      </c>
      <c r="B1470" s="108" t="s">
        <v>314</v>
      </c>
      <c r="C1470" s="111" t="s">
        <v>267</v>
      </c>
      <c r="D1470" s="117">
        <v>1.4999999999999999E-2</v>
      </c>
      <c r="E1470" s="118">
        <v>1</v>
      </c>
      <c r="F1470" s="108">
        <v>30</v>
      </c>
      <c r="G1470" s="108">
        <v>0.45</v>
      </c>
    </row>
    <row r="1472" spans="1:7" x14ac:dyDescent="0.2">
      <c r="A1472" s="114"/>
      <c r="B1472" s="114" t="s">
        <v>268</v>
      </c>
      <c r="C1472" s="116"/>
      <c r="D1472" s="119">
        <v>0.28000000000000003</v>
      </c>
      <c r="E1472" s="116"/>
      <c r="F1472" s="114"/>
      <c r="G1472" s="114">
        <v>2.8</v>
      </c>
    </row>
    <row r="1473" spans="1:7" x14ac:dyDescent="0.2">
      <c r="A1473" s="108" t="s">
        <v>265</v>
      </c>
      <c r="B1473" s="108" t="s">
        <v>310</v>
      </c>
      <c r="C1473" s="111" t="s">
        <v>270</v>
      </c>
      <c r="D1473" s="117">
        <v>0.28000000000000003</v>
      </c>
      <c r="E1473" s="118">
        <v>1</v>
      </c>
      <c r="F1473" s="108">
        <v>10</v>
      </c>
      <c r="G1473" s="108">
        <v>2.8</v>
      </c>
    </row>
    <row r="1475" spans="1:7" x14ac:dyDescent="0.2">
      <c r="A1475" s="114"/>
      <c r="B1475" s="114" t="s">
        <v>271</v>
      </c>
      <c r="C1475" s="116"/>
      <c r="D1475" s="114"/>
      <c r="E1475" s="116"/>
      <c r="F1475" s="114"/>
      <c r="G1475" s="114">
        <v>2.54</v>
      </c>
    </row>
    <row r="1476" spans="1:7" x14ac:dyDescent="0.2">
      <c r="B1476" s="108" t="s">
        <v>272</v>
      </c>
      <c r="C1476" s="111" t="s">
        <v>273</v>
      </c>
      <c r="D1476" s="108">
        <v>80</v>
      </c>
      <c r="G1476" s="108">
        <v>2.2400000000000002</v>
      </c>
    </row>
    <row r="1477" spans="1:7" x14ac:dyDescent="0.2">
      <c r="B1477" s="108" t="s">
        <v>274</v>
      </c>
      <c r="C1477" s="111" t="s">
        <v>273</v>
      </c>
      <c r="D1477" s="108">
        <v>25</v>
      </c>
      <c r="G1477" s="108">
        <v>0.3</v>
      </c>
    </row>
    <row r="1479" spans="1:7" x14ac:dyDescent="0.2">
      <c r="A1479" s="114"/>
      <c r="B1479" s="114" t="s">
        <v>254</v>
      </c>
      <c r="C1479" s="116"/>
      <c r="D1479" s="114"/>
      <c r="E1479" s="116"/>
      <c r="F1479" s="114"/>
      <c r="G1479" s="114"/>
    </row>
    <row r="1480" spans="1:7" x14ac:dyDescent="0.2">
      <c r="B1480" s="108" t="s">
        <v>275</v>
      </c>
      <c r="G1480" s="108">
        <v>4</v>
      </c>
    </row>
    <row r="1481" spans="1:7" x14ac:dyDescent="0.2">
      <c r="B1481" s="108" t="s">
        <v>276</v>
      </c>
      <c r="G1481" s="108">
        <v>2.54</v>
      </c>
    </row>
    <row r="1482" spans="1:7" x14ac:dyDescent="0.2">
      <c r="B1482" s="108" t="s">
        <v>277</v>
      </c>
      <c r="G1482" s="108">
        <v>6.54</v>
      </c>
    </row>
    <row r="1483" spans="1:7" x14ac:dyDescent="0.2">
      <c r="B1483" s="108" t="s">
        <v>278</v>
      </c>
      <c r="C1483" s="111" t="s">
        <v>273</v>
      </c>
      <c r="D1483" s="108" t="s">
        <v>279</v>
      </c>
      <c r="G1483" s="108">
        <v>0.65</v>
      </c>
    </row>
    <row r="1485" spans="1:7" x14ac:dyDescent="0.2">
      <c r="A1485" s="112"/>
      <c r="B1485" s="112" t="s">
        <v>254</v>
      </c>
      <c r="C1485" s="113"/>
      <c r="D1485" s="112"/>
      <c r="E1485" s="113"/>
      <c r="F1485" s="112"/>
      <c r="G1485" s="112">
        <v>7.19</v>
      </c>
    </row>
    <row r="1487" spans="1:7" x14ac:dyDescent="0.2">
      <c r="A1487" s="112" t="s">
        <v>22</v>
      </c>
      <c r="B1487" s="112"/>
      <c r="C1487" s="113"/>
      <c r="D1487" s="112"/>
      <c r="E1487" s="113"/>
      <c r="F1487" s="112"/>
      <c r="G1487" s="112"/>
    </row>
    <row r="1488" spans="1:7" x14ac:dyDescent="0.2">
      <c r="A1488" s="114" t="s">
        <v>437</v>
      </c>
      <c r="G1488" s="115" t="s">
        <v>312</v>
      </c>
    </row>
    <row r="1490" spans="1:7" x14ac:dyDescent="0.2">
      <c r="A1490" s="114"/>
      <c r="B1490" s="114" t="s">
        <v>294</v>
      </c>
      <c r="C1490" s="116"/>
      <c r="D1490" s="114"/>
      <c r="E1490" s="116"/>
      <c r="F1490" s="114"/>
      <c r="G1490" s="114">
        <v>160</v>
      </c>
    </row>
    <row r="1491" spans="1:7" x14ac:dyDescent="0.2">
      <c r="A1491" s="108" t="s">
        <v>265</v>
      </c>
      <c r="B1491" s="108" t="s">
        <v>438</v>
      </c>
      <c r="C1491" s="111" t="s">
        <v>317</v>
      </c>
      <c r="D1491" s="117">
        <v>1</v>
      </c>
      <c r="E1491" s="118">
        <v>1</v>
      </c>
      <c r="F1491" s="108">
        <v>160</v>
      </c>
      <c r="G1491" s="108">
        <v>160</v>
      </c>
    </row>
    <row r="1493" spans="1:7" x14ac:dyDescent="0.2">
      <c r="A1493" s="114"/>
      <c r="B1493" s="114" t="s">
        <v>268</v>
      </c>
      <c r="C1493" s="116"/>
      <c r="D1493" s="119">
        <v>0.62</v>
      </c>
      <c r="E1493" s="116"/>
      <c r="F1493" s="114"/>
      <c r="G1493" s="114">
        <v>6.2</v>
      </c>
    </row>
    <row r="1494" spans="1:7" x14ac:dyDescent="0.2">
      <c r="A1494" s="108" t="s">
        <v>265</v>
      </c>
      <c r="B1494" s="108" t="s">
        <v>310</v>
      </c>
      <c r="C1494" s="111" t="s">
        <v>270</v>
      </c>
      <c r="D1494" s="117">
        <v>0.62</v>
      </c>
      <c r="E1494" s="118">
        <v>1</v>
      </c>
      <c r="F1494" s="108">
        <v>10</v>
      </c>
      <c r="G1494" s="108">
        <v>6.2</v>
      </c>
    </row>
    <row r="1496" spans="1:7" x14ac:dyDescent="0.2">
      <c r="A1496" s="114"/>
      <c r="B1496" s="114" t="s">
        <v>271</v>
      </c>
      <c r="C1496" s="116"/>
      <c r="D1496" s="114"/>
      <c r="E1496" s="116"/>
      <c r="F1496" s="114"/>
      <c r="G1496" s="114">
        <v>20.96</v>
      </c>
    </row>
    <row r="1497" spans="1:7" x14ac:dyDescent="0.2">
      <c r="B1497" s="108" t="s">
        <v>272</v>
      </c>
      <c r="C1497" s="111" t="s">
        <v>273</v>
      </c>
      <c r="D1497" s="108">
        <v>80</v>
      </c>
      <c r="G1497" s="108">
        <v>4.96</v>
      </c>
    </row>
    <row r="1498" spans="1:7" x14ac:dyDescent="0.2">
      <c r="B1498" s="108" t="s">
        <v>298</v>
      </c>
      <c r="C1498" s="111" t="s">
        <v>273</v>
      </c>
      <c r="D1498" s="108">
        <v>10</v>
      </c>
      <c r="G1498" s="108">
        <v>16</v>
      </c>
    </row>
    <row r="1500" spans="1:7" x14ac:dyDescent="0.2">
      <c r="A1500" s="114"/>
      <c r="B1500" s="114" t="s">
        <v>254</v>
      </c>
      <c r="C1500" s="116"/>
      <c r="D1500" s="114"/>
      <c r="E1500" s="116"/>
      <c r="F1500" s="114"/>
      <c r="G1500" s="114"/>
    </row>
    <row r="1501" spans="1:7" x14ac:dyDescent="0.2">
      <c r="B1501" s="108" t="s">
        <v>275</v>
      </c>
      <c r="G1501" s="108">
        <v>166.2</v>
      </c>
    </row>
    <row r="1502" spans="1:7" x14ac:dyDescent="0.2">
      <c r="B1502" s="108" t="s">
        <v>276</v>
      </c>
      <c r="G1502" s="108">
        <v>20.96</v>
      </c>
    </row>
    <row r="1503" spans="1:7" x14ac:dyDescent="0.2">
      <c r="B1503" s="108" t="s">
        <v>277</v>
      </c>
      <c r="G1503" s="108">
        <v>187.16</v>
      </c>
    </row>
    <row r="1504" spans="1:7" x14ac:dyDescent="0.2">
      <c r="B1504" s="108" t="s">
        <v>278</v>
      </c>
      <c r="C1504" s="111" t="s">
        <v>273</v>
      </c>
      <c r="D1504" s="108" t="s">
        <v>279</v>
      </c>
      <c r="G1504" s="108">
        <v>18.72</v>
      </c>
    </row>
    <row r="1506" spans="1:7" x14ac:dyDescent="0.2">
      <c r="A1506" s="112"/>
      <c r="B1506" s="112" t="s">
        <v>254</v>
      </c>
      <c r="C1506" s="113"/>
      <c r="D1506" s="112"/>
      <c r="E1506" s="113"/>
      <c r="F1506" s="112"/>
      <c r="G1506" s="112">
        <v>205.88</v>
      </c>
    </row>
    <row r="1508" spans="1:7" x14ac:dyDescent="0.2">
      <c r="A1508" s="112" t="s">
        <v>35</v>
      </c>
      <c r="B1508" s="112"/>
      <c r="C1508" s="113"/>
      <c r="D1508" s="112"/>
      <c r="E1508" s="113"/>
      <c r="F1508" s="112"/>
      <c r="G1508" s="112"/>
    </row>
    <row r="1509" spans="1:7" x14ac:dyDescent="0.2">
      <c r="A1509" s="114" t="s">
        <v>439</v>
      </c>
      <c r="G1509" s="115" t="s">
        <v>312</v>
      </c>
    </row>
    <row r="1511" spans="1:7" x14ac:dyDescent="0.2">
      <c r="A1511" s="114"/>
      <c r="B1511" s="114" t="s">
        <v>294</v>
      </c>
      <c r="C1511" s="116"/>
      <c r="D1511" s="114"/>
      <c r="E1511" s="116"/>
      <c r="F1511" s="114"/>
      <c r="G1511" s="114">
        <v>89.5</v>
      </c>
    </row>
    <row r="1512" spans="1:7" x14ac:dyDescent="0.2">
      <c r="A1512" s="108" t="s">
        <v>265</v>
      </c>
      <c r="B1512" s="108" t="s">
        <v>440</v>
      </c>
      <c r="C1512" s="111" t="s">
        <v>317</v>
      </c>
      <c r="D1512" s="117">
        <v>1</v>
      </c>
      <c r="E1512" s="118">
        <v>1</v>
      </c>
      <c r="F1512" s="108">
        <v>89.5</v>
      </c>
      <c r="G1512" s="108">
        <v>89.5</v>
      </c>
    </row>
    <row r="1514" spans="1:7" x14ac:dyDescent="0.2">
      <c r="A1514" s="114"/>
      <c r="B1514" s="114" t="s">
        <v>268</v>
      </c>
      <c r="C1514" s="116"/>
      <c r="D1514" s="119">
        <v>0.5</v>
      </c>
      <c r="E1514" s="116"/>
      <c r="F1514" s="114"/>
      <c r="G1514" s="114">
        <v>5</v>
      </c>
    </row>
    <row r="1515" spans="1:7" x14ac:dyDescent="0.2">
      <c r="A1515" s="108" t="s">
        <v>265</v>
      </c>
      <c r="B1515" s="108" t="s">
        <v>310</v>
      </c>
      <c r="C1515" s="111" t="s">
        <v>270</v>
      </c>
      <c r="D1515" s="117">
        <v>0.5</v>
      </c>
      <c r="E1515" s="118">
        <v>1</v>
      </c>
      <c r="F1515" s="108">
        <v>10</v>
      </c>
      <c r="G1515" s="108">
        <v>5</v>
      </c>
    </row>
    <row r="1517" spans="1:7" x14ac:dyDescent="0.2">
      <c r="A1517" s="114"/>
      <c r="B1517" s="114" t="s">
        <v>271</v>
      </c>
      <c r="C1517" s="116"/>
      <c r="D1517" s="114"/>
      <c r="E1517" s="116"/>
      <c r="F1517" s="114"/>
      <c r="G1517" s="114">
        <v>12.95</v>
      </c>
    </row>
    <row r="1518" spans="1:7" x14ac:dyDescent="0.2">
      <c r="B1518" s="108" t="s">
        <v>272</v>
      </c>
      <c r="C1518" s="111" t="s">
        <v>273</v>
      </c>
      <c r="D1518" s="108">
        <v>80</v>
      </c>
      <c r="G1518" s="108">
        <v>4</v>
      </c>
    </row>
    <row r="1519" spans="1:7" x14ac:dyDescent="0.2">
      <c r="B1519" s="108" t="s">
        <v>298</v>
      </c>
      <c r="C1519" s="111" t="s">
        <v>273</v>
      </c>
      <c r="D1519" s="108">
        <v>10</v>
      </c>
      <c r="G1519" s="108">
        <v>8.9499999999999993</v>
      </c>
    </row>
    <row r="1521" spans="1:7" x14ac:dyDescent="0.2">
      <c r="A1521" s="114"/>
      <c r="B1521" s="114" t="s">
        <v>254</v>
      </c>
      <c r="C1521" s="116"/>
      <c r="D1521" s="114"/>
      <c r="E1521" s="116"/>
      <c r="F1521" s="114"/>
      <c r="G1521" s="114"/>
    </row>
    <row r="1522" spans="1:7" x14ac:dyDescent="0.2">
      <c r="B1522" s="108" t="s">
        <v>275</v>
      </c>
      <c r="G1522" s="108">
        <v>94.5</v>
      </c>
    </row>
    <row r="1523" spans="1:7" x14ac:dyDescent="0.2">
      <c r="B1523" s="108" t="s">
        <v>276</v>
      </c>
      <c r="G1523" s="108">
        <v>12.95</v>
      </c>
    </row>
    <row r="1524" spans="1:7" x14ac:dyDescent="0.2">
      <c r="B1524" s="108" t="s">
        <v>277</v>
      </c>
      <c r="G1524" s="108">
        <v>107.45</v>
      </c>
    </row>
    <row r="1525" spans="1:7" x14ac:dyDescent="0.2">
      <c r="B1525" s="108" t="s">
        <v>278</v>
      </c>
      <c r="C1525" s="111" t="s">
        <v>273</v>
      </c>
      <c r="D1525" s="108" t="s">
        <v>279</v>
      </c>
      <c r="G1525" s="108">
        <v>10.75</v>
      </c>
    </row>
    <row r="1527" spans="1:7" x14ac:dyDescent="0.2">
      <c r="A1527" s="112"/>
      <c r="B1527" s="112" t="s">
        <v>254</v>
      </c>
      <c r="C1527" s="113"/>
      <c r="D1527" s="112"/>
      <c r="E1527" s="113"/>
      <c r="F1527" s="112"/>
      <c r="G1527" s="112">
        <v>118.2</v>
      </c>
    </row>
    <row r="1529" spans="1:7" x14ac:dyDescent="0.2">
      <c r="A1529" s="112" t="s">
        <v>36</v>
      </c>
      <c r="B1529" s="112"/>
      <c r="C1529" s="113"/>
      <c r="D1529" s="112"/>
      <c r="E1529" s="113"/>
      <c r="F1529" s="112"/>
      <c r="G1529" s="112"/>
    </row>
    <row r="1530" spans="1:7" x14ac:dyDescent="0.2">
      <c r="A1530" s="114" t="s">
        <v>441</v>
      </c>
      <c r="G1530" s="115" t="s">
        <v>312</v>
      </c>
    </row>
    <row r="1532" spans="1:7" x14ac:dyDescent="0.2">
      <c r="A1532" s="114"/>
      <c r="B1532" s="114" t="s">
        <v>294</v>
      </c>
      <c r="C1532" s="116"/>
      <c r="D1532" s="114"/>
      <c r="E1532" s="116"/>
      <c r="F1532" s="114"/>
      <c r="G1532" s="114">
        <v>89.5</v>
      </c>
    </row>
    <row r="1533" spans="1:7" x14ac:dyDescent="0.2">
      <c r="A1533" s="108" t="s">
        <v>265</v>
      </c>
      <c r="B1533" s="108" t="s">
        <v>442</v>
      </c>
      <c r="C1533" s="111" t="s">
        <v>317</v>
      </c>
      <c r="D1533" s="117">
        <v>1</v>
      </c>
      <c r="E1533" s="118">
        <v>1</v>
      </c>
      <c r="F1533" s="108">
        <v>89.5</v>
      </c>
      <c r="G1533" s="108">
        <v>89.5</v>
      </c>
    </row>
    <row r="1535" spans="1:7" x14ac:dyDescent="0.2">
      <c r="A1535" s="114"/>
      <c r="B1535" s="114" t="s">
        <v>268</v>
      </c>
      <c r="C1535" s="116"/>
      <c r="D1535" s="119">
        <v>0.5</v>
      </c>
      <c r="E1535" s="116"/>
      <c r="F1535" s="114"/>
      <c r="G1535" s="114">
        <v>5</v>
      </c>
    </row>
    <row r="1536" spans="1:7" x14ac:dyDescent="0.2">
      <c r="A1536" s="108" t="s">
        <v>265</v>
      </c>
      <c r="B1536" s="108" t="s">
        <v>310</v>
      </c>
      <c r="C1536" s="111" t="s">
        <v>270</v>
      </c>
      <c r="D1536" s="117">
        <v>0.5</v>
      </c>
      <c r="E1536" s="118">
        <v>1</v>
      </c>
      <c r="F1536" s="108">
        <v>10</v>
      </c>
      <c r="G1536" s="108">
        <v>5</v>
      </c>
    </row>
    <row r="1538" spans="1:7" x14ac:dyDescent="0.2">
      <c r="A1538" s="114"/>
      <c r="B1538" s="114" t="s">
        <v>271</v>
      </c>
      <c r="C1538" s="116"/>
      <c r="D1538" s="114"/>
      <c r="E1538" s="116"/>
      <c r="F1538" s="114"/>
      <c r="G1538" s="114">
        <v>12.95</v>
      </c>
    </row>
    <row r="1539" spans="1:7" x14ac:dyDescent="0.2">
      <c r="B1539" s="108" t="s">
        <v>272</v>
      </c>
      <c r="C1539" s="111" t="s">
        <v>273</v>
      </c>
      <c r="D1539" s="108">
        <v>80</v>
      </c>
      <c r="G1539" s="108">
        <v>4</v>
      </c>
    </row>
    <row r="1540" spans="1:7" x14ac:dyDescent="0.2">
      <c r="B1540" s="108" t="s">
        <v>298</v>
      </c>
      <c r="C1540" s="111" t="s">
        <v>273</v>
      </c>
      <c r="D1540" s="108">
        <v>10</v>
      </c>
      <c r="G1540" s="108">
        <v>8.9499999999999993</v>
      </c>
    </row>
    <row r="1542" spans="1:7" x14ac:dyDescent="0.2">
      <c r="A1542" s="114"/>
      <c r="B1542" s="114" t="s">
        <v>254</v>
      </c>
      <c r="C1542" s="116"/>
      <c r="D1542" s="114"/>
      <c r="E1542" s="116"/>
      <c r="F1542" s="114"/>
      <c r="G1542" s="114"/>
    </row>
    <row r="1543" spans="1:7" x14ac:dyDescent="0.2">
      <c r="B1543" s="108" t="s">
        <v>275</v>
      </c>
      <c r="G1543" s="108">
        <v>94.5</v>
      </c>
    </row>
    <row r="1544" spans="1:7" x14ac:dyDescent="0.2">
      <c r="B1544" s="108" t="s">
        <v>276</v>
      </c>
      <c r="G1544" s="108">
        <v>12.95</v>
      </c>
    </row>
    <row r="1545" spans="1:7" x14ac:dyDescent="0.2">
      <c r="B1545" s="108" t="s">
        <v>277</v>
      </c>
      <c r="G1545" s="108">
        <v>107.45</v>
      </c>
    </row>
    <row r="1546" spans="1:7" x14ac:dyDescent="0.2">
      <c r="B1546" s="108" t="s">
        <v>278</v>
      </c>
      <c r="C1546" s="111" t="s">
        <v>273</v>
      </c>
      <c r="D1546" s="108" t="s">
        <v>279</v>
      </c>
      <c r="G1546" s="108">
        <v>10.75</v>
      </c>
    </row>
    <row r="1548" spans="1:7" x14ac:dyDescent="0.2">
      <c r="A1548" s="112"/>
      <c r="B1548" s="112" t="s">
        <v>254</v>
      </c>
      <c r="C1548" s="113"/>
      <c r="D1548" s="112"/>
      <c r="E1548" s="113"/>
      <c r="F1548" s="112"/>
      <c r="G1548" s="112">
        <v>118.2</v>
      </c>
    </row>
    <row r="1550" spans="1:7" x14ac:dyDescent="0.2">
      <c r="A1550" s="112" t="s">
        <v>91</v>
      </c>
      <c r="B1550" s="112"/>
      <c r="C1550" s="113"/>
      <c r="D1550" s="112"/>
      <c r="E1550" s="113"/>
      <c r="F1550" s="112"/>
      <c r="G1550" s="112"/>
    </row>
    <row r="1551" spans="1:7" x14ac:dyDescent="0.2">
      <c r="A1551" s="114" t="s">
        <v>443</v>
      </c>
      <c r="G1551" s="115" t="s">
        <v>330</v>
      </c>
    </row>
    <row r="1553" spans="1:7" x14ac:dyDescent="0.2">
      <c r="A1553" s="114"/>
      <c r="B1553" s="114" t="s">
        <v>264</v>
      </c>
      <c r="C1553" s="116"/>
      <c r="D1553" s="114"/>
      <c r="E1553" s="116"/>
      <c r="F1553" s="114"/>
      <c r="G1553" s="114">
        <v>1.2</v>
      </c>
    </row>
    <row r="1554" spans="1:7" x14ac:dyDescent="0.2">
      <c r="A1554" s="108" t="s">
        <v>265</v>
      </c>
      <c r="B1554" s="108" t="s">
        <v>436</v>
      </c>
      <c r="C1554" s="111" t="s">
        <v>267</v>
      </c>
      <c r="D1554" s="117">
        <v>2.5000000000000001E-2</v>
      </c>
      <c r="E1554" s="118">
        <v>1</v>
      </c>
      <c r="F1554" s="108">
        <v>30</v>
      </c>
      <c r="G1554" s="108">
        <v>0.75</v>
      </c>
    </row>
    <row r="1555" spans="1:7" x14ac:dyDescent="0.2">
      <c r="A1555" s="108" t="s">
        <v>265</v>
      </c>
      <c r="B1555" s="108" t="s">
        <v>314</v>
      </c>
      <c r="C1555" s="111" t="s">
        <v>267</v>
      </c>
      <c r="D1555" s="117">
        <v>1.4999999999999999E-2</v>
      </c>
      <c r="E1555" s="118">
        <v>1</v>
      </c>
      <c r="F1555" s="108">
        <v>30</v>
      </c>
      <c r="G1555" s="108">
        <v>0.45</v>
      </c>
    </row>
    <row r="1557" spans="1:7" x14ac:dyDescent="0.2">
      <c r="A1557" s="114"/>
      <c r="B1557" s="114" t="s">
        <v>268</v>
      </c>
      <c r="C1557" s="116"/>
      <c r="D1557" s="119">
        <v>0.28000000000000003</v>
      </c>
      <c r="E1557" s="116"/>
      <c r="F1557" s="114"/>
      <c r="G1557" s="114">
        <v>2.8</v>
      </c>
    </row>
    <row r="1558" spans="1:7" x14ac:dyDescent="0.2">
      <c r="A1558" s="108" t="s">
        <v>265</v>
      </c>
      <c r="B1558" s="108" t="s">
        <v>310</v>
      </c>
      <c r="C1558" s="111" t="s">
        <v>270</v>
      </c>
      <c r="D1558" s="117">
        <v>0.28000000000000003</v>
      </c>
      <c r="E1558" s="118">
        <v>1</v>
      </c>
      <c r="F1558" s="108">
        <v>10</v>
      </c>
      <c r="G1558" s="108">
        <v>2.8</v>
      </c>
    </row>
    <row r="1560" spans="1:7" x14ac:dyDescent="0.2">
      <c r="A1560" s="114"/>
      <c r="B1560" s="114" t="s">
        <v>271</v>
      </c>
      <c r="C1560" s="116"/>
      <c r="D1560" s="114"/>
      <c r="E1560" s="116"/>
      <c r="F1560" s="114"/>
      <c r="G1560" s="114">
        <v>2.54</v>
      </c>
    </row>
    <row r="1561" spans="1:7" x14ac:dyDescent="0.2">
      <c r="B1561" s="108" t="s">
        <v>272</v>
      </c>
      <c r="C1561" s="111" t="s">
        <v>273</v>
      </c>
      <c r="D1561" s="108">
        <v>80</v>
      </c>
      <c r="G1561" s="108">
        <v>2.2400000000000002</v>
      </c>
    </row>
    <row r="1562" spans="1:7" x14ac:dyDescent="0.2">
      <c r="B1562" s="108" t="s">
        <v>274</v>
      </c>
      <c r="C1562" s="111" t="s">
        <v>273</v>
      </c>
      <c r="D1562" s="108">
        <v>25</v>
      </c>
      <c r="G1562" s="108">
        <v>0.3</v>
      </c>
    </row>
    <row r="1564" spans="1:7" x14ac:dyDescent="0.2">
      <c r="A1564" s="114"/>
      <c r="B1564" s="114" t="s">
        <v>254</v>
      </c>
      <c r="C1564" s="116"/>
      <c r="D1564" s="114"/>
      <c r="E1564" s="116"/>
      <c r="F1564" s="114"/>
      <c r="G1564" s="114"/>
    </row>
    <row r="1565" spans="1:7" x14ac:dyDescent="0.2">
      <c r="B1565" s="108" t="s">
        <v>275</v>
      </c>
      <c r="G1565" s="108">
        <v>4</v>
      </c>
    </row>
    <row r="1566" spans="1:7" x14ac:dyDescent="0.2">
      <c r="B1566" s="108" t="s">
        <v>276</v>
      </c>
      <c r="G1566" s="108">
        <v>2.54</v>
      </c>
    </row>
    <row r="1567" spans="1:7" x14ac:dyDescent="0.2">
      <c r="B1567" s="108" t="s">
        <v>277</v>
      </c>
      <c r="G1567" s="108">
        <v>6.54</v>
      </c>
    </row>
    <row r="1568" spans="1:7" x14ac:dyDescent="0.2">
      <c r="B1568" s="108" t="s">
        <v>278</v>
      </c>
      <c r="C1568" s="111" t="s">
        <v>273</v>
      </c>
      <c r="D1568" s="108" t="s">
        <v>279</v>
      </c>
      <c r="G1568" s="108">
        <v>0.65</v>
      </c>
    </row>
    <row r="1570" spans="1:7" x14ac:dyDescent="0.2">
      <c r="A1570" s="112"/>
      <c r="B1570" s="112" t="s">
        <v>254</v>
      </c>
      <c r="C1570" s="113"/>
      <c r="D1570" s="112"/>
      <c r="E1570" s="113"/>
      <c r="F1570" s="112"/>
      <c r="G1570" s="112">
        <v>7.19</v>
      </c>
    </row>
    <row r="1572" spans="1:7" x14ac:dyDescent="0.2">
      <c r="A1572" s="112" t="s">
        <v>99</v>
      </c>
      <c r="B1572" s="112"/>
      <c r="C1572" s="113"/>
      <c r="D1572" s="112"/>
      <c r="E1572" s="113"/>
      <c r="F1572" s="112"/>
      <c r="G1572" s="112"/>
    </row>
    <row r="1573" spans="1:7" x14ac:dyDescent="0.2">
      <c r="A1573" s="114" t="s">
        <v>444</v>
      </c>
      <c r="G1573" s="115" t="s">
        <v>263</v>
      </c>
    </row>
    <row r="1575" spans="1:7" x14ac:dyDescent="0.2">
      <c r="A1575" s="114"/>
      <c r="B1575" s="114" t="s">
        <v>294</v>
      </c>
      <c r="C1575" s="116"/>
      <c r="D1575" s="114"/>
      <c r="E1575" s="116"/>
      <c r="F1575" s="114"/>
      <c r="G1575" s="114">
        <v>18.399999999999999</v>
      </c>
    </row>
    <row r="1576" spans="1:7" x14ac:dyDescent="0.2">
      <c r="A1576" s="108" t="s">
        <v>265</v>
      </c>
      <c r="B1576" s="108" t="s">
        <v>445</v>
      </c>
      <c r="C1576" s="111" t="s">
        <v>306</v>
      </c>
      <c r="D1576" s="117">
        <v>1</v>
      </c>
      <c r="E1576" s="118">
        <v>1</v>
      </c>
      <c r="F1576" s="108">
        <v>18.399999999999999</v>
      </c>
      <c r="G1576" s="108">
        <v>18.399999999999999</v>
      </c>
    </row>
    <row r="1578" spans="1:7" x14ac:dyDescent="0.2">
      <c r="A1578" s="114"/>
      <c r="B1578" s="114" t="s">
        <v>264</v>
      </c>
      <c r="C1578" s="116"/>
      <c r="D1578" s="114"/>
      <c r="E1578" s="116"/>
      <c r="F1578" s="114"/>
      <c r="G1578" s="114">
        <v>4.55</v>
      </c>
    </row>
    <row r="1579" spans="1:7" x14ac:dyDescent="0.2">
      <c r="A1579" s="108" t="s">
        <v>265</v>
      </c>
      <c r="B1579" s="108" t="s">
        <v>309</v>
      </c>
      <c r="C1579" s="111" t="s">
        <v>267</v>
      </c>
      <c r="D1579" s="117">
        <v>1.8200000000000001E-2</v>
      </c>
      <c r="E1579" s="118">
        <v>1</v>
      </c>
      <c r="F1579" s="108">
        <v>250</v>
      </c>
      <c r="G1579" s="108">
        <v>4.55</v>
      </c>
    </row>
    <row r="1581" spans="1:7" x14ac:dyDescent="0.2">
      <c r="A1581" s="114"/>
      <c r="B1581" s="114" t="s">
        <v>268</v>
      </c>
      <c r="C1581" s="116"/>
      <c r="D1581" s="119">
        <v>0.55000000000000004</v>
      </c>
      <c r="E1581" s="116"/>
      <c r="F1581" s="114"/>
      <c r="G1581" s="114">
        <v>5.5</v>
      </c>
    </row>
    <row r="1582" spans="1:7" x14ac:dyDescent="0.2">
      <c r="A1582" s="108" t="s">
        <v>265</v>
      </c>
      <c r="B1582" s="108" t="s">
        <v>310</v>
      </c>
      <c r="C1582" s="111" t="s">
        <v>270</v>
      </c>
      <c r="D1582" s="117">
        <v>0.55000000000000004</v>
      </c>
      <c r="E1582" s="118">
        <v>1</v>
      </c>
      <c r="F1582" s="108">
        <v>10</v>
      </c>
      <c r="G1582" s="108">
        <v>5.5</v>
      </c>
    </row>
    <row r="1584" spans="1:7" x14ac:dyDescent="0.2">
      <c r="A1584" s="114"/>
      <c r="B1584" s="114" t="s">
        <v>271</v>
      </c>
      <c r="C1584" s="116"/>
      <c r="D1584" s="114"/>
      <c r="E1584" s="116"/>
      <c r="F1584" s="114"/>
      <c r="G1584" s="114">
        <v>7.38</v>
      </c>
    </row>
    <row r="1585" spans="1:7" x14ac:dyDescent="0.2">
      <c r="B1585" s="108" t="s">
        <v>272</v>
      </c>
      <c r="C1585" s="111" t="s">
        <v>273</v>
      </c>
      <c r="D1585" s="108">
        <v>80</v>
      </c>
      <c r="G1585" s="108">
        <v>4.4000000000000004</v>
      </c>
    </row>
    <row r="1586" spans="1:7" x14ac:dyDescent="0.2">
      <c r="B1586" s="108" t="s">
        <v>298</v>
      </c>
      <c r="C1586" s="111" t="s">
        <v>273</v>
      </c>
      <c r="D1586" s="108">
        <v>10</v>
      </c>
      <c r="G1586" s="108">
        <v>1.84</v>
      </c>
    </row>
    <row r="1587" spans="1:7" x14ac:dyDescent="0.2">
      <c r="B1587" s="108" t="s">
        <v>274</v>
      </c>
      <c r="C1587" s="111" t="s">
        <v>273</v>
      </c>
      <c r="D1587" s="108">
        <v>25</v>
      </c>
      <c r="G1587" s="108">
        <v>1.1399999999999999</v>
      </c>
    </row>
    <row r="1589" spans="1:7" x14ac:dyDescent="0.2">
      <c r="A1589" s="114"/>
      <c r="B1589" s="114" t="s">
        <v>254</v>
      </c>
      <c r="C1589" s="116"/>
      <c r="D1589" s="114"/>
      <c r="E1589" s="116"/>
      <c r="F1589" s="114"/>
      <c r="G1589" s="114"/>
    </row>
    <row r="1590" spans="1:7" x14ac:dyDescent="0.2">
      <c r="B1590" s="108" t="s">
        <v>275</v>
      </c>
      <c r="G1590" s="108">
        <v>28.45</v>
      </c>
    </row>
    <row r="1591" spans="1:7" x14ac:dyDescent="0.2">
      <c r="B1591" s="108" t="s">
        <v>276</v>
      </c>
      <c r="G1591" s="108">
        <v>7.38</v>
      </c>
    </row>
    <row r="1592" spans="1:7" x14ac:dyDescent="0.2">
      <c r="B1592" s="108" t="s">
        <v>277</v>
      </c>
      <c r="G1592" s="108">
        <v>35.83</v>
      </c>
    </row>
    <row r="1593" spans="1:7" x14ac:dyDescent="0.2">
      <c r="B1593" s="108" t="s">
        <v>278</v>
      </c>
      <c r="C1593" s="111" t="s">
        <v>273</v>
      </c>
      <c r="D1593" s="108" t="s">
        <v>279</v>
      </c>
      <c r="G1593" s="108">
        <v>3.58</v>
      </c>
    </row>
    <row r="1595" spans="1:7" x14ac:dyDescent="0.2">
      <c r="A1595" s="112"/>
      <c r="B1595" s="112" t="s">
        <v>254</v>
      </c>
      <c r="C1595" s="113"/>
      <c r="D1595" s="112"/>
      <c r="E1595" s="113"/>
      <c r="F1595" s="112"/>
      <c r="G1595" s="112">
        <v>39.409999999999997</v>
      </c>
    </row>
    <row r="1597" spans="1:7" x14ac:dyDescent="0.2">
      <c r="A1597" s="112" t="s">
        <v>68</v>
      </c>
      <c r="B1597" s="112"/>
      <c r="C1597" s="113"/>
      <c r="D1597" s="112"/>
      <c r="E1597" s="113"/>
      <c r="F1597" s="112"/>
      <c r="G1597" s="112"/>
    </row>
    <row r="1598" spans="1:7" x14ac:dyDescent="0.2">
      <c r="A1598" s="114" t="s">
        <v>446</v>
      </c>
      <c r="G1598" s="115" t="s">
        <v>312</v>
      </c>
    </row>
    <row r="1600" spans="1:7" x14ac:dyDescent="0.2">
      <c r="A1600" s="114"/>
      <c r="B1600" s="114" t="s">
        <v>264</v>
      </c>
      <c r="C1600" s="116"/>
      <c r="D1600" s="114"/>
      <c r="E1600" s="116"/>
      <c r="F1600" s="114"/>
      <c r="G1600" s="114">
        <v>1.08</v>
      </c>
    </row>
    <row r="1601" spans="1:7" x14ac:dyDescent="0.2">
      <c r="A1601" s="108" t="s">
        <v>265</v>
      </c>
      <c r="B1601" s="108" t="s">
        <v>447</v>
      </c>
      <c r="C1601" s="111" t="s">
        <v>267</v>
      </c>
      <c r="D1601" s="117">
        <v>2.1999999999999999E-2</v>
      </c>
      <c r="E1601" s="118">
        <v>1</v>
      </c>
      <c r="F1601" s="108">
        <v>30</v>
      </c>
      <c r="G1601" s="108">
        <v>0.66</v>
      </c>
    </row>
    <row r="1602" spans="1:7" x14ac:dyDescent="0.2">
      <c r="A1602" s="108" t="s">
        <v>265</v>
      </c>
      <c r="B1602" s="108" t="s">
        <v>314</v>
      </c>
      <c r="C1602" s="111" t="s">
        <v>267</v>
      </c>
      <c r="D1602" s="117">
        <v>1.4E-2</v>
      </c>
      <c r="E1602" s="118">
        <v>1</v>
      </c>
      <c r="F1602" s="108">
        <v>30</v>
      </c>
      <c r="G1602" s="108">
        <v>0.42</v>
      </c>
    </row>
    <row r="1604" spans="1:7" x14ac:dyDescent="0.2">
      <c r="A1604" s="114"/>
      <c r="B1604" s="114" t="s">
        <v>268</v>
      </c>
      <c r="C1604" s="116"/>
      <c r="D1604" s="119">
        <v>0.26</v>
      </c>
      <c r="E1604" s="116"/>
      <c r="F1604" s="114"/>
      <c r="G1604" s="114">
        <v>2.6</v>
      </c>
    </row>
    <row r="1605" spans="1:7" x14ac:dyDescent="0.2">
      <c r="A1605" s="108" t="s">
        <v>265</v>
      </c>
      <c r="B1605" s="108" t="s">
        <v>310</v>
      </c>
      <c r="C1605" s="111" t="s">
        <v>270</v>
      </c>
      <c r="D1605" s="117">
        <v>0.26</v>
      </c>
      <c r="E1605" s="118">
        <v>1</v>
      </c>
      <c r="F1605" s="108">
        <v>10</v>
      </c>
      <c r="G1605" s="108">
        <v>2.6</v>
      </c>
    </row>
    <row r="1607" spans="1:7" x14ac:dyDescent="0.2">
      <c r="A1607" s="114"/>
      <c r="B1607" s="114" t="s">
        <v>271</v>
      </c>
      <c r="C1607" s="116"/>
      <c r="D1607" s="114"/>
      <c r="E1607" s="116"/>
      <c r="F1607" s="114"/>
      <c r="G1607" s="114">
        <v>2.35</v>
      </c>
    </row>
    <row r="1608" spans="1:7" x14ac:dyDescent="0.2">
      <c r="B1608" s="108" t="s">
        <v>272</v>
      </c>
      <c r="C1608" s="111" t="s">
        <v>273</v>
      </c>
      <c r="D1608" s="108">
        <v>80</v>
      </c>
      <c r="G1608" s="108">
        <v>2.08</v>
      </c>
    </row>
    <row r="1609" spans="1:7" x14ac:dyDescent="0.2">
      <c r="B1609" s="108" t="s">
        <v>274</v>
      </c>
      <c r="C1609" s="111" t="s">
        <v>273</v>
      </c>
      <c r="D1609" s="108">
        <v>25</v>
      </c>
      <c r="G1609" s="108">
        <v>0.27</v>
      </c>
    </row>
    <row r="1611" spans="1:7" x14ac:dyDescent="0.2">
      <c r="A1611" s="114"/>
      <c r="B1611" s="114" t="s">
        <v>254</v>
      </c>
      <c r="C1611" s="116"/>
      <c r="D1611" s="114"/>
      <c r="E1611" s="116"/>
      <c r="F1611" s="114"/>
      <c r="G1611" s="114"/>
    </row>
    <row r="1612" spans="1:7" x14ac:dyDescent="0.2">
      <c r="B1612" s="108" t="s">
        <v>275</v>
      </c>
      <c r="G1612" s="108">
        <v>3.68</v>
      </c>
    </row>
    <row r="1613" spans="1:7" x14ac:dyDescent="0.2">
      <c r="B1613" s="108" t="s">
        <v>276</v>
      </c>
      <c r="G1613" s="108">
        <v>2.35</v>
      </c>
    </row>
    <row r="1614" spans="1:7" x14ac:dyDescent="0.2">
      <c r="B1614" s="108" t="s">
        <v>277</v>
      </c>
      <c r="G1614" s="108">
        <v>6.03</v>
      </c>
    </row>
    <row r="1615" spans="1:7" x14ac:dyDescent="0.2">
      <c r="B1615" s="108" t="s">
        <v>278</v>
      </c>
      <c r="C1615" s="111" t="s">
        <v>273</v>
      </c>
      <c r="D1615" s="108" t="s">
        <v>279</v>
      </c>
      <c r="G1615" s="108">
        <v>0.6</v>
      </c>
    </row>
    <row r="1617" spans="1:7" x14ac:dyDescent="0.2">
      <c r="A1617" s="112"/>
      <c r="B1617" s="112" t="s">
        <v>254</v>
      </c>
      <c r="C1617" s="113"/>
      <c r="D1617" s="112"/>
      <c r="E1617" s="113"/>
      <c r="F1617" s="112"/>
      <c r="G1617" s="112">
        <v>6.63</v>
      </c>
    </row>
    <row r="1619" spans="1:7" x14ac:dyDescent="0.2">
      <c r="A1619" s="112" t="s">
        <v>33</v>
      </c>
      <c r="B1619" s="112"/>
      <c r="C1619" s="113"/>
      <c r="D1619" s="112"/>
      <c r="E1619" s="113"/>
      <c r="F1619" s="112"/>
      <c r="G1619" s="112"/>
    </row>
    <row r="1620" spans="1:7" x14ac:dyDescent="0.2">
      <c r="A1620" s="114" t="s">
        <v>448</v>
      </c>
      <c r="G1620" s="115" t="s">
        <v>312</v>
      </c>
    </row>
    <row r="1622" spans="1:7" x14ac:dyDescent="0.2">
      <c r="A1622" s="114"/>
      <c r="B1622" s="114" t="s">
        <v>294</v>
      </c>
      <c r="C1622" s="116"/>
      <c r="D1622" s="114"/>
      <c r="E1622" s="116"/>
      <c r="F1622" s="114"/>
      <c r="G1622" s="114">
        <v>35</v>
      </c>
    </row>
    <row r="1623" spans="1:7" x14ac:dyDescent="0.2">
      <c r="A1623" s="108" t="s">
        <v>265</v>
      </c>
      <c r="B1623" s="108" t="s">
        <v>449</v>
      </c>
      <c r="C1623" s="111" t="s">
        <v>317</v>
      </c>
      <c r="D1623" s="117">
        <v>1</v>
      </c>
      <c r="E1623" s="118">
        <v>1</v>
      </c>
      <c r="F1623" s="108">
        <v>35</v>
      </c>
      <c r="G1623" s="108">
        <v>35</v>
      </c>
    </row>
    <row r="1625" spans="1:7" x14ac:dyDescent="0.2">
      <c r="A1625" s="114"/>
      <c r="B1625" s="114" t="s">
        <v>264</v>
      </c>
      <c r="C1625" s="116"/>
      <c r="D1625" s="114"/>
      <c r="E1625" s="116"/>
      <c r="F1625" s="114"/>
      <c r="G1625" s="114">
        <v>12</v>
      </c>
    </row>
    <row r="1626" spans="1:7" x14ac:dyDescent="0.2">
      <c r="A1626" s="108" t="s">
        <v>265</v>
      </c>
      <c r="B1626" s="108" t="s">
        <v>320</v>
      </c>
      <c r="C1626" s="111" t="s">
        <v>267</v>
      </c>
      <c r="D1626" s="117">
        <v>0.4</v>
      </c>
      <c r="E1626" s="118">
        <v>1</v>
      </c>
      <c r="F1626" s="108">
        <v>30</v>
      </c>
      <c r="G1626" s="108">
        <v>12</v>
      </c>
    </row>
    <row r="1628" spans="1:7" x14ac:dyDescent="0.2">
      <c r="A1628" s="114"/>
      <c r="B1628" s="114" t="s">
        <v>268</v>
      </c>
      <c r="C1628" s="116"/>
      <c r="D1628" s="119">
        <v>0.6</v>
      </c>
      <c r="E1628" s="116"/>
      <c r="F1628" s="114"/>
      <c r="G1628" s="114">
        <v>6</v>
      </c>
    </row>
    <row r="1629" spans="1:7" x14ac:dyDescent="0.2">
      <c r="A1629" s="108" t="s">
        <v>265</v>
      </c>
      <c r="B1629" s="108" t="s">
        <v>310</v>
      </c>
      <c r="C1629" s="111" t="s">
        <v>270</v>
      </c>
      <c r="D1629" s="117">
        <v>0.6</v>
      </c>
      <c r="E1629" s="118">
        <v>1</v>
      </c>
      <c r="F1629" s="108">
        <v>10</v>
      </c>
      <c r="G1629" s="108">
        <v>6</v>
      </c>
    </row>
    <row r="1631" spans="1:7" x14ac:dyDescent="0.2">
      <c r="A1631" s="114"/>
      <c r="B1631" s="114" t="s">
        <v>271</v>
      </c>
      <c r="C1631" s="116"/>
      <c r="D1631" s="114"/>
      <c r="E1631" s="116"/>
      <c r="F1631" s="114"/>
      <c r="G1631" s="114">
        <v>11.3</v>
      </c>
    </row>
    <row r="1632" spans="1:7" x14ac:dyDescent="0.2">
      <c r="B1632" s="108" t="s">
        <v>272</v>
      </c>
      <c r="C1632" s="111" t="s">
        <v>273</v>
      </c>
      <c r="D1632" s="108">
        <v>80</v>
      </c>
      <c r="G1632" s="108">
        <v>4.8</v>
      </c>
    </row>
    <row r="1633" spans="1:7" x14ac:dyDescent="0.2">
      <c r="B1633" s="108" t="s">
        <v>298</v>
      </c>
      <c r="C1633" s="111" t="s">
        <v>273</v>
      </c>
      <c r="D1633" s="108">
        <v>10</v>
      </c>
      <c r="G1633" s="108">
        <v>3.5</v>
      </c>
    </row>
    <row r="1634" spans="1:7" x14ac:dyDescent="0.2">
      <c r="B1634" s="108" t="s">
        <v>274</v>
      </c>
      <c r="C1634" s="111" t="s">
        <v>273</v>
      </c>
      <c r="D1634" s="108">
        <v>25</v>
      </c>
      <c r="G1634" s="108">
        <v>3</v>
      </c>
    </row>
    <row r="1636" spans="1:7" x14ac:dyDescent="0.2">
      <c r="A1636" s="114"/>
      <c r="B1636" s="114" t="s">
        <v>254</v>
      </c>
      <c r="C1636" s="116"/>
      <c r="D1636" s="114"/>
      <c r="E1636" s="116"/>
      <c r="F1636" s="114"/>
      <c r="G1636" s="114"/>
    </row>
    <row r="1637" spans="1:7" x14ac:dyDescent="0.2">
      <c r="B1637" s="108" t="s">
        <v>275</v>
      </c>
      <c r="G1637" s="108">
        <v>53</v>
      </c>
    </row>
    <row r="1638" spans="1:7" x14ac:dyDescent="0.2">
      <c r="B1638" s="108" t="s">
        <v>276</v>
      </c>
      <c r="G1638" s="108">
        <v>11.3</v>
      </c>
    </row>
    <row r="1639" spans="1:7" x14ac:dyDescent="0.2">
      <c r="B1639" s="108" t="s">
        <v>277</v>
      </c>
      <c r="G1639" s="108">
        <v>64.3</v>
      </c>
    </row>
    <row r="1640" spans="1:7" x14ac:dyDescent="0.2">
      <c r="B1640" s="108" t="s">
        <v>278</v>
      </c>
      <c r="C1640" s="111" t="s">
        <v>273</v>
      </c>
      <c r="D1640" s="108" t="s">
        <v>279</v>
      </c>
      <c r="G1640" s="108">
        <v>6.43</v>
      </c>
    </row>
    <row r="1642" spans="1:7" x14ac:dyDescent="0.2">
      <c r="A1642" s="112"/>
      <c r="B1642" s="112" t="s">
        <v>254</v>
      </c>
      <c r="C1642" s="113"/>
      <c r="D1642" s="112"/>
      <c r="E1642" s="113"/>
      <c r="F1642" s="112"/>
      <c r="G1642" s="112">
        <v>70.73</v>
      </c>
    </row>
    <row r="1644" spans="1:7" x14ac:dyDescent="0.2">
      <c r="A1644" s="112" t="s">
        <v>34</v>
      </c>
      <c r="B1644" s="112"/>
      <c r="C1644" s="113"/>
      <c r="D1644" s="112"/>
      <c r="E1644" s="113"/>
      <c r="F1644" s="112"/>
      <c r="G1644" s="112"/>
    </row>
    <row r="1645" spans="1:7" x14ac:dyDescent="0.2">
      <c r="A1645" s="114" t="s">
        <v>450</v>
      </c>
      <c r="G1645" s="115" t="s">
        <v>312</v>
      </c>
    </row>
    <row r="1647" spans="1:7" x14ac:dyDescent="0.2">
      <c r="A1647" s="114"/>
      <c r="B1647" s="114" t="s">
        <v>294</v>
      </c>
      <c r="C1647" s="116"/>
      <c r="D1647" s="114"/>
      <c r="E1647" s="116"/>
      <c r="F1647" s="114"/>
      <c r="G1647" s="114">
        <v>14.8</v>
      </c>
    </row>
    <row r="1648" spans="1:7" x14ac:dyDescent="0.2">
      <c r="A1648" s="108" t="s">
        <v>265</v>
      </c>
      <c r="B1648" s="108" t="s">
        <v>451</v>
      </c>
      <c r="C1648" s="111" t="s">
        <v>317</v>
      </c>
      <c r="D1648" s="117">
        <v>1</v>
      </c>
      <c r="E1648" s="118">
        <v>1</v>
      </c>
      <c r="F1648" s="108">
        <v>14.8</v>
      </c>
      <c r="G1648" s="108">
        <v>14.8</v>
      </c>
    </row>
    <row r="1650" spans="1:7" x14ac:dyDescent="0.2">
      <c r="A1650" s="114"/>
      <c r="B1650" s="114" t="s">
        <v>264</v>
      </c>
      <c r="C1650" s="116"/>
      <c r="D1650" s="114"/>
      <c r="E1650" s="116"/>
      <c r="F1650" s="114"/>
      <c r="G1650" s="114">
        <v>9</v>
      </c>
    </row>
    <row r="1651" spans="1:7" x14ac:dyDescent="0.2">
      <c r="A1651" s="108" t="s">
        <v>265</v>
      </c>
      <c r="B1651" s="108" t="s">
        <v>320</v>
      </c>
      <c r="C1651" s="111" t="s">
        <v>267</v>
      </c>
      <c r="D1651" s="117">
        <v>0.3</v>
      </c>
      <c r="E1651" s="118">
        <v>1</v>
      </c>
      <c r="F1651" s="108">
        <v>30</v>
      </c>
      <c r="G1651" s="108">
        <v>9</v>
      </c>
    </row>
    <row r="1653" spans="1:7" x14ac:dyDescent="0.2">
      <c r="A1653" s="114"/>
      <c r="B1653" s="114" t="s">
        <v>268</v>
      </c>
      <c r="C1653" s="116"/>
      <c r="D1653" s="119">
        <v>0.3</v>
      </c>
      <c r="E1653" s="116"/>
      <c r="F1653" s="114"/>
      <c r="G1653" s="114">
        <v>3</v>
      </c>
    </row>
    <row r="1654" spans="1:7" x14ac:dyDescent="0.2">
      <c r="A1654" s="108" t="s">
        <v>265</v>
      </c>
      <c r="B1654" s="108" t="s">
        <v>310</v>
      </c>
      <c r="C1654" s="111" t="s">
        <v>270</v>
      </c>
      <c r="D1654" s="117">
        <v>0.3</v>
      </c>
      <c r="E1654" s="118">
        <v>1</v>
      </c>
      <c r="F1654" s="108">
        <v>10</v>
      </c>
      <c r="G1654" s="108">
        <v>3</v>
      </c>
    </row>
    <row r="1656" spans="1:7" x14ac:dyDescent="0.2">
      <c r="A1656" s="114"/>
      <c r="B1656" s="114" t="s">
        <v>271</v>
      </c>
      <c r="C1656" s="116"/>
      <c r="D1656" s="114"/>
      <c r="E1656" s="116"/>
      <c r="F1656" s="114"/>
      <c r="G1656" s="114">
        <v>6.13</v>
      </c>
    </row>
    <row r="1657" spans="1:7" x14ac:dyDescent="0.2">
      <c r="B1657" s="108" t="s">
        <v>272</v>
      </c>
      <c r="C1657" s="111" t="s">
        <v>273</v>
      </c>
      <c r="D1657" s="108">
        <v>80</v>
      </c>
      <c r="G1657" s="108">
        <v>2.4</v>
      </c>
    </row>
    <row r="1658" spans="1:7" x14ac:dyDescent="0.2">
      <c r="B1658" s="108" t="s">
        <v>298</v>
      </c>
      <c r="C1658" s="111" t="s">
        <v>273</v>
      </c>
      <c r="D1658" s="108">
        <v>10</v>
      </c>
      <c r="G1658" s="108">
        <v>1.48</v>
      </c>
    </row>
    <row r="1659" spans="1:7" x14ac:dyDescent="0.2">
      <c r="B1659" s="108" t="s">
        <v>274</v>
      </c>
      <c r="C1659" s="111" t="s">
        <v>273</v>
      </c>
      <c r="D1659" s="108">
        <v>25</v>
      </c>
      <c r="G1659" s="108">
        <v>2.25</v>
      </c>
    </row>
    <row r="1661" spans="1:7" x14ac:dyDescent="0.2">
      <c r="A1661" s="114"/>
      <c r="B1661" s="114" t="s">
        <v>254</v>
      </c>
      <c r="C1661" s="116"/>
      <c r="D1661" s="114"/>
      <c r="E1661" s="116"/>
      <c r="F1661" s="114"/>
      <c r="G1661" s="114"/>
    </row>
    <row r="1662" spans="1:7" x14ac:dyDescent="0.2">
      <c r="B1662" s="108" t="s">
        <v>275</v>
      </c>
      <c r="G1662" s="108">
        <v>26.8</v>
      </c>
    </row>
    <row r="1663" spans="1:7" x14ac:dyDescent="0.2">
      <c r="B1663" s="108" t="s">
        <v>276</v>
      </c>
      <c r="G1663" s="108">
        <v>6.13</v>
      </c>
    </row>
    <row r="1664" spans="1:7" x14ac:dyDescent="0.2">
      <c r="B1664" s="108" t="s">
        <v>277</v>
      </c>
      <c r="G1664" s="108">
        <v>32.93</v>
      </c>
    </row>
    <row r="1665" spans="1:7" x14ac:dyDescent="0.2">
      <c r="B1665" s="108" t="s">
        <v>278</v>
      </c>
      <c r="C1665" s="111" t="s">
        <v>273</v>
      </c>
      <c r="D1665" s="108" t="s">
        <v>279</v>
      </c>
      <c r="G1665" s="108">
        <v>3.29</v>
      </c>
    </row>
    <row r="1667" spans="1:7" x14ac:dyDescent="0.2">
      <c r="A1667" s="112"/>
      <c r="B1667" s="112" t="s">
        <v>254</v>
      </c>
      <c r="C1667" s="113"/>
      <c r="D1667" s="112"/>
      <c r="E1667" s="113"/>
      <c r="F1667" s="112"/>
      <c r="G1667" s="112">
        <v>36.22</v>
      </c>
    </row>
    <row r="1669" spans="1:7" x14ac:dyDescent="0.2">
      <c r="A1669" s="112" t="s">
        <v>90</v>
      </c>
      <c r="B1669" s="112"/>
      <c r="C1669" s="113"/>
      <c r="D1669" s="112"/>
      <c r="E1669" s="113"/>
      <c r="F1669" s="112"/>
      <c r="G1669" s="112"/>
    </row>
    <row r="1670" spans="1:7" x14ac:dyDescent="0.2">
      <c r="A1670" s="114" t="s">
        <v>452</v>
      </c>
      <c r="G1670" s="115" t="s">
        <v>330</v>
      </c>
    </row>
    <row r="1672" spans="1:7" x14ac:dyDescent="0.2">
      <c r="A1672" s="114"/>
      <c r="B1672" s="114" t="s">
        <v>264</v>
      </c>
      <c r="C1672" s="116"/>
      <c r="D1672" s="114"/>
      <c r="E1672" s="116"/>
      <c r="F1672" s="114"/>
      <c r="G1672" s="114">
        <v>1.08</v>
      </c>
    </row>
    <row r="1673" spans="1:7" x14ac:dyDescent="0.2">
      <c r="A1673" s="108" t="s">
        <v>265</v>
      </c>
      <c r="B1673" s="108" t="s">
        <v>447</v>
      </c>
      <c r="C1673" s="111" t="s">
        <v>267</v>
      </c>
      <c r="D1673" s="117">
        <v>2.1999999999999999E-2</v>
      </c>
      <c r="E1673" s="118">
        <v>1</v>
      </c>
      <c r="F1673" s="108">
        <v>30</v>
      </c>
      <c r="G1673" s="108">
        <v>0.66</v>
      </c>
    </row>
    <row r="1674" spans="1:7" x14ac:dyDescent="0.2">
      <c r="A1674" s="108" t="s">
        <v>265</v>
      </c>
      <c r="B1674" s="108" t="s">
        <v>314</v>
      </c>
      <c r="C1674" s="111" t="s">
        <v>267</v>
      </c>
      <c r="D1674" s="117">
        <v>1.4E-2</v>
      </c>
      <c r="E1674" s="118">
        <v>1</v>
      </c>
      <c r="F1674" s="108">
        <v>30</v>
      </c>
      <c r="G1674" s="108">
        <v>0.42</v>
      </c>
    </row>
    <row r="1676" spans="1:7" x14ac:dyDescent="0.2">
      <c r="A1676" s="114"/>
      <c r="B1676" s="114" t="s">
        <v>268</v>
      </c>
      <c r="C1676" s="116"/>
      <c r="D1676" s="119">
        <v>0.26</v>
      </c>
      <c r="E1676" s="116"/>
      <c r="F1676" s="114"/>
      <c r="G1676" s="114">
        <v>2.6</v>
      </c>
    </row>
    <row r="1677" spans="1:7" x14ac:dyDescent="0.2">
      <c r="A1677" s="108" t="s">
        <v>265</v>
      </c>
      <c r="B1677" s="108" t="s">
        <v>310</v>
      </c>
      <c r="C1677" s="111" t="s">
        <v>270</v>
      </c>
      <c r="D1677" s="117">
        <v>0.26</v>
      </c>
      <c r="E1677" s="118">
        <v>1</v>
      </c>
      <c r="F1677" s="108">
        <v>10</v>
      </c>
      <c r="G1677" s="108">
        <v>2.6</v>
      </c>
    </row>
    <row r="1679" spans="1:7" x14ac:dyDescent="0.2">
      <c r="A1679" s="114"/>
      <c r="B1679" s="114" t="s">
        <v>271</v>
      </c>
      <c r="C1679" s="116"/>
      <c r="D1679" s="114"/>
      <c r="E1679" s="116"/>
      <c r="F1679" s="114"/>
      <c r="G1679" s="114">
        <v>2.35</v>
      </c>
    </row>
    <row r="1680" spans="1:7" x14ac:dyDescent="0.2">
      <c r="B1680" s="108" t="s">
        <v>272</v>
      </c>
      <c r="C1680" s="111" t="s">
        <v>273</v>
      </c>
      <c r="D1680" s="108">
        <v>80</v>
      </c>
      <c r="G1680" s="108">
        <v>2.08</v>
      </c>
    </row>
    <row r="1681" spans="1:7" x14ac:dyDescent="0.2">
      <c r="B1681" s="108" t="s">
        <v>274</v>
      </c>
      <c r="C1681" s="111" t="s">
        <v>273</v>
      </c>
      <c r="D1681" s="108">
        <v>25</v>
      </c>
      <c r="G1681" s="108">
        <v>0.27</v>
      </c>
    </row>
    <row r="1683" spans="1:7" x14ac:dyDescent="0.2">
      <c r="A1683" s="114"/>
      <c r="B1683" s="114" t="s">
        <v>254</v>
      </c>
      <c r="C1683" s="116"/>
      <c r="D1683" s="114"/>
      <c r="E1683" s="116"/>
      <c r="F1683" s="114"/>
      <c r="G1683" s="114"/>
    </row>
    <row r="1684" spans="1:7" x14ac:dyDescent="0.2">
      <c r="B1684" s="108" t="s">
        <v>275</v>
      </c>
      <c r="G1684" s="108">
        <v>3.68</v>
      </c>
    </row>
    <row r="1685" spans="1:7" x14ac:dyDescent="0.2">
      <c r="B1685" s="108" t="s">
        <v>276</v>
      </c>
      <c r="G1685" s="108">
        <v>2.35</v>
      </c>
    </row>
    <row r="1686" spans="1:7" x14ac:dyDescent="0.2">
      <c r="B1686" s="108" t="s">
        <v>277</v>
      </c>
      <c r="G1686" s="108">
        <v>6.03</v>
      </c>
    </row>
    <row r="1687" spans="1:7" x14ac:dyDescent="0.2">
      <c r="B1687" s="108" t="s">
        <v>278</v>
      </c>
      <c r="C1687" s="111" t="s">
        <v>273</v>
      </c>
      <c r="D1687" s="108" t="s">
        <v>279</v>
      </c>
      <c r="G1687" s="108">
        <v>0.6</v>
      </c>
    </row>
    <row r="1689" spans="1:7" x14ac:dyDescent="0.2">
      <c r="A1689" s="112"/>
      <c r="B1689" s="112" t="s">
        <v>254</v>
      </c>
      <c r="C1689" s="113"/>
      <c r="D1689" s="112"/>
      <c r="E1689" s="113"/>
      <c r="F1689" s="112"/>
      <c r="G1689" s="112">
        <v>6.63</v>
      </c>
    </row>
    <row r="1691" spans="1:7" x14ac:dyDescent="0.2">
      <c r="A1691" s="112" t="s">
        <v>130</v>
      </c>
      <c r="B1691" s="112"/>
      <c r="C1691" s="113"/>
      <c r="D1691" s="112"/>
      <c r="E1691" s="113"/>
      <c r="F1691" s="112"/>
      <c r="G1691" s="112"/>
    </row>
    <row r="1692" spans="1:7" x14ac:dyDescent="0.2">
      <c r="A1692" s="114" t="s">
        <v>453</v>
      </c>
      <c r="G1692" s="115" t="s">
        <v>396</v>
      </c>
    </row>
    <row r="1694" spans="1:7" x14ac:dyDescent="0.2">
      <c r="A1694" s="114"/>
      <c r="B1694" s="114" t="s">
        <v>294</v>
      </c>
      <c r="C1694" s="116"/>
      <c r="D1694" s="114"/>
      <c r="E1694" s="116"/>
      <c r="F1694" s="114"/>
      <c r="G1694" s="114">
        <v>3.7</v>
      </c>
    </row>
    <row r="1695" spans="1:7" x14ac:dyDescent="0.2">
      <c r="A1695" s="108" t="s">
        <v>265</v>
      </c>
      <c r="B1695" s="108" t="s">
        <v>454</v>
      </c>
      <c r="C1695" s="111" t="s">
        <v>306</v>
      </c>
      <c r="D1695" s="117">
        <v>1</v>
      </c>
      <c r="E1695" s="118">
        <v>1</v>
      </c>
      <c r="F1695" s="108">
        <v>3.7</v>
      </c>
      <c r="G1695" s="108">
        <v>3.7</v>
      </c>
    </row>
    <row r="1697" spans="1:7" x14ac:dyDescent="0.2">
      <c r="A1697" s="114"/>
      <c r="B1697" s="114" t="s">
        <v>264</v>
      </c>
      <c r="C1697" s="116"/>
      <c r="D1697" s="114"/>
      <c r="E1697" s="116"/>
      <c r="F1697" s="114"/>
      <c r="G1697" s="114">
        <v>0.35</v>
      </c>
    </row>
    <row r="1698" spans="1:7" x14ac:dyDescent="0.2">
      <c r="A1698" s="108" t="s">
        <v>265</v>
      </c>
      <c r="B1698" s="108" t="s">
        <v>309</v>
      </c>
      <c r="C1698" s="111" t="s">
        <v>267</v>
      </c>
      <c r="D1698" s="117">
        <v>1.4E-3</v>
      </c>
      <c r="E1698" s="118">
        <v>1</v>
      </c>
      <c r="F1698" s="108">
        <v>250</v>
      </c>
      <c r="G1698" s="108">
        <v>0.35</v>
      </c>
    </row>
    <row r="1700" spans="1:7" x14ac:dyDescent="0.2">
      <c r="A1700" s="114"/>
      <c r="B1700" s="114" t="s">
        <v>268</v>
      </c>
      <c r="C1700" s="116"/>
      <c r="D1700" s="119">
        <v>0.05</v>
      </c>
      <c r="E1700" s="116"/>
      <c r="F1700" s="114"/>
      <c r="G1700" s="114">
        <v>0.5</v>
      </c>
    </row>
    <row r="1701" spans="1:7" x14ac:dyDescent="0.2">
      <c r="A1701" s="108" t="s">
        <v>265</v>
      </c>
      <c r="B1701" s="108" t="s">
        <v>310</v>
      </c>
      <c r="C1701" s="111" t="s">
        <v>270</v>
      </c>
      <c r="D1701" s="117">
        <v>0.05</v>
      </c>
      <c r="E1701" s="118">
        <v>1</v>
      </c>
      <c r="F1701" s="108">
        <v>10</v>
      </c>
      <c r="G1701" s="108">
        <v>0.5</v>
      </c>
    </row>
    <row r="1703" spans="1:7" x14ac:dyDescent="0.2">
      <c r="A1703" s="114"/>
      <c r="B1703" s="114" t="s">
        <v>271</v>
      </c>
      <c r="C1703" s="116"/>
      <c r="D1703" s="114"/>
      <c r="E1703" s="116"/>
      <c r="F1703" s="114"/>
      <c r="G1703" s="114">
        <v>0.86</v>
      </c>
    </row>
    <row r="1704" spans="1:7" x14ac:dyDescent="0.2">
      <c r="B1704" s="108" t="s">
        <v>272</v>
      </c>
      <c r="C1704" s="111" t="s">
        <v>273</v>
      </c>
      <c r="D1704" s="108">
        <v>80</v>
      </c>
      <c r="G1704" s="108">
        <v>0.4</v>
      </c>
    </row>
    <row r="1705" spans="1:7" x14ac:dyDescent="0.2">
      <c r="B1705" s="108" t="s">
        <v>298</v>
      </c>
      <c r="C1705" s="111" t="s">
        <v>273</v>
      </c>
      <c r="D1705" s="108">
        <v>10</v>
      </c>
      <c r="G1705" s="108">
        <v>0.37</v>
      </c>
    </row>
    <row r="1706" spans="1:7" x14ac:dyDescent="0.2">
      <c r="B1706" s="108" t="s">
        <v>274</v>
      </c>
      <c r="C1706" s="111" t="s">
        <v>273</v>
      </c>
      <c r="D1706" s="108">
        <v>25</v>
      </c>
      <c r="G1706" s="108">
        <v>0.09</v>
      </c>
    </row>
    <row r="1708" spans="1:7" x14ac:dyDescent="0.2">
      <c r="A1708" s="114"/>
      <c r="B1708" s="114" t="s">
        <v>254</v>
      </c>
      <c r="C1708" s="116"/>
      <c r="D1708" s="114"/>
      <c r="E1708" s="116"/>
      <c r="F1708" s="114"/>
      <c r="G1708" s="114"/>
    </row>
    <row r="1709" spans="1:7" x14ac:dyDescent="0.2">
      <c r="B1709" s="108" t="s">
        <v>275</v>
      </c>
      <c r="G1709" s="108">
        <v>4.55</v>
      </c>
    </row>
    <row r="1710" spans="1:7" x14ac:dyDescent="0.2">
      <c r="B1710" s="108" t="s">
        <v>276</v>
      </c>
      <c r="G1710" s="108">
        <v>0.86</v>
      </c>
    </row>
    <row r="1711" spans="1:7" x14ac:dyDescent="0.2">
      <c r="B1711" s="108" t="s">
        <v>277</v>
      </c>
      <c r="G1711" s="108">
        <v>5.41</v>
      </c>
    </row>
    <row r="1712" spans="1:7" x14ac:dyDescent="0.2">
      <c r="B1712" s="108" t="s">
        <v>278</v>
      </c>
      <c r="C1712" s="111" t="s">
        <v>273</v>
      </c>
      <c r="D1712" s="108" t="s">
        <v>279</v>
      </c>
      <c r="G1712" s="108">
        <v>0.54</v>
      </c>
    </row>
    <row r="1714" spans="1:7" x14ac:dyDescent="0.2">
      <c r="A1714" s="112"/>
      <c r="B1714" s="112" t="s">
        <v>254</v>
      </c>
      <c r="C1714" s="113"/>
      <c r="D1714" s="112"/>
      <c r="E1714" s="113"/>
      <c r="F1714" s="112"/>
      <c r="G1714" s="112">
        <v>5.95</v>
      </c>
    </row>
    <row r="1716" spans="1:7" x14ac:dyDescent="0.2">
      <c r="A1716" s="112" t="s">
        <v>18</v>
      </c>
      <c r="B1716" s="112"/>
      <c r="C1716" s="113"/>
      <c r="D1716" s="112"/>
      <c r="E1716" s="113"/>
      <c r="F1716" s="112"/>
      <c r="G1716" s="112"/>
    </row>
    <row r="1717" spans="1:7" x14ac:dyDescent="0.2">
      <c r="A1717" s="114" t="s">
        <v>455</v>
      </c>
      <c r="G1717" s="115" t="s">
        <v>312</v>
      </c>
    </row>
    <row r="1719" spans="1:7" x14ac:dyDescent="0.2">
      <c r="A1719" s="114"/>
      <c r="B1719" s="114" t="s">
        <v>294</v>
      </c>
      <c r="C1719" s="116"/>
      <c r="D1719" s="114"/>
      <c r="E1719" s="116"/>
      <c r="F1719" s="114"/>
      <c r="G1719" s="114">
        <v>105</v>
      </c>
    </row>
    <row r="1720" spans="1:7" x14ac:dyDescent="0.2">
      <c r="A1720" s="108" t="s">
        <v>265</v>
      </c>
      <c r="B1720" s="108" t="s">
        <v>456</v>
      </c>
      <c r="C1720" s="111" t="s">
        <v>317</v>
      </c>
      <c r="D1720" s="117">
        <v>1</v>
      </c>
      <c r="E1720" s="118">
        <v>1</v>
      </c>
      <c r="F1720" s="108">
        <v>105</v>
      </c>
      <c r="G1720" s="108">
        <v>105</v>
      </c>
    </row>
    <row r="1722" spans="1:7" x14ac:dyDescent="0.2">
      <c r="A1722" s="114"/>
      <c r="B1722" s="114" t="s">
        <v>268</v>
      </c>
      <c r="C1722" s="116"/>
      <c r="D1722" s="119">
        <v>0.18</v>
      </c>
      <c r="E1722" s="116"/>
      <c r="F1722" s="114"/>
      <c r="G1722" s="114">
        <v>1.8</v>
      </c>
    </row>
    <row r="1723" spans="1:7" x14ac:dyDescent="0.2">
      <c r="A1723" s="108" t="s">
        <v>265</v>
      </c>
      <c r="B1723" s="108" t="s">
        <v>310</v>
      </c>
      <c r="C1723" s="111" t="s">
        <v>270</v>
      </c>
      <c r="D1723" s="117">
        <v>0.18</v>
      </c>
      <c r="E1723" s="118">
        <v>1</v>
      </c>
      <c r="F1723" s="108">
        <v>10</v>
      </c>
      <c r="G1723" s="108">
        <v>1.8</v>
      </c>
    </row>
    <row r="1725" spans="1:7" x14ac:dyDescent="0.2">
      <c r="A1725" s="114"/>
      <c r="B1725" s="114" t="s">
        <v>271</v>
      </c>
      <c r="C1725" s="116"/>
      <c r="D1725" s="114"/>
      <c r="E1725" s="116"/>
      <c r="F1725" s="114"/>
      <c r="G1725" s="114">
        <v>11.94</v>
      </c>
    </row>
    <row r="1726" spans="1:7" x14ac:dyDescent="0.2">
      <c r="B1726" s="108" t="s">
        <v>272</v>
      </c>
      <c r="C1726" s="111" t="s">
        <v>273</v>
      </c>
      <c r="D1726" s="108">
        <v>80</v>
      </c>
      <c r="G1726" s="108">
        <v>1.44</v>
      </c>
    </row>
    <row r="1727" spans="1:7" x14ac:dyDescent="0.2">
      <c r="B1727" s="108" t="s">
        <v>298</v>
      </c>
      <c r="C1727" s="111" t="s">
        <v>273</v>
      </c>
      <c r="D1727" s="108">
        <v>10</v>
      </c>
      <c r="G1727" s="108">
        <v>10.5</v>
      </c>
    </row>
    <row r="1729" spans="1:7" x14ac:dyDescent="0.2">
      <c r="A1729" s="114"/>
      <c r="B1729" s="114" t="s">
        <v>254</v>
      </c>
      <c r="C1729" s="116"/>
      <c r="D1729" s="114"/>
      <c r="E1729" s="116"/>
      <c r="F1729" s="114"/>
      <c r="G1729" s="114"/>
    </row>
    <row r="1730" spans="1:7" x14ac:dyDescent="0.2">
      <c r="B1730" s="108" t="s">
        <v>275</v>
      </c>
      <c r="G1730" s="108">
        <v>106.8</v>
      </c>
    </row>
    <row r="1731" spans="1:7" x14ac:dyDescent="0.2">
      <c r="B1731" s="108" t="s">
        <v>276</v>
      </c>
      <c r="G1731" s="108">
        <v>11.94</v>
      </c>
    </row>
    <row r="1732" spans="1:7" x14ac:dyDescent="0.2">
      <c r="B1732" s="108" t="s">
        <v>277</v>
      </c>
      <c r="G1732" s="108">
        <v>118.74</v>
      </c>
    </row>
    <row r="1733" spans="1:7" x14ac:dyDescent="0.2">
      <c r="B1733" s="108" t="s">
        <v>278</v>
      </c>
      <c r="C1733" s="111" t="s">
        <v>273</v>
      </c>
      <c r="D1733" s="108" t="s">
        <v>279</v>
      </c>
      <c r="G1733" s="108">
        <v>11.87</v>
      </c>
    </row>
    <row r="1735" spans="1:7" x14ac:dyDescent="0.2">
      <c r="A1735" s="112"/>
      <c r="B1735" s="112" t="s">
        <v>254</v>
      </c>
      <c r="C1735" s="113"/>
      <c r="D1735" s="112"/>
      <c r="E1735" s="113"/>
      <c r="F1735" s="112"/>
      <c r="G1735" s="112">
        <v>130.61000000000001</v>
      </c>
    </row>
    <row r="1737" spans="1:7" x14ac:dyDescent="0.2">
      <c r="A1737" s="112" t="s">
        <v>245</v>
      </c>
      <c r="B1737" s="112"/>
      <c r="C1737" s="113"/>
      <c r="D1737" s="112"/>
      <c r="E1737" s="113"/>
      <c r="F1737" s="112"/>
      <c r="G1737" s="112"/>
    </row>
    <row r="1738" spans="1:7" x14ac:dyDescent="0.2">
      <c r="A1738" s="114" t="s">
        <v>457</v>
      </c>
      <c r="G1738" s="115" t="s">
        <v>312</v>
      </c>
    </row>
    <row r="1740" spans="1:7" x14ac:dyDescent="0.2">
      <c r="A1740" s="114"/>
      <c r="B1740" s="114" t="s">
        <v>294</v>
      </c>
      <c r="C1740" s="116"/>
      <c r="D1740" s="114"/>
      <c r="E1740" s="116"/>
      <c r="F1740" s="114"/>
      <c r="G1740" s="114">
        <v>49.6</v>
      </c>
    </row>
    <row r="1741" spans="1:7" x14ac:dyDescent="0.2">
      <c r="A1741" s="108" t="s">
        <v>265</v>
      </c>
      <c r="B1741" s="108" t="s">
        <v>391</v>
      </c>
      <c r="C1741" s="111" t="s">
        <v>317</v>
      </c>
      <c r="D1741" s="117">
        <v>1</v>
      </c>
      <c r="E1741" s="118">
        <v>1</v>
      </c>
      <c r="F1741" s="108">
        <v>49.6</v>
      </c>
      <c r="G1741" s="108">
        <v>49.6</v>
      </c>
    </row>
    <row r="1743" spans="1:7" x14ac:dyDescent="0.2">
      <c r="A1743" s="114"/>
      <c r="B1743" s="114" t="s">
        <v>264</v>
      </c>
      <c r="C1743" s="116"/>
      <c r="D1743" s="114"/>
      <c r="E1743" s="116"/>
      <c r="F1743" s="114"/>
      <c r="G1743" s="114">
        <v>6</v>
      </c>
    </row>
    <row r="1744" spans="1:7" x14ac:dyDescent="0.2">
      <c r="A1744" s="108" t="s">
        <v>265</v>
      </c>
      <c r="B1744" s="108" t="s">
        <v>389</v>
      </c>
      <c r="C1744" s="111" t="s">
        <v>267</v>
      </c>
      <c r="D1744" s="117">
        <v>0.3</v>
      </c>
      <c r="E1744" s="118">
        <v>1</v>
      </c>
      <c r="F1744" s="108">
        <v>20</v>
      </c>
      <c r="G1744" s="108">
        <v>6</v>
      </c>
    </row>
    <row r="1746" spans="1:7" x14ac:dyDescent="0.2">
      <c r="A1746" s="114"/>
      <c r="B1746" s="114" t="s">
        <v>268</v>
      </c>
      <c r="C1746" s="116"/>
      <c r="D1746" s="119">
        <v>0.25</v>
      </c>
      <c r="E1746" s="116"/>
      <c r="F1746" s="114"/>
      <c r="G1746" s="114">
        <v>2.5</v>
      </c>
    </row>
    <row r="1747" spans="1:7" x14ac:dyDescent="0.2">
      <c r="A1747" s="108" t="s">
        <v>265</v>
      </c>
      <c r="B1747" s="108" t="s">
        <v>310</v>
      </c>
      <c r="C1747" s="111" t="s">
        <v>270</v>
      </c>
      <c r="D1747" s="117">
        <v>0.25</v>
      </c>
      <c r="E1747" s="118">
        <v>1</v>
      </c>
      <c r="F1747" s="108">
        <v>10</v>
      </c>
      <c r="G1747" s="108">
        <v>2.5</v>
      </c>
    </row>
    <row r="1749" spans="1:7" x14ac:dyDescent="0.2">
      <c r="A1749" s="114"/>
      <c r="B1749" s="114" t="s">
        <v>271</v>
      </c>
      <c r="C1749" s="116"/>
      <c r="D1749" s="114"/>
      <c r="E1749" s="116"/>
      <c r="F1749" s="114"/>
      <c r="G1749" s="114">
        <v>8.4600000000000009</v>
      </c>
    </row>
    <row r="1750" spans="1:7" x14ac:dyDescent="0.2">
      <c r="B1750" s="108" t="s">
        <v>272</v>
      </c>
      <c r="C1750" s="111" t="s">
        <v>273</v>
      </c>
      <c r="D1750" s="108">
        <v>80</v>
      </c>
      <c r="G1750" s="108">
        <v>2</v>
      </c>
    </row>
    <row r="1751" spans="1:7" x14ac:dyDescent="0.2">
      <c r="B1751" s="108" t="s">
        <v>298</v>
      </c>
      <c r="C1751" s="111" t="s">
        <v>273</v>
      </c>
      <c r="D1751" s="108">
        <v>10</v>
      </c>
      <c r="G1751" s="108">
        <v>4.96</v>
      </c>
    </row>
    <row r="1752" spans="1:7" x14ac:dyDescent="0.2">
      <c r="B1752" s="108" t="s">
        <v>274</v>
      </c>
      <c r="C1752" s="111" t="s">
        <v>273</v>
      </c>
      <c r="D1752" s="108">
        <v>25</v>
      </c>
      <c r="G1752" s="108">
        <v>1.5</v>
      </c>
    </row>
    <row r="1754" spans="1:7" x14ac:dyDescent="0.2">
      <c r="A1754" s="114"/>
      <c r="B1754" s="114" t="s">
        <v>254</v>
      </c>
      <c r="C1754" s="116"/>
      <c r="D1754" s="114"/>
      <c r="E1754" s="116"/>
      <c r="F1754" s="114"/>
      <c r="G1754" s="114"/>
    </row>
    <row r="1755" spans="1:7" x14ac:dyDescent="0.2">
      <c r="B1755" s="108" t="s">
        <v>275</v>
      </c>
      <c r="G1755" s="108">
        <v>58.1</v>
      </c>
    </row>
    <row r="1756" spans="1:7" x14ac:dyDescent="0.2">
      <c r="B1756" s="108" t="s">
        <v>276</v>
      </c>
      <c r="G1756" s="108">
        <v>8.4600000000000009</v>
      </c>
    </row>
    <row r="1757" spans="1:7" x14ac:dyDescent="0.2">
      <c r="B1757" s="108" t="s">
        <v>277</v>
      </c>
      <c r="G1757" s="108">
        <v>66.56</v>
      </c>
    </row>
    <row r="1758" spans="1:7" x14ac:dyDescent="0.2">
      <c r="B1758" s="108" t="s">
        <v>278</v>
      </c>
      <c r="C1758" s="111" t="s">
        <v>273</v>
      </c>
      <c r="D1758" s="108" t="s">
        <v>279</v>
      </c>
      <c r="G1758" s="108">
        <v>6.66</v>
      </c>
    </row>
    <row r="1760" spans="1:7" x14ac:dyDescent="0.2">
      <c r="A1760" s="112"/>
      <c r="B1760" s="112" t="s">
        <v>254</v>
      </c>
      <c r="C1760" s="113"/>
      <c r="D1760" s="112"/>
      <c r="E1760" s="113"/>
      <c r="F1760" s="112"/>
      <c r="G1760" s="112">
        <v>73.22</v>
      </c>
    </row>
    <row r="1762" spans="1:7" x14ac:dyDescent="0.2">
      <c r="A1762" s="112" t="s">
        <v>246</v>
      </c>
      <c r="B1762" s="112"/>
      <c r="C1762" s="113"/>
      <c r="D1762" s="112"/>
      <c r="E1762" s="113"/>
      <c r="F1762" s="112"/>
      <c r="G1762" s="112"/>
    </row>
    <row r="1763" spans="1:7" x14ac:dyDescent="0.2">
      <c r="A1763" s="114" t="s">
        <v>458</v>
      </c>
      <c r="G1763" s="115" t="s">
        <v>312</v>
      </c>
    </row>
    <row r="1765" spans="1:7" x14ac:dyDescent="0.2">
      <c r="A1765" s="114"/>
      <c r="B1765" s="114" t="s">
        <v>294</v>
      </c>
      <c r="C1765" s="116"/>
      <c r="D1765" s="114"/>
      <c r="E1765" s="116"/>
      <c r="F1765" s="114"/>
      <c r="G1765" s="114">
        <v>63.8</v>
      </c>
    </row>
    <row r="1766" spans="1:7" x14ac:dyDescent="0.2">
      <c r="A1766" s="108" t="s">
        <v>265</v>
      </c>
      <c r="B1766" s="108" t="s">
        <v>459</v>
      </c>
      <c r="C1766" s="111" t="s">
        <v>317</v>
      </c>
      <c r="D1766" s="117">
        <v>1</v>
      </c>
      <c r="E1766" s="118">
        <v>1</v>
      </c>
      <c r="F1766" s="108">
        <v>63.8</v>
      </c>
      <c r="G1766" s="108">
        <v>63.8</v>
      </c>
    </row>
    <row r="1768" spans="1:7" x14ac:dyDescent="0.2">
      <c r="A1768" s="114"/>
      <c r="B1768" s="114" t="s">
        <v>264</v>
      </c>
      <c r="C1768" s="116"/>
      <c r="D1768" s="114"/>
      <c r="E1768" s="116"/>
      <c r="F1768" s="114"/>
      <c r="G1768" s="114">
        <v>6</v>
      </c>
    </row>
    <row r="1769" spans="1:7" x14ac:dyDescent="0.2">
      <c r="A1769" s="108" t="s">
        <v>265</v>
      </c>
      <c r="B1769" s="108" t="s">
        <v>389</v>
      </c>
      <c r="C1769" s="111" t="s">
        <v>267</v>
      </c>
      <c r="D1769" s="117">
        <v>0.3</v>
      </c>
      <c r="E1769" s="118">
        <v>1</v>
      </c>
      <c r="F1769" s="108">
        <v>20</v>
      </c>
      <c r="G1769" s="108">
        <v>6</v>
      </c>
    </row>
    <row r="1771" spans="1:7" x14ac:dyDescent="0.2">
      <c r="A1771" s="114"/>
      <c r="B1771" s="114" t="s">
        <v>268</v>
      </c>
      <c r="C1771" s="116"/>
      <c r="D1771" s="119">
        <v>0.25</v>
      </c>
      <c r="E1771" s="116"/>
      <c r="F1771" s="114"/>
      <c r="G1771" s="114">
        <v>2.5</v>
      </c>
    </row>
    <row r="1772" spans="1:7" x14ac:dyDescent="0.2">
      <c r="A1772" s="108" t="s">
        <v>265</v>
      </c>
      <c r="B1772" s="108" t="s">
        <v>310</v>
      </c>
      <c r="C1772" s="111" t="s">
        <v>270</v>
      </c>
      <c r="D1772" s="117">
        <v>0.25</v>
      </c>
      <c r="E1772" s="118">
        <v>1</v>
      </c>
      <c r="F1772" s="108">
        <v>10</v>
      </c>
      <c r="G1772" s="108">
        <v>2.5</v>
      </c>
    </row>
    <row r="1774" spans="1:7" x14ac:dyDescent="0.2">
      <c r="A1774" s="114"/>
      <c r="B1774" s="114" t="s">
        <v>271</v>
      </c>
      <c r="C1774" s="116"/>
      <c r="D1774" s="114"/>
      <c r="E1774" s="116"/>
      <c r="F1774" s="114"/>
      <c r="G1774" s="114">
        <v>9.8800000000000008</v>
      </c>
    </row>
    <row r="1775" spans="1:7" x14ac:dyDescent="0.2">
      <c r="B1775" s="108" t="s">
        <v>272</v>
      </c>
      <c r="C1775" s="111" t="s">
        <v>273</v>
      </c>
      <c r="D1775" s="108">
        <v>80</v>
      </c>
      <c r="G1775" s="108">
        <v>2</v>
      </c>
    </row>
    <row r="1776" spans="1:7" x14ac:dyDescent="0.2">
      <c r="B1776" s="108" t="s">
        <v>298</v>
      </c>
      <c r="C1776" s="111" t="s">
        <v>273</v>
      </c>
      <c r="D1776" s="108">
        <v>10</v>
      </c>
      <c r="G1776" s="108">
        <v>6.38</v>
      </c>
    </row>
    <row r="1777" spans="1:7" x14ac:dyDescent="0.2">
      <c r="B1777" s="108" t="s">
        <v>274</v>
      </c>
      <c r="C1777" s="111" t="s">
        <v>273</v>
      </c>
      <c r="D1777" s="108">
        <v>25</v>
      </c>
      <c r="G1777" s="108">
        <v>1.5</v>
      </c>
    </row>
    <row r="1779" spans="1:7" x14ac:dyDescent="0.2">
      <c r="A1779" s="114"/>
      <c r="B1779" s="114" t="s">
        <v>254</v>
      </c>
      <c r="C1779" s="116"/>
      <c r="D1779" s="114"/>
      <c r="E1779" s="116"/>
      <c r="F1779" s="114"/>
      <c r="G1779" s="114"/>
    </row>
    <row r="1780" spans="1:7" x14ac:dyDescent="0.2">
      <c r="B1780" s="108" t="s">
        <v>275</v>
      </c>
      <c r="G1780" s="108">
        <v>72.3</v>
      </c>
    </row>
    <row r="1781" spans="1:7" x14ac:dyDescent="0.2">
      <c r="B1781" s="108" t="s">
        <v>276</v>
      </c>
      <c r="G1781" s="108">
        <v>9.8800000000000008</v>
      </c>
    </row>
    <row r="1782" spans="1:7" x14ac:dyDescent="0.2">
      <c r="B1782" s="108" t="s">
        <v>277</v>
      </c>
      <c r="G1782" s="108">
        <v>82.18</v>
      </c>
    </row>
    <row r="1783" spans="1:7" x14ac:dyDescent="0.2">
      <c r="B1783" s="108" t="s">
        <v>278</v>
      </c>
      <c r="C1783" s="111" t="s">
        <v>273</v>
      </c>
      <c r="D1783" s="108" t="s">
        <v>279</v>
      </c>
      <c r="G1783" s="108">
        <v>8.2200000000000006</v>
      </c>
    </row>
    <row r="1785" spans="1:7" x14ac:dyDescent="0.2">
      <c r="A1785" s="112"/>
      <c r="B1785" s="112" t="s">
        <v>254</v>
      </c>
      <c r="C1785" s="113"/>
      <c r="D1785" s="112"/>
      <c r="E1785" s="113"/>
      <c r="F1785" s="112"/>
      <c r="G1785" s="112">
        <v>90.4</v>
      </c>
    </row>
    <row r="1787" spans="1:7" x14ac:dyDescent="0.2">
      <c r="A1787" s="112" t="s">
        <v>98</v>
      </c>
      <c r="B1787" s="112"/>
      <c r="C1787" s="113"/>
      <c r="D1787" s="112"/>
      <c r="E1787" s="113"/>
      <c r="F1787" s="112"/>
      <c r="G1787" s="112"/>
    </row>
    <row r="1788" spans="1:7" x14ac:dyDescent="0.2">
      <c r="A1788" s="114" t="s">
        <v>460</v>
      </c>
      <c r="G1788" s="115" t="s">
        <v>263</v>
      </c>
    </row>
    <row r="1790" spans="1:7" x14ac:dyDescent="0.2">
      <c r="A1790" s="114"/>
      <c r="B1790" s="114" t="s">
        <v>294</v>
      </c>
      <c r="C1790" s="116"/>
      <c r="D1790" s="114"/>
      <c r="E1790" s="116"/>
      <c r="F1790" s="114"/>
      <c r="G1790" s="114">
        <v>4.0999999999999996</v>
      </c>
    </row>
    <row r="1791" spans="1:7" x14ac:dyDescent="0.2">
      <c r="A1791" s="108" t="s">
        <v>265</v>
      </c>
      <c r="B1791" s="108" t="s">
        <v>461</v>
      </c>
      <c r="C1791" s="111" t="s">
        <v>306</v>
      </c>
      <c r="D1791" s="117">
        <v>1</v>
      </c>
      <c r="E1791" s="118">
        <v>1</v>
      </c>
      <c r="F1791" s="108">
        <v>4.0999999999999996</v>
      </c>
      <c r="G1791" s="108">
        <v>4.0999999999999996</v>
      </c>
    </row>
    <row r="1793" spans="1:7" x14ac:dyDescent="0.2">
      <c r="A1793" s="114"/>
      <c r="B1793" s="114" t="s">
        <v>264</v>
      </c>
      <c r="C1793" s="116"/>
      <c r="D1793" s="114"/>
      <c r="E1793" s="116"/>
      <c r="F1793" s="114"/>
      <c r="G1793" s="114">
        <v>4.55</v>
      </c>
    </row>
    <row r="1794" spans="1:7" x14ac:dyDescent="0.2">
      <c r="A1794" s="108" t="s">
        <v>265</v>
      </c>
      <c r="B1794" s="108" t="s">
        <v>309</v>
      </c>
      <c r="C1794" s="111" t="s">
        <v>267</v>
      </c>
      <c r="D1794" s="117">
        <v>1.8200000000000001E-2</v>
      </c>
      <c r="E1794" s="118">
        <v>1</v>
      </c>
      <c r="F1794" s="108">
        <v>250</v>
      </c>
      <c r="G1794" s="108">
        <v>4.55</v>
      </c>
    </row>
    <row r="1796" spans="1:7" x14ac:dyDescent="0.2">
      <c r="A1796" s="114"/>
      <c r="B1796" s="114" t="s">
        <v>268</v>
      </c>
      <c r="C1796" s="116"/>
      <c r="D1796" s="119">
        <v>0.34</v>
      </c>
      <c r="E1796" s="116"/>
      <c r="F1796" s="114"/>
      <c r="G1796" s="114">
        <v>3.4</v>
      </c>
    </row>
    <row r="1797" spans="1:7" x14ac:dyDescent="0.2">
      <c r="A1797" s="108" t="s">
        <v>265</v>
      </c>
      <c r="B1797" s="108" t="s">
        <v>310</v>
      </c>
      <c r="C1797" s="111" t="s">
        <v>270</v>
      </c>
      <c r="D1797" s="117">
        <v>0.34</v>
      </c>
      <c r="E1797" s="118">
        <v>1</v>
      </c>
      <c r="F1797" s="108">
        <v>10</v>
      </c>
      <c r="G1797" s="108">
        <v>3.4</v>
      </c>
    </row>
    <row r="1799" spans="1:7" x14ac:dyDescent="0.2">
      <c r="A1799" s="114"/>
      <c r="B1799" s="114" t="s">
        <v>271</v>
      </c>
      <c r="C1799" s="116"/>
      <c r="D1799" s="114"/>
      <c r="E1799" s="116"/>
      <c r="F1799" s="114"/>
      <c r="G1799" s="114">
        <v>4.2699999999999996</v>
      </c>
    </row>
    <row r="1800" spans="1:7" x14ac:dyDescent="0.2">
      <c r="B1800" s="108" t="s">
        <v>272</v>
      </c>
      <c r="C1800" s="111" t="s">
        <v>273</v>
      </c>
      <c r="D1800" s="108">
        <v>80</v>
      </c>
      <c r="G1800" s="108">
        <v>2.72</v>
      </c>
    </row>
    <row r="1801" spans="1:7" x14ac:dyDescent="0.2">
      <c r="B1801" s="108" t="s">
        <v>298</v>
      </c>
      <c r="C1801" s="111" t="s">
        <v>273</v>
      </c>
      <c r="D1801" s="108">
        <v>10</v>
      </c>
      <c r="G1801" s="108">
        <v>0.41</v>
      </c>
    </row>
    <row r="1802" spans="1:7" x14ac:dyDescent="0.2">
      <c r="B1802" s="108" t="s">
        <v>274</v>
      </c>
      <c r="C1802" s="111" t="s">
        <v>273</v>
      </c>
      <c r="D1802" s="108">
        <v>25</v>
      </c>
      <c r="G1802" s="108">
        <v>1.1399999999999999</v>
      </c>
    </row>
    <row r="1804" spans="1:7" x14ac:dyDescent="0.2">
      <c r="A1804" s="114"/>
      <c r="B1804" s="114" t="s">
        <v>254</v>
      </c>
      <c r="C1804" s="116"/>
      <c r="D1804" s="114"/>
      <c r="E1804" s="116"/>
      <c r="F1804" s="114"/>
      <c r="G1804" s="114"/>
    </row>
    <row r="1805" spans="1:7" x14ac:dyDescent="0.2">
      <c r="B1805" s="108" t="s">
        <v>275</v>
      </c>
      <c r="G1805" s="108">
        <v>12.05</v>
      </c>
    </row>
    <row r="1806" spans="1:7" x14ac:dyDescent="0.2">
      <c r="B1806" s="108" t="s">
        <v>276</v>
      </c>
      <c r="G1806" s="108">
        <v>4.2699999999999996</v>
      </c>
    </row>
    <row r="1807" spans="1:7" x14ac:dyDescent="0.2">
      <c r="B1807" s="108" t="s">
        <v>277</v>
      </c>
      <c r="G1807" s="108">
        <v>16.32</v>
      </c>
    </row>
    <row r="1808" spans="1:7" x14ac:dyDescent="0.2">
      <c r="B1808" s="108" t="s">
        <v>278</v>
      </c>
      <c r="C1808" s="111" t="s">
        <v>273</v>
      </c>
      <c r="D1808" s="108" t="s">
        <v>279</v>
      </c>
      <c r="G1808" s="108">
        <v>1.63</v>
      </c>
    </row>
    <row r="1810" spans="1:7" x14ac:dyDescent="0.2">
      <c r="A1810" s="112"/>
      <c r="B1810" s="112" t="s">
        <v>254</v>
      </c>
      <c r="C1810" s="113"/>
      <c r="D1810" s="112"/>
      <c r="E1810" s="113"/>
      <c r="F1810" s="112"/>
      <c r="G1810" s="112">
        <v>17.95</v>
      </c>
    </row>
    <row r="1812" spans="1:7" x14ac:dyDescent="0.2">
      <c r="A1812" s="112" t="s">
        <v>67</v>
      </c>
      <c r="B1812" s="112"/>
      <c r="C1812" s="113"/>
      <c r="D1812" s="112"/>
      <c r="E1812" s="113"/>
      <c r="F1812" s="112"/>
      <c r="G1812" s="112"/>
    </row>
    <row r="1813" spans="1:7" x14ac:dyDescent="0.2">
      <c r="A1813" s="114" t="s">
        <v>462</v>
      </c>
      <c r="G1813" s="115" t="s">
        <v>312</v>
      </c>
    </row>
    <row r="1815" spans="1:7" x14ac:dyDescent="0.2">
      <c r="A1815" s="114"/>
      <c r="B1815" s="114" t="s">
        <v>264</v>
      </c>
      <c r="C1815" s="116"/>
      <c r="D1815" s="114"/>
      <c r="E1815" s="116"/>
      <c r="F1815" s="114"/>
      <c r="G1815" s="114">
        <v>0.96</v>
      </c>
    </row>
    <row r="1816" spans="1:7" x14ac:dyDescent="0.2">
      <c r="A1816" s="108" t="s">
        <v>265</v>
      </c>
      <c r="B1816" s="108" t="s">
        <v>463</v>
      </c>
      <c r="C1816" s="111" t="s">
        <v>267</v>
      </c>
      <c r="D1816" s="117">
        <v>0.02</v>
      </c>
      <c r="E1816" s="118">
        <v>1</v>
      </c>
      <c r="F1816" s="108">
        <v>30</v>
      </c>
      <c r="G1816" s="108">
        <v>0.6</v>
      </c>
    </row>
    <row r="1817" spans="1:7" x14ac:dyDescent="0.2">
      <c r="A1817" s="108" t="s">
        <v>265</v>
      </c>
      <c r="B1817" s="108" t="s">
        <v>314</v>
      </c>
      <c r="C1817" s="111" t="s">
        <v>267</v>
      </c>
      <c r="D1817" s="117">
        <v>1.2E-2</v>
      </c>
      <c r="E1817" s="118">
        <v>1</v>
      </c>
      <c r="F1817" s="108">
        <v>30</v>
      </c>
      <c r="G1817" s="108">
        <v>0.36</v>
      </c>
    </row>
    <row r="1819" spans="1:7" x14ac:dyDescent="0.2">
      <c r="A1819" s="114"/>
      <c r="B1819" s="114" t="s">
        <v>268</v>
      </c>
      <c r="C1819" s="116"/>
      <c r="D1819" s="119">
        <v>0.14000000000000001</v>
      </c>
      <c r="E1819" s="116"/>
      <c r="F1819" s="114"/>
      <c r="G1819" s="114">
        <v>1.4</v>
      </c>
    </row>
    <row r="1820" spans="1:7" x14ac:dyDescent="0.2">
      <c r="A1820" s="108" t="s">
        <v>265</v>
      </c>
      <c r="B1820" s="108" t="s">
        <v>310</v>
      </c>
      <c r="C1820" s="111" t="s">
        <v>270</v>
      </c>
      <c r="D1820" s="117">
        <v>0.14000000000000001</v>
      </c>
      <c r="E1820" s="118">
        <v>1</v>
      </c>
      <c r="F1820" s="108">
        <v>10</v>
      </c>
      <c r="G1820" s="108">
        <v>1.4</v>
      </c>
    </row>
    <row r="1822" spans="1:7" x14ac:dyDescent="0.2">
      <c r="A1822" s="114"/>
      <c r="B1822" s="114" t="s">
        <v>271</v>
      </c>
      <c r="C1822" s="116"/>
      <c r="D1822" s="114"/>
      <c r="E1822" s="116"/>
      <c r="F1822" s="114"/>
      <c r="G1822" s="114">
        <v>1.36</v>
      </c>
    </row>
    <row r="1823" spans="1:7" x14ac:dyDescent="0.2">
      <c r="B1823" s="108" t="s">
        <v>272</v>
      </c>
      <c r="C1823" s="111" t="s">
        <v>273</v>
      </c>
      <c r="D1823" s="108">
        <v>80</v>
      </c>
      <c r="G1823" s="108">
        <v>1.1200000000000001</v>
      </c>
    </row>
    <row r="1824" spans="1:7" x14ac:dyDescent="0.2">
      <c r="B1824" s="108" t="s">
        <v>274</v>
      </c>
      <c r="C1824" s="111" t="s">
        <v>273</v>
      </c>
      <c r="D1824" s="108">
        <v>25</v>
      </c>
      <c r="G1824" s="108">
        <v>0.24</v>
      </c>
    </row>
    <row r="1826" spans="1:7" x14ac:dyDescent="0.2">
      <c r="A1826" s="114"/>
      <c r="B1826" s="114" t="s">
        <v>254</v>
      </c>
      <c r="C1826" s="116"/>
      <c r="D1826" s="114"/>
      <c r="E1826" s="116"/>
      <c r="F1826" s="114"/>
      <c r="G1826" s="114"/>
    </row>
    <row r="1827" spans="1:7" x14ac:dyDescent="0.2">
      <c r="B1827" s="108" t="s">
        <v>275</v>
      </c>
      <c r="G1827" s="108">
        <v>2.36</v>
      </c>
    </row>
    <row r="1828" spans="1:7" x14ac:dyDescent="0.2">
      <c r="B1828" s="108" t="s">
        <v>276</v>
      </c>
      <c r="G1828" s="108">
        <v>1.36</v>
      </c>
    </row>
    <row r="1829" spans="1:7" x14ac:dyDescent="0.2">
      <c r="B1829" s="108" t="s">
        <v>277</v>
      </c>
      <c r="G1829" s="108">
        <v>3.72</v>
      </c>
    </row>
    <row r="1830" spans="1:7" x14ac:dyDescent="0.2">
      <c r="B1830" s="108" t="s">
        <v>278</v>
      </c>
      <c r="C1830" s="111" t="s">
        <v>273</v>
      </c>
      <c r="D1830" s="108" t="s">
        <v>279</v>
      </c>
      <c r="G1830" s="108">
        <v>0.37</v>
      </c>
    </row>
    <row r="1832" spans="1:7" x14ac:dyDescent="0.2">
      <c r="A1832" s="112"/>
      <c r="B1832" s="112" t="s">
        <v>254</v>
      </c>
      <c r="C1832" s="113"/>
      <c r="D1832" s="112"/>
      <c r="E1832" s="113"/>
      <c r="F1832" s="112"/>
      <c r="G1832" s="112">
        <v>4.09</v>
      </c>
    </row>
    <row r="1834" spans="1:7" x14ac:dyDescent="0.2">
      <c r="A1834" s="112" t="s">
        <v>20</v>
      </c>
      <c r="B1834" s="112"/>
      <c r="C1834" s="113"/>
      <c r="D1834" s="112"/>
      <c r="E1834" s="113"/>
      <c r="F1834" s="112"/>
      <c r="G1834" s="112"/>
    </row>
    <row r="1835" spans="1:7" x14ac:dyDescent="0.2">
      <c r="A1835" s="114" t="s">
        <v>464</v>
      </c>
      <c r="G1835" s="115" t="s">
        <v>312</v>
      </c>
    </row>
    <row r="1837" spans="1:7" x14ac:dyDescent="0.2">
      <c r="A1837" s="114"/>
      <c r="B1837" s="114" t="s">
        <v>294</v>
      </c>
      <c r="C1837" s="116"/>
      <c r="D1837" s="114"/>
      <c r="E1837" s="116"/>
      <c r="F1837" s="114"/>
      <c r="G1837" s="114">
        <v>114</v>
      </c>
    </row>
    <row r="1838" spans="1:7" x14ac:dyDescent="0.2">
      <c r="A1838" s="108" t="s">
        <v>265</v>
      </c>
      <c r="B1838" s="108" t="s">
        <v>465</v>
      </c>
      <c r="C1838" s="111" t="s">
        <v>317</v>
      </c>
      <c r="D1838" s="117">
        <v>1</v>
      </c>
      <c r="E1838" s="118">
        <v>1</v>
      </c>
      <c r="F1838" s="108">
        <v>114</v>
      </c>
      <c r="G1838" s="108">
        <v>114</v>
      </c>
    </row>
    <row r="1840" spans="1:7" x14ac:dyDescent="0.2">
      <c r="A1840" s="114"/>
      <c r="B1840" s="114" t="s">
        <v>268</v>
      </c>
      <c r="C1840" s="116"/>
      <c r="D1840" s="119">
        <v>0.62</v>
      </c>
      <c r="E1840" s="116"/>
      <c r="F1840" s="114"/>
      <c r="G1840" s="114">
        <v>6.2</v>
      </c>
    </row>
    <row r="1841" spans="1:7" x14ac:dyDescent="0.2">
      <c r="A1841" s="108" t="s">
        <v>265</v>
      </c>
      <c r="B1841" s="108" t="s">
        <v>310</v>
      </c>
      <c r="C1841" s="111" t="s">
        <v>270</v>
      </c>
      <c r="D1841" s="117">
        <v>0.62</v>
      </c>
      <c r="E1841" s="118">
        <v>1</v>
      </c>
      <c r="F1841" s="108">
        <v>10</v>
      </c>
      <c r="G1841" s="108">
        <v>6.2</v>
      </c>
    </row>
    <row r="1843" spans="1:7" x14ac:dyDescent="0.2">
      <c r="A1843" s="114"/>
      <c r="B1843" s="114" t="s">
        <v>271</v>
      </c>
      <c r="C1843" s="116"/>
      <c r="D1843" s="114"/>
      <c r="E1843" s="116"/>
      <c r="F1843" s="114"/>
      <c r="G1843" s="114">
        <v>16.36</v>
      </c>
    </row>
    <row r="1844" spans="1:7" x14ac:dyDescent="0.2">
      <c r="B1844" s="108" t="s">
        <v>272</v>
      </c>
      <c r="C1844" s="111" t="s">
        <v>273</v>
      </c>
      <c r="D1844" s="108">
        <v>80</v>
      </c>
      <c r="G1844" s="108">
        <v>4.96</v>
      </c>
    </row>
    <row r="1845" spans="1:7" x14ac:dyDescent="0.2">
      <c r="B1845" s="108" t="s">
        <v>298</v>
      </c>
      <c r="C1845" s="111" t="s">
        <v>273</v>
      </c>
      <c r="D1845" s="108">
        <v>10</v>
      </c>
      <c r="G1845" s="108">
        <v>11.4</v>
      </c>
    </row>
    <row r="1847" spans="1:7" x14ac:dyDescent="0.2">
      <c r="A1847" s="114"/>
      <c r="B1847" s="114" t="s">
        <v>254</v>
      </c>
      <c r="C1847" s="116"/>
      <c r="D1847" s="114"/>
      <c r="E1847" s="116"/>
      <c r="F1847" s="114"/>
      <c r="G1847" s="114"/>
    </row>
    <row r="1848" spans="1:7" x14ac:dyDescent="0.2">
      <c r="B1848" s="108" t="s">
        <v>275</v>
      </c>
      <c r="G1848" s="108">
        <v>120.2</v>
      </c>
    </row>
    <row r="1849" spans="1:7" x14ac:dyDescent="0.2">
      <c r="B1849" s="108" t="s">
        <v>276</v>
      </c>
      <c r="G1849" s="108">
        <v>16.36</v>
      </c>
    </row>
    <row r="1850" spans="1:7" x14ac:dyDescent="0.2">
      <c r="B1850" s="108" t="s">
        <v>277</v>
      </c>
      <c r="G1850" s="108">
        <v>136.56</v>
      </c>
    </row>
    <row r="1851" spans="1:7" x14ac:dyDescent="0.2">
      <c r="B1851" s="108" t="s">
        <v>278</v>
      </c>
      <c r="C1851" s="111" t="s">
        <v>273</v>
      </c>
      <c r="D1851" s="108" t="s">
        <v>279</v>
      </c>
      <c r="G1851" s="108">
        <v>13.66</v>
      </c>
    </row>
    <row r="1853" spans="1:7" x14ac:dyDescent="0.2">
      <c r="A1853" s="112"/>
      <c r="B1853" s="112" t="s">
        <v>254</v>
      </c>
      <c r="C1853" s="113"/>
      <c r="D1853" s="112"/>
      <c r="E1853" s="113"/>
      <c r="F1853" s="112"/>
      <c r="G1853" s="112">
        <v>150.22</v>
      </c>
    </row>
    <row r="1855" spans="1:7" x14ac:dyDescent="0.2">
      <c r="A1855" s="112" t="s">
        <v>21</v>
      </c>
      <c r="B1855" s="112"/>
      <c r="C1855" s="113"/>
      <c r="D1855" s="112"/>
      <c r="E1855" s="113"/>
      <c r="F1855" s="112"/>
      <c r="G1855" s="112"/>
    </row>
    <row r="1856" spans="1:7" x14ac:dyDescent="0.2">
      <c r="A1856" s="114" t="s">
        <v>466</v>
      </c>
      <c r="G1856" s="115" t="s">
        <v>312</v>
      </c>
    </row>
    <row r="1858" spans="1:7" x14ac:dyDescent="0.2">
      <c r="A1858" s="114"/>
      <c r="B1858" s="114" t="s">
        <v>294</v>
      </c>
      <c r="C1858" s="116"/>
      <c r="D1858" s="114"/>
      <c r="E1858" s="116"/>
      <c r="F1858" s="114"/>
      <c r="G1858" s="114">
        <v>120</v>
      </c>
    </row>
    <row r="1859" spans="1:7" x14ac:dyDescent="0.2">
      <c r="A1859" s="108" t="s">
        <v>265</v>
      </c>
      <c r="B1859" s="108" t="s">
        <v>467</v>
      </c>
      <c r="C1859" s="111" t="s">
        <v>317</v>
      </c>
      <c r="D1859" s="117">
        <v>1</v>
      </c>
      <c r="E1859" s="118">
        <v>1</v>
      </c>
      <c r="F1859" s="108">
        <v>120</v>
      </c>
      <c r="G1859" s="108">
        <v>120</v>
      </c>
    </row>
    <row r="1861" spans="1:7" x14ac:dyDescent="0.2">
      <c r="A1861" s="114"/>
      <c r="B1861" s="114" t="s">
        <v>268</v>
      </c>
      <c r="C1861" s="116"/>
      <c r="D1861" s="119">
        <v>0.62</v>
      </c>
      <c r="E1861" s="116"/>
      <c r="F1861" s="114"/>
      <c r="G1861" s="114">
        <v>6.2</v>
      </c>
    </row>
    <row r="1862" spans="1:7" x14ac:dyDescent="0.2">
      <c r="A1862" s="108" t="s">
        <v>265</v>
      </c>
      <c r="B1862" s="108" t="s">
        <v>310</v>
      </c>
      <c r="C1862" s="111" t="s">
        <v>270</v>
      </c>
      <c r="D1862" s="117">
        <v>0.62</v>
      </c>
      <c r="E1862" s="118">
        <v>1</v>
      </c>
      <c r="F1862" s="108">
        <v>10</v>
      </c>
      <c r="G1862" s="108">
        <v>6.2</v>
      </c>
    </row>
    <row r="1864" spans="1:7" x14ac:dyDescent="0.2">
      <c r="A1864" s="114"/>
      <c r="B1864" s="114" t="s">
        <v>271</v>
      </c>
      <c r="C1864" s="116"/>
      <c r="D1864" s="114"/>
      <c r="E1864" s="116"/>
      <c r="F1864" s="114"/>
      <c r="G1864" s="114">
        <v>16.96</v>
      </c>
    </row>
    <row r="1865" spans="1:7" x14ac:dyDescent="0.2">
      <c r="B1865" s="108" t="s">
        <v>272</v>
      </c>
      <c r="C1865" s="111" t="s">
        <v>273</v>
      </c>
      <c r="D1865" s="108">
        <v>80</v>
      </c>
      <c r="G1865" s="108">
        <v>4.96</v>
      </c>
    </row>
    <row r="1866" spans="1:7" x14ac:dyDescent="0.2">
      <c r="B1866" s="108" t="s">
        <v>298</v>
      </c>
      <c r="C1866" s="111" t="s">
        <v>273</v>
      </c>
      <c r="D1866" s="108">
        <v>10</v>
      </c>
      <c r="G1866" s="108">
        <v>12</v>
      </c>
    </row>
    <row r="1868" spans="1:7" x14ac:dyDescent="0.2">
      <c r="A1868" s="114"/>
      <c r="B1868" s="114" t="s">
        <v>254</v>
      </c>
      <c r="C1868" s="116"/>
      <c r="D1868" s="114"/>
      <c r="E1868" s="116"/>
      <c r="F1868" s="114"/>
      <c r="G1868" s="114"/>
    </row>
    <row r="1869" spans="1:7" x14ac:dyDescent="0.2">
      <c r="B1869" s="108" t="s">
        <v>275</v>
      </c>
      <c r="G1869" s="108">
        <v>126.2</v>
      </c>
    </row>
    <row r="1870" spans="1:7" x14ac:dyDescent="0.2">
      <c r="B1870" s="108" t="s">
        <v>276</v>
      </c>
      <c r="G1870" s="108">
        <v>16.96</v>
      </c>
    </row>
    <row r="1871" spans="1:7" x14ac:dyDescent="0.2">
      <c r="B1871" s="108" t="s">
        <v>277</v>
      </c>
      <c r="G1871" s="108">
        <v>143.16</v>
      </c>
    </row>
    <row r="1872" spans="1:7" x14ac:dyDescent="0.2">
      <c r="B1872" s="108" t="s">
        <v>278</v>
      </c>
      <c r="C1872" s="111" t="s">
        <v>273</v>
      </c>
      <c r="D1872" s="108" t="s">
        <v>279</v>
      </c>
      <c r="G1872" s="108">
        <v>14.32</v>
      </c>
    </row>
    <row r="1874" spans="1:7" x14ac:dyDescent="0.2">
      <c r="A1874" s="112"/>
      <c r="B1874" s="112" t="s">
        <v>254</v>
      </c>
      <c r="C1874" s="113"/>
      <c r="D1874" s="112"/>
      <c r="E1874" s="113"/>
      <c r="F1874" s="112"/>
      <c r="G1874" s="112">
        <v>157.47999999999999</v>
      </c>
    </row>
    <row r="1876" spans="1:7" x14ac:dyDescent="0.2">
      <c r="A1876" s="112" t="s">
        <v>102</v>
      </c>
      <c r="B1876" s="112"/>
      <c r="C1876" s="113"/>
      <c r="D1876" s="112"/>
      <c r="E1876" s="113"/>
      <c r="F1876" s="112"/>
      <c r="G1876" s="112"/>
    </row>
    <row r="1877" spans="1:7" x14ac:dyDescent="0.2">
      <c r="A1877" s="114" t="s">
        <v>468</v>
      </c>
      <c r="G1877" s="115" t="s">
        <v>312</v>
      </c>
    </row>
    <row r="1879" spans="1:7" x14ac:dyDescent="0.2">
      <c r="A1879" s="114"/>
      <c r="B1879" s="114" t="s">
        <v>294</v>
      </c>
      <c r="C1879" s="116"/>
      <c r="D1879" s="114"/>
      <c r="E1879" s="116"/>
      <c r="F1879" s="114"/>
      <c r="G1879" s="114">
        <v>13.9</v>
      </c>
    </row>
    <row r="1880" spans="1:7" x14ac:dyDescent="0.2">
      <c r="A1880" s="108" t="s">
        <v>265</v>
      </c>
      <c r="B1880" s="108" t="s">
        <v>469</v>
      </c>
      <c r="C1880" s="111" t="s">
        <v>317</v>
      </c>
      <c r="D1880" s="117">
        <v>1</v>
      </c>
      <c r="E1880" s="118">
        <v>1</v>
      </c>
      <c r="F1880" s="108">
        <v>13.9</v>
      </c>
      <c r="G1880" s="108">
        <v>13.9</v>
      </c>
    </row>
    <row r="1882" spans="1:7" x14ac:dyDescent="0.2">
      <c r="A1882" s="114"/>
      <c r="B1882" s="114" t="s">
        <v>264</v>
      </c>
      <c r="C1882" s="116"/>
      <c r="D1882" s="114"/>
      <c r="E1882" s="116"/>
      <c r="F1882" s="114"/>
      <c r="G1882" s="114">
        <v>6</v>
      </c>
    </row>
    <row r="1883" spans="1:7" x14ac:dyDescent="0.2">
      <c r="A1883" s="108" t="s">
        <v>265</v>
      </c>
      <c r="B1883" s="108" t="s">
        <v>320</v>
      </c>
      <c r="C1883" s="111" t="s">
        <v>267</v>
      </c>
      <c r="D1883" s="117">
        <v>0.2</v>
      </c>
      <c r="E1883" s="118">
        <v>1</v>
      </c>
      <c r="F1883" s="108">
        <v>30</v>
      </c>
      <c r="G1883" s="108">
        <v>6</v>
      </c>
    </row>
    <row r="1885" spans="1:7" x14ac:dyDescent="0.2">
      <c r="A1885" s="114"/>
      <c r="B1885" s="114" t="s">
        <v>268</v>
      </c>
      <c r="C1885" s="116"/>
      <c r="D1885" s="119">
        <v>0.5</v>
      </c>
      <c r="E1885" s="116"/>
      <c r="F1885" s="114"/>
      <c r="G1885" s="114">
        <v>5</v>
      </c>
    </row>
    <row r="1886" spans="1:7" x14ac:dyDescent="0.2">
      <c r="A1886" s="108" t="s">
        <v>265</v>
      </c>
      <c r="B1886" s="108" t="s">
        <v>310</v>
      </c>
      <c r="C1886" s="111" t="s">
        <v>270</v>
      </c>
      <c r="D1886" s="117">
        <v>0.5</v>
      </c>
      <c r="E1886" s="118">
        <v>1</v>
      </c>
      <c r="F1886" s="108">
        <v>10</v>
      </c>
      <c r="G1886" s="108">
        <v>5</v>
      </c>
    </row>
    <row r="1888" spans="1:7" x14ac:dyDescent="0.2">
      <c r="A1888" s="114"/>
      <c r="B1888" s="114" t="s">
        <v>271</v>
      </c>
      <c r="C1888" s="116"/>
      <c r="D1888" s="114"/>
      <c r="E1888" s="116"/>
      <c r="F1888" s="114"/>
      <c r="G1888" s="114">
        <v>6.89</v>
      </c>
    </row>
    <row r="1889" spans="1:7" x14ac:dyDescent="0.2">
      <c r="B1889" s="108" t="s">
        <v>272</v>
      </c>
      <c r="C1889" s="111" t="s">
        <v>273</v>
      </c>
      <c r="D1889" s="108">
        <v>80</v>
      </c>
      <c r="G1889" s="108">
        <v>4</v>
      </c>
    </row>
    <row r="1890" spans="1:7" x14ac:dyDescent="0.2">
      <c r="B1890" s="108" t="s">
        <v>298</v>
      </c>
      <c r="C1890" s="111" t="s">
        <v>273</v>
      </c>
      <c r="D1890" s="108">
        <v>10</v>
      </c>
      <c r="G1890" s="108">
        <v>1.39</v>
      </c>
    </row>
    <row r="1891" spans="1:7" x14ac:dyDescent="0.2">
      <c r="B1891" s="108" t="s">
        <v>274</v>
      </c>
      <c r="C1891" s="111" t="s">
        <v>273</v>
      </c>
      <c r="D1891" s="108">
        <v>25</v>
      </c>
      <c r="G1891" s="108">
        <v>1.5</v>
      </c>
    </row>
    <row r="1893" spans="1:7" x14ac:dyDescent="0.2">
      <c r="A1893" s="114"/>
      <c r="B1893" s="114" t="s">
        <v>254</v>
      </c>
      <c r="C1893" s="116"/>
      <c r="D1893" s="114"/>
      <c r="E1893" s="116"/>
      <c r="F1893" s="114"/>
      <c r="G1893" s="114"/>
    </row>
    <row r="1894" spans="1:7" x14ac:dyDescent="0.2">
      <c r="B1894" s="108" t="s">
        <v>275</v>
      </c>
      <c r="G1894" s="108">
        <v>24.9</v>
      </c>
    </row>
    <row r="1895" spans="1:7" x14ac:dyDescent="0.2">
      <c r="B1895" s="108" t="s">
        <v>276</v>
      </c>
      <c r="G1895" s="108">
        <v>6.89</v>
      </c>
    </row>
    <row r="1896" spans="1:7" x14ac:dyDescent="0.2">
      <c r="B1896" s="108" t="s">
        <v>277</v>
      </c>
      <c r="G1896" s="108">
        <v>31.79</v>
      </c>
    </row>
    <row r="1897" spans="1:7" x14ac:dyDescent="0.2">
      <c r="B1897" s="108" t="s">
        <v>278</v>
      </c>
      <c r="C1897" s="111" t="s">
        <v>273</v>
      </c>
      <c r="D1897" s="108" t="s">
        <v>279</v>
      </c>
      <c r="G1897" s="108">
        <v>3.18</v>
      </c>
    </row>
    <row r="1899" spans="1:7" x14ac:dyDescent="0.2">
      <c r="A1899" s="112"/>
      <c r="B1899" s="112" t="s">
        <v>254</v>
      </c>
      <c r="C1899" s="113"/>
      <c r="D1899" s="112"/>
      <c r="E1899" s="113"/>
      <c r="F1899" s="112"/>
      <c r="G1899" s="112">
        <v>34.97</v>
      </c>
    </row>
    <row r="1901" spans="1:7" x14ac:dyDescent="0.2">
      <c r="A1901" s="112" t="s">
        <v>103</v>
      </c>
      <c r="B1901" s="112"/>
      <c r="C1901" s="113"/>
      <c r="D1901" s="112"/>
      <c r="E1901" s="113"/>
      <c r="F1901" s="112"/>
      <c r="G1901" s="112"/>
    </row>
    <row r="1902" spans="1:7" x14ac:dyDescent="0.2">
      <c r="A1902" s="114" t="s">
        <v>470</v>
      </c>
      <c r="G1902" s="115" t="s">
        <v>312</v>
      </c>
    </row>
    <row r="1904" spans="1:7" x14ac:dyDescent="0.2">
      <c r="A1904" s="114"/>
      <c r="B1904" s="114" t="s">
        <v>294</v>
      </c>
      <c r="C1904" s="116"/>
      <c r="D1904" s="114"/>
      <c r="E1904" s="116"/>
      <c r="F1904" s="114"/>
      <c r="G1904" s="114">
        <v>23.9</v>
      </c>
    </row>
    <row r="1905" spans="1:7" x14ac:dyDescent="0.2">
      <c r="A1905" s="108" t="s">
        <v>265</v>
      </c>
      <c r="B1905" s="108" t="s">
        <v>471</v>
      </c>
      <c r="C1905" s="111" t="s">
        <v>317</v>
      </c>
      <c r="D1905" s="117">
        <v>1</v>
      </c>
      <c r="E1905" s="118">
        <v>1</v>
      </c>
      <c r="F1905" s="108">
        <v>6.8</v>
      </c>
      <c r="G1905" s="108">
        <v>6.8</v>
      </c>
    </row>
    <row r="1906" spans="1:7" x14ac:dyDescent="0.2">
      <c r="A1906" s="108" t="s">
        <v>265</v>
      </c>
      <c r="B1906" s="108" t="s">
        <v>323</v>
      </c>
      <c r="C1906" s="111" t="s">
        <v>317</v>
      </c>
      <c r="D1906" s="117">
        <v>1</v>
      </c>
      <c r="E1906" s="118">
        <v>1</v>
      </c>
      <c r="F1906" s="108">
        <v>1.1000000000000001</v>
      </c>
      <c r="G1906" s="108">
        <v>1.1000000000000001</v>
      </c>
    </row>
    <row r="1907" spans="1:7" x14ac:dyDescent="0.2">
      <c r="A1907" s="108" t="s">
        <v>265</v>
      </c>
      <c r="B1907" s="108" t="s">
        <v>324</v>
      </c>
      <c r="C1907" s="111" t="s">
        <v>317</v>
      </c>
      <c r="D1907" s="117">
        <v>8</v>
      </c>
      <c r="E1907" s="118">
        <v>1</v>
      </c>
      <c r="F1907" s="108">
        <v>2</v>
      </c>
      <c r="G1907" s="108">
        <v>16</v>
      </c>
    </row>
    <row r="1909" spans="1:7" x14ac:dyDescent="0.2">
      <c r="A1909" s="114"/>
      <c r="B1909" s="114" t="s">
        <v>268</v>
      </c>
      <c r="C1909" s="116"/>
      <c r="D1909" s="119">
        <v>0.25</v>
      </c>
      <c r="E1909" s="116"/>
      <c r="F1909" s="114"/>
      <c r="G1909" s="114">
        <v>2.5</v>
      </c>
    </row>
    <row r="1910" spans="1:7" x14ac:dyDescent="0.2">
      <c r="A1910" s="108" t="s">
        <v>265</v>
      </c>
      <c r="B1910" s="108" t="s">
        <v>310</v>
      </c>
      <c r="C1910" s="111" t="s">
        <v>270</v>
      </c>
      <c r="D1910" s="117">
        <v>0.25</v>
      </c>
      <c r="E1910" s="118">
        <v>1</v>
      </c>
      <c r="F1910" s="108">
        <v>10</v>
      </c>
      <c r="G1910" s="108">
        <v>2.5</v>
      </c>
    </row>
    <row r="1912" spans="1:7" x14ac:dyDescent="0.2">
      <c r="A1912" s="114"/>
      <c r="B1912" s="114" t="s">
        <v>271</v>
      </c>
      <c r="C1912" s="116"/>
      <c r="D1912" s="114"/>
      <c r="E1912" s="116"/>
      <c r="F1912" s="114"/>
      <c r="G1912" s="114">
        <v>4.3899999999999997</v>
      </c>
    </row>
    <row r="1913" spans="1:7" x14ac:dyDescent="0.2">
      <c r="B1913" s="108" t="s">
        <v>272</v>
      </c>
      <c r="C1913" s="111" t="s">
        <v>273</v>
      </c>
      <c r="D1913" s="108">
        <v>80</v>
      </c>
      <c r="G1913" s="108">
        <v>2</v>
      </c>
    </row>
    <row r="1914" spans="1:7" x14ac:dyDescent="0.2">
      <c r="B1914" s="108" t="s">
        <v>298</v>
      </c>
      <c r="C1914" s="111" t="s">
        <v>273</v>
      </c>
      <c r="D1914" s="108">
        <v>10</v>
      </c>
      <c r="G1914" s="108">
        <v>2.39</v>
      </c>
    </row>
    <row r="1916" spans="1:7" x14ac:dyDescent="0.2">
      <c r="A1916" s="114"/>
      <c r="B1916" s="114" t="s">
        <v>254</v>
      </c>
      <c r="C1916" s="116"/>
      <c r="D1916" s="114"/>
      <c r="E1916" s="116"/>
      <c r="F1916" s="114"/>
      <c r="G1916" s="114"/>
    </row>
    <row r="1917" spans="1:7" x14ac:dyDescent="0.2">
      <c r="B1917" s="108" t="s">
        <v>275</v>
      </c>
      <c r="G1917" s="108">
        <v>26.4</v>
      </c>
    </row>
    <row r="1918" spans="1:7" x14ac:dyDescent="0.2">
      <c r="B1918" s="108" t="s">
        <v>276</v>
      </c>
      <c r="G1918" s="108">
        <v>4.3899999999999997</v>
      </c>
    </row>
    <row r="1919" spans="1:7" x14ac:dyDescent="0.2">
      <c r="B1919" s="108" t="s">
        <v>277</v>
      </c>
      <c r="G1919" s="108">
        <v>30.79</v>
      </c>
    </row>
    <row r="1920" spans="1:7" x14ac:dyDescent="0.2">
      <c r="B1920" s="108" t="s">
        <v>278</v>
      </c>
      <c r="C1920" s="111" t="s">
        <v>273</v>
      </c>
      <c r="D1920" s="108" t="s">
        <v>279</v>
      </c>
      <c r="G1920" s="108">
        <v>3.08</v>
      </c>
    </row>
    <row r="1922" spans="1:7" x14ac:dyDescent="0.2">
      <c r="A1922" s="112"/>
      <c r="B1922" s="112" t="s">
        <v>254</v>
      </c>
      <c r="C1922" s="113"/>
      <c r="D1922" s="112"/>
      <c r="E1922" s="113"/>
      <c r="F1922" s="112"/>
      <c r="G1922" s="112">
        <v>33.869999999999997</v>
      </c>
    </row>
    <row r="1924" spans="1:7" x14ac:dyDescent="0.2">
      <c r="A1924" s="112" t="s">
        <v>104</v>
      </c>
      <c r="B1924" s="112"/>
      <c r="C1924" s="113"/>
      <c r="D1924" s="112"/>
      <c r="E1924" s="113"/>
      <c r="F1924" s="112"/>
      <c r="G1924" s="112"/>
    </row>
    <row r="1925" spans="1:7" x14ac:dyDescent="0.2">
      <c r="A1925" s="114" t="s">
        <v>472</v>
      </c>
      <c r="G1925" s="115" t="s">
        <v>312</v>
      </c>
    </row>
    <row r="1927" spans="1:7" x14ac:dyDescent="0.2">
      <c r="A1927" s="114"/>
      <c r="B1927" s="114" t="s">
        <v>294</v>
      </c>
      <c r="C1927" s="116"/>
      <c r="D1927" s="114"/>
      <c r="E1927" s="116"/>
      <c r="F1927" s="114"/>
      <c r="G1927" s="114">
        <v>25.6</v>
      </c>
    </row>
    <row r="1928" spans="1:7" x14ac:dyDescent="0.2">
      <c r="A1928" s="108" t="s">
        <v>265</v>
      </c>
      <c r="B1928" s="108" t="s">
        <v>473</v>
      </c>
      <c r="C1928" s="111" t="s">
        <v>317</v>
      </c>
      <c r="D1928" s="117">
        <v>1</v>
      </c>
      <c r="E1928" s="118">
        <v>1</v>
      </c>
      <c r="F1928" s="108">
        <v>8.5</v>
      </c>
      <c r="G1928" s="108">
        <v>8.5</v>
      </c>
    </row>
    <row r="1929" spans="1:7" x14ac:dyDescent="0.2">
      <c r="A1929" s="108" t="s">
        <v>265</v>
      </c>
      <c r="B1929" s="108" t="s">
        <v>323</v>
      </c>
      <c r="C1929" s="111" t="s">
        <v>317</v>
      </c>
      <c r="D1929" s="117">
        <v>1</v>
      </c>
      <c r="E1929" s="118">
        <v>1</v>
      </c>
      <c r="F1929" s="108">
        <v>1.1000000000000001</v>
      </c>
      <c r="G1929" s="108">
        <v>1.1000000000000001</v>
      </c>
    </row>
    <row r="1930" spans="1:7" x14ac:dyDescent="0.2">
      <c r="A1930" s="108" t="s">
        <v>265</v>
      </c>
      <c r="B1930" s="108" t="s">
        <v>324</v>
      </c>
      <c r="C1930" s="111" t="s">
        <v>317</v>
      </c>
      <c r="D1930" s="117">
        <v>8</v>
      </c>
      <c r="E1930" s="118">
        <v>1</v>
      </c>
      <c r="F1930" s="108">
        <v>2</v>
      </c>
      <c r="G1930" s="108">
        <v>16</v>
      </c>
    </row>
    <row r="1932" spans="1:7" x14ac:dyDescent="0.2">
      <c r="A1932" s="114"/>
      <c r="B1932" s="114" t="s">
        <v>268</v>
      </c>
      <c r="C1932" s="116"/>
      <c r="D1932" s="119">
        <v>0.25</v>
      </c>
      <c r="E1932" s="116"/>
      <c r="F1932" s="114"/>
      <c r="G1932" s="114">
        <v>2.5</v>
      </c>
    </row>
    <row r="1933" spans="1:7" x14ac:dyDescent="0.2">
      <c r="A1933" s="108" t="s">
        <v>265</v>
      </c>
      <c r="B1933" s="108" t="s">
        <v>310</v>
      </c>
      <c r="C1933" s="111" t="s">
        <v>270</v>
      </c>
      <c r="D1933" s="117">
        <v>0.25</v>
      </c>
      <c r="E1933" s="118">
        <v>1</v>
      </c>
      <c r="F1933" s="108">
        <v>10</v>
      </c>
      <c r="G1933" s="108">
        <v>2.5</v>
      </c>
    </row>
    <row r="1935" spans="1:7" x14ac:dyDescent="0.2">
      <c r="A1935" s="114"/>
      <c r="B1935" s="114" t="s">
        <v>271</v>
      </c>
      <c r="C1935" s="116"/>
      <c r="D1935" s="114"/>
      <c r="E1935" s="116"/>
      <c r="F1935" s="114"/>
      <c r="G1935" s="114">
        <v>4.5599999999999996</v>
      </c>
    </row>
    <row r="1936" spans="1:7" x14ac:dyDescent="0.2">
      <c r="B1936" s="108" t="s">
        <v>272</v>
      </c>
      <c r="C1936" s="111" t="s">
        <v>273</v>
      </c>
      <c r="D1936" s="108">
        <v>80</v>
      </c>
      <c r="G1936" s="108">
        <v>2</v>
      </c>
    </row>
    <row r="1937" spans="1:7" x14ac:dyDescent="0.2">
      <c r="B1937" s="108" t="s">
        <v>298</v>
      </c>
      <c r="C1937" s="111" t="s">
        <v>273</v>
      </c>
      <c r="D1937" s="108">
        <v>10</v>
      </c>
      <c r="G1937" s="108">
        <v>2.56</v>
      </c>
    </row>
    <row r="1939" spans="1:7" x14ac:dyDescent="0.2">
      <c r="A1939" s="114"/>
      <c r="B1939" s="114" t="s">
        <v>254</v>
      </c>
      <c r="C1939" s="116"/>
      <c r="D1939" s="114"/>
      <c r="E1939" s="116"/>
      <c r="F1939" s="114"/>
      <c r="G1939" s="114"/>
    </row>
    <row r="1940" spans="1:7" x14ac:dyDescent="0.2">
      <c r="B1940" s="108" t="s">
        <v>275</v>
      </c>
      <c r="G1940" s="108">
        <v>28.1</v>
      </c>
    </row>
    <row r="1941" spans="1:7" x14ac:dyDescent="0.2">
      <c r="B1941" s="108" t="s">
        <v>276</v>
      </c>
      <c r="G1941" s="108">
        <v>4.5599999999999996</v>
      </c>
    </row>
    <row r="1942" spans="1:7" x14ac:dyDescent="0.2">
      <c r="B1942" s="108" t="s">
        <v>277</v>
      </c>
      <c r="G1942" s="108">
        <v>32.659999999999997</v>
      </c>
    </row>
    <row r="1943" spans="1:7" x14ac:dyDescent="0.2">
      <c r="B1943" s="108" t="s">
        <v>278</v>
      </c>
      <c r="C1943" s="111" t="s">
        <v>273</v>
      </c>
      <c r="D1943" s="108" t="s">
        <v>279</v>
      </c>
      <c r="G1943" s="108">
        <v>3.27</v>
      </c>
    </row>
    <row r="1945" spans="1:7" x14ac:dyDescent="0.2">
      <c r="A1945" s="112"/>
      <c r="B1945" s="112" t="s">
        <v>254</v>
      </c>
      <c r="C1945" s="113"/>
      <c r="D1945" s="112"/>
      <c r="E1945" s="113"/>
      <c r="F1945" s="112"/>
      <c r="G1945" s="112">
        <v>35.93</v>
      </c>
    </row>
    <row r="1947" spans="1:7" x14ac:dyDescent="0.2">
      <c r="A1947" s="112" t="s">
        <v>66</v>
      </c>
      <c r="B1947" s="112"/>
      <c r="C1947" s="113"/>
      <c r="D1947" s="112"/>
      <c r="E1947" s="113"/>
      <c r="F1947" s="112"/>
      <c r="G1947" s="112"/>
    </row>
    <row r="1948" spans="1:7" x14ac:dyDescent="0.2">
      <c r="A1948" s="114" t="s">
        <v>474</v>
      </c>
      <c r="G1948" s="115" t="s">
        <v>330</v>
      </c>
    </row>
    <row r="1950" spans="1:7" x14ac:dyDescent="0.2">
      <c r="A1950" s="114"/>
      <c r="B1950" s="114" t="s">
        <v>264</v>
      </c>
      <c r="C1950" s="116"/>
      <c r="D1950" s="114"/>
      <c r="E1950" s="116"/>
      <c r="F1950" s="114"/>
      <c r="G1950" s="114">
        <v>0.96</v>
      </c>
    </row>
    <row r="1951" spans="1:7" x14ac:dyDescent="0.2">
      <c r="A1951" s="108" t="s">
        <v>265</v>
      </c>
      <c r="B1951" s="108" t="s">
        <v>475</v>
      </c>
      <c r="C1951" s="111" t="s">
        <v>267</v>
      </c>
      <c r="D1951" s="117">
        <v>0.02</v>
      </c>
      <c r="E1951" s="118">
        <v>1</v>
      </c>
      <c r="F1951" s="108">
        <v>30</v>
      </c>
      <c r="G1951" s="108">
        <v>0.6</v>
      </c>
    </row>
    <row r="1952" spans="1:7" x14ac:dyDescent="0.2">
      <c r="A1952" s="108" t="s">
        <v>265</v>
      </c>
      <c r="B1952" s="108" t="s">
        <v>314</v>
      </c>
      <c r="C1952" s="111" t="s">
        <v>267</v>
      </c>
      <c r="D1952" s="117">
        <v>1.2E-2</v>
      </c>
      <c r="E1952" s="118">
        <v>1</v>
      </c>
      <c r="F1952" s="108">
        <v>30</v>
      </c>
      <c r="G1952" s="108">
        <v>0.36</v>
      </c>
    </row>
    <row r="1954" spans="1:7" x14ac:dyDescent="0.2">
      <c r="A1954" s="114"/>
      <c r="B1954" s="114" t="s">
        <v>268</v>
      </c>
      <c r="C1954" s="116"/>
      <c r="D1954" s="119">
        <v>0.14000000000000001</v>
      </c>
      <c r="E1954" s="116"/>
      <c r="F1954" s="114"/>
      <c r="G1954" s="114">
        <v>1.4</v>
      </c>
    </row>
    <row r="1955" spans="1:7" x14ac:dyDescent="0.2">
      <c r="A1955" s="108" t="s">
        <v>265</v>
      </c>
      <c r="B1955" s="108" t="s">
        <v>310</v>
      </c>
      <c r="C1955" s="111" t="s">
        <v>270</v>
      </c>
      <c r="D1955" s="117">
        <v>0.14000000000000001</v>
      </c>
      <c r="E1955" s="118">
        <v>1</v>
      </c>
      <c r="F1955" s="108">
        <v>10</v>
      </c>
      <c r="G1955" s="108">
        <v>1.4</v>
      </c>
    </row>
    <row r="1957" spans="1:7" x14ac:dyDescent="0.2">
      <c r="A1957" s="114"/>
      <c r="B1957" s="114" t="s">
        <v>271</v>
      </c>
      <c r="C1957" s="116"/>
      <c r="D1957" s="114"/>
      <c r="E1957" s="116"/>
      <c r="F1957" s="114"/>
      <c r="G1957" s="114">
        <v>1.36</v>
      </c>
    </row>
    <row r="1958" spans="1:7" x14ac:dyDescent="0.2">
      <c r="B1958" s="108" t="s">
        <v>272</v>
      </c>
      <c r="C1958" s="111" t="s">
        <v>273</v>
      </c>
      <c r="D1958" s="108">
        <v>80</v>
      </c>
      <c r="G1958" s="108">
        <v>1.1200000000000001</v>
      </c>
    </row>
    <row r="1959" spans="1:7" x14ac:dyDescent="0.2">
      <c r="B1959" s="108" t="s">
        <v>274</v>
      </c>
      <c r="C1959" s="111" t="s">
        <v>273</v>
      </c>
      <c r="D1959" s="108">
        <v>25</v>
      </c>
      <c r="G1959" s="108">
        <v>0.24</v>
      </c>
    </row>
    <row r="1961" spans="1:7" x14ac:dyDescent="0.2">
      <c r="A1961" s="114"/>
      <c r="B1961" s="114" t="s">
        <v>254</v>
      </c>
      <c r="C1961" s="116"/>
      <c r="D1961" s="114"/>
      <c r="E1961" s="116"/>
      <c r="F1961" s="114"/>
      <c r="G1961" s="114"/>
    </row>
    <row r="1962" spans="1:7" x14ac:dyDescent="0.2">
      <c r="B1962" s="108" t="s">
        <v>275</v>
      </c>
      <c r="G1962" s="108">
        <v>2.36</v>
      </c>
    </row>
    <row r="1963" spans="1:7" x14ac:dyDescent="0.2">
      <c r="B1963" s="108" t="s">
        <v>276</v>
      </c>
      <c r="G1963" s="108">
        <v>1.36</v>
      </c>
    </row>
    <row r="1964" spans="1:7" x14ac:dyDescent="0.2">
      <c r="B1964" s="108" t="s">
        <v>277</v>
      </c>
      <c r="G1964" s="108">
        <v>3.72</v>
      </c>
    </row>
    <row r="1965" spans="1:7" x14ac:dyDescent="0.2">
      <c r="B1965" s="108" t="s">
        <v>278</v>
      </c>
      <c r="C1965" s="111" t="s">
        <v>273</v>
      </c>
      <c r="D1965" s="108" t="s">
        <v>279</v>
      </c>
      <c r="G1965" s="108">
        <v>0.37</v>
      </c>
    </row>
    <row r="1967" spans="1:7" x14ac:dyDescent="0.2">
      <c r="A1967" s="112"/>
      <c r="B1967" s="112" t="s">
        <v>254</v>
      </c>
      <c r="C1967" s="113"/>
      <c r="D1967" s="112"/>
      <c r="E1967" s="113"/>
      <c r="F1967" s="112"/>
      <c r="G1967" s="112">
        <v>4.09</v>
      </c>
    </row>
    <row r="1969" spans="1:7" x14ac:dyDescent="0.2">
      <c r="A1969" s="112" t="s">
        <v>63</v>
      </c>
      <c r="B1969" s="112"/>
      <c r="C1969" s="113"/>
      <c r="D1969" s="112"/>
      <c r="E1969" s="113"/>
      <c r="F1969" s="112"/>
      <c r="G1969" s="112"/>
    </row>
    <row r="1970" spans="1:7" x14ac:dyDescent="0.2">
      <c r="A1970" s="114" t="s">
        <v>476</v>
      </c>
      <c r="G1970" s="115" t="s">
        <v>312</v>
      </c>
    </row>
    <row r="1972" spans="1:7" x14ac:dyDescent="0.2">
      <c r="A1972" s="114"/>
      <c r="B1972" s="114" t="s">
        <v>294</v>
      </c>
      <c r="C1972" s="116"/>
      <c r="D1972" s="114"/>
      <c r="E1972" s="116"/>
      <c r="F1972" s="114"/>
      <c r="G1972" s="114">
        <v>261</v>
      </c>
    </row>
    <row r="1973" spans="1:7" x14ac:dyDescent="0.2">
      <c r="A1973" s="108" t="s">
        <v>265</v>
      </c>
      <c r="B1973" s="108" t="s">
        <v>477</v>
      </c>
      <c r="C1973" s="111" t="s">
        <v>317</v>
      </c>
      <c r="D1973" s="117">
        <v>1</v>
      </c>
      <c r="E1973" s="118">
        <v>1</v>
      </c>
      <c r="F1973" s="108">
        <v>235</v>
      </c>
      <c r="G1973" s="108">
        <v>235</v>
      </c>
    </row>
    <row r="1974" spans="1:7" x14ac:dyDescent="0.2">
      <c r="A1974" s="108" t="s">
        <v>265</v>
      </c>
      <c r="B1974" s="108" t="s">
        <v>478</v>
      </c>
      <c r="C1974" s="111" t="s">
        <v>317</v>
      </c>
      <c r="D1974" s="117">
        <v>1</v>
      </c>
      <c r="E1974" s="118">
        <v>1</v>
      </c>
      <c r="F1974" s="108">
        <v>26</v>
      </c>
      <c r="G1974" s="108">
        <v>26</v>
      </c>
    </row>
    <row r="1976" spans="1:7" x14ac:dyDescent="0.2">
      <c r="A1976" s="114"/>
      <c r="B1976" s="114" t="s">
        <v>268</v>
      </c>
      <c r="C1976" s="116"/>
      <c r="D1976" s="119">
        <v>0.72</v>
      </c>
      <c r="E1976" s="116"/>
      <c r="F1976" s="114"/>
      <c r="G1976" s="114">
        <v>7.2</v>
      </c>
    </row>
    <row r="1977" spans="1:7" x14ac:dyDescent="0.2">
      <c r="A1977" s="108" t="s">
        <v>265</v>
      </c>
      <c r="B1977" s="108" t="s">
        <v>310</v>
      </c>
      <c r="C1977" s="111" t="s">
        <v>270</v>
      </c>
      <c r="D1977" s="117">
        <v>0.72</v>
      </c>
      <c r="E1977" s="118">
        <v>1</v>
      </c>
      <c r="F1977" s="108">
        <v>10</v>
      </c>
      <c r="G1977" s="108">
        <v>7.2</v>
      </c>
    </row>
    <row r="1979" spans="1:7" x14ac:dyDescent="0.2">
      <c r="A1979" s="114"/>
      <c r="B1979" s="114" t="s">
        <v>271</v>
      </c>
      <c r="C1979" s="116"/>
      <c r="D1979" s="114"/>
      <c r="E1979" s="116"/>
      <c r="F1979" s="114"/>
      <c r="G1979" s="114">
        <v>31.86</v>
      </c>
    </row>
    <row r="1980" spans="1:7" x14ac:dyDescent="0.2">
      <c r="B1980" s="108" t="s">
        <v>272</v>
      </c>
      <c r="C1980" s="111" t="s">
        <v>273</v>
      </c>
      <c r="D1980" s="108">
        <v>80</v>
      </c>
      <c r="G1980" s="108">
        <v>5.76</v>
      </c>
    </row>
    <row r="1981" spans="1:7" x14ac:dyDescent="0.2">
      <c r="B1981" s="108" t="s">
        <v>298</v>
      </c>
      <c r="C1981" s="111" t="s">
        <v>273</v>
      </c>
      <c r="D1981" s="108">
        <v>10</v>
      </c>
      <c r="G1981" s="108">
        <v>26.1</v>
      </c>
    </row>
    <row r="1983" spans="1:7" x14ac:dyDescent="0.2">
      <c r="A1983" s="114"/>
      <c r="B1983" s="114" t="s">
        <v>254</v>
      </c>
      <c r="C1983" s="116"/>
      <c r="D1983" s="114"/>
      <c r="E1983" s="116"/>
      <c r="F1983" s="114"/>
      <c r="G1983" s="114"/>
    </row>
    <row r="1984" spans="1:7" x14ac:dyDescent="0.2">
      <c r="B1984" s="108" t="s">
        <v>275</v>
      </c>
      <c r="G1984" s="108">
        <v>268.2</v>
      </c>
    </row>
    <row r="1985" spans="1:7" x14ac:dyDescent="0.2">
      <c r="B1985" s="108" t="s">
        <v>276</v>
      </c>
      <c r="G1985" s="108">
        <v>31.86</v>
      </c>
    </row>
    <row r="1986" spans="1:7" x14ac:dyDescent="0.2">
      <c r="B1986" s="108" t="s">
        <v>277</v>
      </c>
      <c r="G1986" s="108">
        <v>300.06</v>
      </c>
    </row>
    <row r="1987" spans="1:7" x14ac:dyDescent="0.2">
      <c r="B1987" s="108" t="s">
        <v>278</v>
      </c>
      <c r="C1987" s="111" t="s">
        <v>273</v>
      </c>
      <c r="D1987" s="108" t="s">
        <v>279</v>
      </c>
      <c r="G1987" s="108">
        <v>30.01</v>
      </c>
    </row>
    <row r="1989" spans="1:7" x14ac:dyDescent="0.2">
      <c r="A1989" s="112"/>
      <c r="B1989" s="112" t="s">
        <v>254</v>
      </c>
      <c r="C1989" s="113"/>
      <c r="D1989" s="112"/>
      <c r="E1989" s="113"/>
      <c r="F1989" s="112"/>
      <c r="G1989" s="112">
        <v>330.07</v>
      </c>
    </row>
    <row r="1991" spans="1:7" x14ac:dyDescent="0.2">
      <c r="A1991" s="112" t="s">
        <v>58</v>
      </c>
      <c r="B1991" s="112"/>
      <c r="C1991" s="113"/>
      <c r="D1991" s="112"/>
      <c r="E1991" s="113"/>
      <c r="F1991" s="112"/>
      <c r="G1991" s="112"/>
    </row>
    <row r="1992" spans="1:7" x14ac:dyDescent="0.2">
      <c r="A1992" s="114" t="s">
        <v>479</v>
      </c>
      <c r="G1992" s="115" t="s">
        <v>330</v>
      </c>
    </row>
    <row r="1994" spans="1:7" x14ac:dyDescent="0.2">
      <c r="A1994" s="114"/>
      <c r="B1994" s="114" t="s">
        <v>294</v>
      </c>
      <c r="C1994" s="116"/>
      <c r="D1994" s="114"/>
      <c r="E1994" s="116"/>
      <c r="F1994" s="114"/>
      <c r="G1994" s="114">
        <v>26.2</v>
      </c>
    </row>
    <row r="1995" spans="1:7" x14ac:dyDescent="0.2">
      <c r="A1995" s="108" t="s">
        <v>265</v>
      </c>
      <c r="B1995" s="108" t="s">
        <v>58</v>
      </c>
      <c r="C1995" s="111" t="s">
        <v>317</v>
      </c>
      <c r="D1995" s="117">
        <v>1</v>
      </c>
      <c r="E1995" s="118">
        <v>1</v>
      </c>
      <c r="F1995" s="108">
        <v>26.2</v>
      </c>
      <c r="G1995" s="108">
        <v>26.2</v>
      </c>
    </row>
    <row r="1997" spans="1:7" x14ac:dyDescent="0.2">
      <c r="A1997" s="114"/>
      <c r="B1997" s="114" t="s">
        <v>264</v>
      </c>
      <c r="C1997" s="116"/>
      <c r="D1997" s="114"/>
      <c r="E1997" s="116"/>
      <c r="F1997" s="114"/>
      <c r="G1997" s="114">
        <v>12</v>
      </c>
    </row>
    <row r="1998" spans="1:7" x14ac:dyDescent="0.2">
      <c r="A1998" s="108" t="s">
        <v>265</v>
      </c>
      <c r="B1998" s="108" t="s">
        <v>320</v>
      </c>
      <c r="C1998" s="111" t="s">
        <v>267</v>
      </c>
      <c r="D1998" s="117">
        <v>0.4</v>
      </c>
      <c r="E1998" s="118">
        <v>1</v>
      </c>
      <c r="F1998" s="108">
        <v>30</v>
      </c>
      <c r="G1998" s="108">
        <v>12</v>
      </c>
    </row>
    <row r="2000" spans="1:7" x14ac:dyDescent="0.2">
      <c r="A2000" s="114"/>
      <c r="B2000" s="114" t="s">
        <v>268</v>
      </c>
      <c r="C2000" s="116"/>
      <c r="D2000" s="119">
        <v>0.6</v>
      </c>
      <c r="E2000" s="116"/>
      <c r="F2000" s="114"/>
      <c r="G2000" s="114">
        <v>6</v>
      </c>
    </row>
    <row r="2001" spans="1:7" x14ac:dyDescent="0.2">
      <c r="A2001" s="108" t="s">
        <v>265</v>
      </c>
      <c r="B2001" s="108" t="s">
        <v>310</v>
      </c>
      <c r="C2001" s="111" t="s">
        <v>270</v>
      </c>
      <c r="D2001" s="117">
        <v>0.6</v>
      </c>
      <c r="E2001" s="118">
        <v>1</v>
      </c>
      <c r="F2001" s="108">
        <v>10</v>
      </c>
      <c r="G2001" s="108">
        <v>6</v>
      </c>
    </row>
    <row r="2003" spans="1:7" x14ac:dyDescent="0.2">
      <c r="A2003" s="114"/>
      <c r="B2003" s="114" t="s">
        <v>271</v>
      </c>
      <c r="C2003" s="116"/>
      <c r="D2003" s="114"/>
      <c r="E2003" s="116"/>
      <c r="F2003" s="114"/>
      <c r="G2003" s="114">
        <v>10.42</v>
      </c>
    </row>
    <row r="2004" spans="1:7" x14ac:dyDescent="0.2">
      <c r="B2004" s="108" t="s">
        <v>272</v>
      </c>
      <c r="C2004" s="111" t="s">
        <v>273</v>
      </c>
      <c r="D2004" s="108">
        <v>80</v>
      </c>
      <c r="G2004" s="108">
        <v>4.8</v>
      </c>
    </row>
    <row r="2005" spans="1:7" x14ac:dyDescent="0.2">
      <c r="B2005" s="108" t="s">
        <v>298</v>
      </c>
      <c r="C2005" s="111" t="s">
        <v>273</v>
      </c>
      <c r="D2005" s="108">
        <v>10</v>
      </c>
      <c r="G2005" s="108">
        <v>2.62</v>
      </c>
    </row>
    <row r="2006" spans="1:7" x14ac:dyDescent="0.2">
      <c r="B2006" s="108" t="s">
        <v>274</v>
      </c>
      <c r="C2006" s="111" t="s">
        <v>273</v>
      </c>
      <c r="D2006" s="108">
        <v>25</v>
      </c>
      <c r="G2006" s="108">
        <v>3</v>
      </c>
    </row>
    <row r="2008" spans="1:7" x14ac:dyDescent="0.2">
      <c r="A2008" s="114"/>
      <c r="B2008" s="114" t="s">
        <v>254</v>
      </c>
      <c r="C2008" s="116"/>
      <c r="D2008" s="114"/>
      <c r="E2008" s="116"/>
      <c r="F2008" s="114"/>
      <c r="G2008" s="114"/>
    </row>
    <row r="2009" spans="1:7" x14ac:dyDescent="0.2">
      <c r="B2009" s="108" t="s">
        <v>275</v>
      </c>
      <c r="G2009" s="108">
        <v>44.2</v>
      </c>
    </row>
    <row r="2010" spans="1:7" x14ac:dyDescent="0.2">
      <c r="B2010" s="108" t="s">
        <v>276</v>
      </c>
      <c r="G2010" s="108">
        <v>10.42</v>
      </c>
    </row>
    <row r="2011" spans="1:7" x14ac:dyDescent="0.2">
      <c r="B2011" s="108" t="s">
        <v>277</v>
      </c>
      <c r="G2011" s="108">
        <v>54.62</v>
      </c>
    </row>
    <row r="2012" spans="1:7" x14ac:dyDescent="0.2">
      <c r="B2012" s="108" t="s">
        <v>278</v>
      </c>
      <c r="C2012" s="111" t="s">
        <v>273</v>
      </c>
      <c r="D2012" s="108" t="s">
        <v>279</v>
      </c>
      <c r="G2012" s="108">
        <v>5.46</v>
      </c>
    </row>
    <row r="2014" spans="1:7" x14ac:dyDescent="0.2">
      <c r="A2014" s="112"/>
      <c r="B2014" s="112" t="s">
        <v>254</v>
      </c>
      <c r="C2014" s="113"/>
      <c r="D2014" s="112"/>
      <c r="E2014" s="113"/>
      <c r="F2014" s="112"/>
      <c r="G2014" s="112">
        <v>60.08</v>
      </c>
    </row>
    <row r="2016" spans="1:7" x14ac:dyDescent="0.2">
      <c r="A2016" s="112" t="s">
        <v>60</v>
      </c>
      <c r="B2016" s="112"/>
      <c r="C2016" s="113"/>
      <c r="D2016" s="112"/>
      <c r="E2016" s="113"/>
      <c r="F2016" s="112"/>
      <c r="G2016" s="112"/>
    </row>
    <row r="2017" spans="1:7" x14ac:dyDescent="0.2">
      <c r="A2017" s="114" t="s">
        <v>480</v>
      </c>
      <c r="G2017" s="115" t="s">
        <v>330</v>
      </c>
    </row>
    <row r="2019" spans="1:7" x14ac:dyDescent="0.2">
      <c r="A2019" s="114"/>
      <c r="B2019" s="114" t="s">
        <v>294</v>
      </c>
      <c r="C2019" s="116"/>
      <c r="D2019" s="114"/>
      <c r="E2019" s="116"/>
      <c r="F2019" s="114"/>
      <c r="G2019" s="114">
        <v>15.3</v>
      </c>
    </row>
    <row r="2020" spans="1:7" x14ac:dyDescent="0.2">
      <c r="A2020" s="108" t="s">
        <v>265</v>
      </c>
      <c r="B2020" s="108" t="s">
        <v>60</v>
      </c>
      <c r="C2020" s="111" t="s">
        <v>317</v>
      </c>
      <c r="D2020" s="117">
        <v>1</v>
      </c>
      <c r="E2020" s="118">
        <v>1</v>
      </c>
      <c r="F2020" s="108">
        <v>15.3</v>
      </c>
      <c r="G2020" s="108">
        <v>15.3</v>
      </c>
    </row>
    <row r="2022" spans="1:7" x14ac:dyDescent="0.2">
      <c r="A2022" s="114"/>
      <c r="B2022" s="114" t="s">
        <v>264</v>
      </c>
      <c r="C2022" s="116"/>
      <c r="D2022" s="114"/>
      <c r="E2022" s="116"/>
      <c r="F2022" s="114"/>
      <c r="G2022" s="114">
        <v>9</v>
      </c>
    </row>
    <row r="2023" spans="1:7" x14ac:dyDescent="0.2">
      <c r="A2023" s="108" t="s">
        <v>265</v>
      </c>
      <c r="B2023" s="108" t="s">
        <v>320</v>
      </c>
      <c r="C2023" s="111" t="s">
        <v>267</v>
      </c>
      <c r="D2023" s="117">
        <v>0.3</v>
      </c>
      <c r="E2023" s="118">
        <v>1</v>
      </c>
      <c r="F2023" s="108">
        <v>30</v>
      </c>
      <c r="G2023" s="108">
        <v>9</v>
      </c>
    </row>
    <row r="2025" spans="1:7" x14ac:dyDescent="0.2">
      <c r="A2025" s="114"/>
      <c r="B2025" s="114" t="s">
        <v>268</v>
      </c>
      <c r="C2025" s="116"/>
      <c r="D2025" s="119">
        <v>0.5</v>
      </c>
      <c r="E2025" s="116"/>
      <c r="F2025" s="114"/>
      <c r="G2025" s="114">
        <v>5</v>
      </c>
    </row>
    <row r="2026" spans="1:7" x14ac:dyDescent="0.2">
      <c r="A2026" s="108" t="s">
        <v>265</v>
      </c>
      <c r="B2026" s="108" t="s">
        <v>310</v>
      </c>
      <c r="C2026" s="111" t="s">
        <v>270</v>
      </c>
      <c r="D2026" s="117">
        <v>0.5</v>
      </c>
      <c r="E2026" s="118">
        <v>1</v>
      </c>
      <c r="F2026" s="108">
        <v>10</v>
      </c>
      <c r="G2026" s="108">
        <v>5</v>
      </c>
    </row>
    <row r="2028" spans="1:7" x14ac:dyDescent="0.2">
      <c r="A2028" s="114"/>
      <c r="B2028" s="114" t="s">
        <v>271</v>
      </c>
      <c r="C2028" s="116"/>
      <c r="D2028" s="114"/>
      <c r="E2028" s="116"/>
      <c r="F2028" s="114"/>
      <c r="G2028" s="114">
        <v>7.78</v>
      </c>
    </row>
    <row r="2029" spans="1:7" x14ac:dyDescent="0.2">
      <c r="B2029" s="108" t="s">
        <v>272</v>
      </c>
      <c r="C2029" s="111" t="s">
        <v>273</v>
      </c>
      <c r="D2029" s="108">
        <v>80</v>
      </c>
      <c r="G2029" s="108">
        <v>4</v>
      </c>
    </row>
    <row r="2030" spans="1:7" x14ac:dyDescent="0.2">
      <c r="B2030" s="108" t="s">
        <v>298</v>
      </c>
      <c r="C2030" s="111" t="s">
        <v>273</v>
      </c>
      <c r="D2030" s="108">
        <v>10</v>
      </c>
      <c r="G2030" s="108">
        <v>1.53</v>
      </c>
    </row>
    <row r="2031" spans="1:7" x14ac:dyDescent="0.2">
      <c r="B2031" s="108" t="s">
        <v>274</v>
      </c>
      <c r="C2031" s="111" t="s">
        <v>273</v>
      </c>
      <c r="D2031" s="108">
        <v>25</v>
      </c>
      <c r="G2031" s="108">
        <v>2.25</v>
      </c>
    </row>
    <row r="2033" spans="1:7" x14ac:dyDescent="0.2">
      <c r="A2033" s="114"/>
      <c r="B2033" s="114" t="s">
        <v>254</v>
      </c>
      <c r="C2033" s="116"/>
      <c r="D2033" s="114"/>
      <c r="E2033" s="116"/>
      <c r="F2033" s="114"/>
      <c r="G2033" s="114"/>
    </row>
    <row r="2034" spans="1:7" x14ac:dyDescent="0.2">
      <c r="B2034" s="108" t="s">
        <v>275</v>
      </c>
      <c r="G2034" s="108">
        <v>29.3</v>
      </c>
    </row>
    <row r="2035" spans="1:7" x14ac:dyDescent="0.2">
      <c r="B2035" s="108" t="s">
        <v>276</v>
      </c>
      <c r="G2035" s="108">
        <v>7.78</v>
      </c>
    </row>
    <row r="2036" spans="1:7" x14ac:dyDescent="0.2">
      <c r="B2036" s="108" t="s">
        <v>277</v>
      </c>
      <c r="G2036" s="108">
        <v>37.08</v>
      </c>
    </row>
    <row r="2037" spans="1:7" x14ac:dyDescent="0.2">
      <c r="B2037" s="108" t="s">
        <v>278</v>
      </c>
      <c r="C2037" s="111" t="s">
        <v>273</v>
      </c>
      <c r="D2037" s="108" t="s">
        <v>279</v>
      </c>
      <c r="G2037" s="108">
        <v>3.71</v>
      </c>
    </row>
    <row r="2039" spans="1:7" x14ac:dyDescent="0.2">
      <c r="A2039" s="112"/>
      <c r="B2039" s="112" t="s">
        <v>254</v>
      </c>
      <c r="C2039" s="113"/>
      <c r="D2039" s="112"/>
      <c r="E2039" s="113"/>
      <c r="F2039" s="112"/>
      <c r="G2039" s="112">
        <v>40.79</v>
      </c>
    </row>
    <row r="2041" spans="1:7" x14ac:dyDescent="0.2">
      <c r="A2041" s="112" t="s">
        <v>61</v>
      </c>
      <c r="B2041" s="112"/>
      <c r="C2041" s="113"/>
      <c r="D2041" s="112"/>
      <c r="E2041" s="113"/>
      <c r="F2041" s="112"/>
      <c r="G2041" s="112"/>
    </row>
    <row r="2042" spans="1:7" x14ac:dyDescent="0.2">
      <c r="A2042" s="114" t="s">
        <v>481</v>
      </c>
      <c r="G2042" s="115" t="s">
        <v>330</v>
      </c>
    </row>
    <row r="2044" spans="1:7" x14ac:dyDescent="0.2">
      <c r="A2044" s="114"/>
      <c r="B2044" s="114" t="s">
        <v>294</v>
      </c>
      <c r="C2044" s="116"/>
      <c r="D2044" s="114"/>
      <c r="E2044" s="116"/>
      <c r="F2044" s="114"/>
      <c r="G2044" s="114">
        <v>23.9</v>
      </c>
    </row>
    <row r="2045" spans="1:7" x14ac:dyDescent="0.2">
      <c r="A2045" s="108" t="s">
        <v>265</v>
      </c>
      <c r="B2045" s="108" t="s">
        <v>61</v>
      </c>
      <c r="C2045" s="111" t="s">
        <v>317</v>
      </c>
      <c r="D2045" s="117">
        <v>1</v>
      </c>
      <c r="E2045" s="118">
        <v>1</v>
      </c>
      <c r="F2045" s="108">
        <v>6.8</v>
      </c>
      <c r="G2045" s="108">
        <v>6.8</v>
      </c>
    </row>
    <row r="2046" spans="1:7" x14ac:dyDescent="0.2">
      <c r="A2046" s="108" t="s">
        <v>265</v>
      </c>
      <c r="B2046" s="108" t="s">
        <v>323</v>
      </c>
      <c r="C2046" s="111" t="s">
        <v>317</v>
      </c>
      <c r="D2046" s="117">
        <v>1</v>
      </c>
      <c r="E2046" s="118">
        <v>1</v>
      </c>
      <c r="F2046" s="108">
        <v>1.1000000000000001</v>
      </c>
      <c r="G2046" s="108">
        <v>1.1000000000000001</v>
      </c>
    </row>
    <row r="2047" spans="1:7" x14ac:dyDescent="0.2">
      <c r="A2047" s="108" t="s">
        <v>265</v>
      </c>
      <c r="B2047" s="108" t="s">
        <v>324</v>
      </c>
      <c r="C2047" s="111" t="s">
        <v>317</v>
      </c>
      <c r="D2047" s="117">
        <v>8</v>
      </c>
      <c r="E2047" s="118">
        <v>1</v>
      </c>
      <c r="F2047" s="108">
        <v>2</v>
      </c>
      <c r="G2047" s="108">
        <v>16</v>
      </c>
    </row>
    <row r="2049" spans="1:7" x14ac:dyDescent="0.2">
      <c r="A2049" s="114"/>
      <c r="B2049" s="114" t="s">
        <v>268</v>
      </c>
      <c r="C2049" s="116"/>
      <c r="D2049" s="119">
        <v>0.25</v>
      </c>
      <c r="E2049" s="116"/>
      <c r="F2049" s="114"/>
      <c r="G2049" s="114">
        <v>2.5</v>
      </c>
    </row>
    <row r="2050" spans="1:7" x14ac:dyDescent="0.2">
      <c r="A2050" s="108" t="s">
        <v>265</v>
      </c>
      <c r="B2050" s="108" t="s">
        <v>310</v>
      </c>
      <c r="C2050" s="111" t="s">
        <v>270</v>
      </c>
      <c r="D2050" s="117">
        <v>0.25</v>
      </c>
      <c r="E2050" s="118">
        <v>1</v>
      </c>
      <c r="F2050" s="108">
        <v>10</v>
      </c>
      <c r="G2050" s="108">
        <v>2.5</v>
      </c>
    </row>
    <row r="2052" spans="1:7" x14ac:dyDescent="0.2">
      <c r="A2052" s="114"/>
      <c r="B2052" s="114" t="s">
        <v>271</v>
      </c>
      <c r="C2052" s="116"/>
      <c r="D2052" s="114"/>
      <c r="E2052" s="116"/>
      <c r="F2052" s="114"/>
      <c r="G2052" s="114">
        <v>4.3899999999999997</v>
      </c>
    </row>
    <row r="2053" spans="1:7" x14ac:dyDescent="0.2">
      <c r="B2053" s="108" t="s">
        <v>272</v>
      </c>
      <c r="C2053" s="111" t="s">
        <v>273</v>
      </c>
      <c r="D2053" s="108">
        <v>80</v>
      </c>
      <c r="G2053" s="108">
        <v>2</v>
      </c>
    </row>
    <row r="2054" spans="1:7" x14ac:dyDescent="0.2">
      <c r="B2054" s="108" t="s">
        <v>298</v>
      </c>
      <c r="C2054" s="111" t="s">
        <v>273</v>
      </c>
      <c r="D2054" s="108">
        <v>10</v>
      </c>
      <c r="G2054" s="108">
        <v>2.39</v>
      </c>
    </row>
    <row r="2056" spans="1:7" x14ac:dyDescent="0.2">
      <c r="A2056" s="114"/>
      <c r="B2056" s="114" t="s">
        <v>254</v>
      </c>
      <c r="C2056" s="116"/>
      <c r="D2056" s="114"/>
      <c r="E2056" s="116"/>
      <c r="F2056" s="114"/>
      <c r="G2056" s="114"/>
    </row>
    <row r="2057" spans="1:7" x14ac:dyDescent="0.2">
      <c r="B2057" s="108" t="s">
        <v>275</v>
      </c>
      <c r="G2057" s="108">
        <v>26.4</v>
      </c>
    </row>
    <row r="2058" spans="1:7" x14ac:dyDescent="0.2">
      <c r="B2058" s="108" t="s">
        <v>276</v>
      </c>
      <c r="G2058" s="108">
        <v>4.3899999999999997</v>
      </c>
    </row>
    <row r="2059" spans="1:7" x14ac:dyDescent="0.2">
      <c r="B2059" s="108" t="s">
        <v>277</v>
      </c>
      <c r="G2059" s="108">
        <v>30.79</v>
      </c>
    </row>
    <row r="2060" spans="1:7" x14ac:dyDescent="0.2">
      <c r="B2060" s="108" t="s">
        <v>278</v>
      </c>
      <c r="C2060" s="111" t="s">
        <v>273</v>
      </c>
      <c r="D2060" s="108" t="s">
        <v>279</v>
      </c>
      <c r="G2060" s="108">
        <v>3.08</v>
      </c>
    </row>
    <row r="2062" spans="1:7" x14ac:dyDescent="0.2">
      <c r="A2062" s="112"/>
      <c r="B2062" s="112" t="s">
        <v>254</v>
      </c>
      <c r="C2062" s="113"/>
      <c r="D2062" s="112"/>
      <c r="E2062" s="113"/>
      <c r="F2062" s="112"/>
      <c r="G2062" s="112">
        <v>33.869999999999997</v>
      </c>
    </row>
    <row r="2064" spans="1:7" x14ac:dyDescent="0.2">
      <c r="A2064" s="112" t="s">
        <v>62</v>
      </c>
      <c r="B2064" s="112"/>
      <c r="C2064" s="113"/>
      <c r="D2064" s="112"/>
      <c r="E2064" s="113"/>
      <c r="F2064" s="112"/>
      <c r="G2064" s="112"/>
    </row>
    <row r="2065" spans="1:7" x14ac:dyDescent="0.2">
      <c r="A2065" s="114" t="s">
        <v>482</v>
      </c>
      <c r="G2065" s="115" t="s">
        <v>330</v>
      </c>
    </row>
    <row r="2067" spans="1:7" x14ac:dyDescent="0.2">
      <c r="A2067" s="114"/>
      <c r="B2067" s="114" t="s">
        <v>294</v>
      </c>
      <c r="C2067" s="116"/>
      <c r="D2067" s="114"/>
      <c r="E2067" s="116"/>
      <c r="F2067" s="114"/>
      <c r="G2067" s="114">
        <v>13.9</v>
      </c>
    </row>
    <row r="2068" spans="1:7" x14ac:dyDescent="0.2">
      <c r="A2068" s="108" t="s">
        <v>265</v>
      </c>
      <c r="B2068" s="108" t="s">
        <v>62</v>
      </c>
      <c r="C2068" s="111" t="s">
        <v>317</v>
      </c>
      <c r="D2068" s="117">
        <v>1</v>
      </c>
      <c r="E2068" s="118">
        <v>1</v>
      </c>
      <c r="F2068" s="108">
        <v>13.9</v>
      </c>
      <c r="G2068" s="108">
        <v>13.9</v>
      </c>
    </row>
    <row r="2070" spans="1:7" x14ac:dyDescent="0.2">
      <c r="A2070" s="114"/>
      <c r="B2070" s="114" t="s">
        <v>264</v>
      </c>
      <c r="C2070" s="116"/>
      <c r="D2070" s="114"/>
      <c r="E2070" s="116"/>
      <c r="F2070" s="114"/>
      <c r="G2070" s="114">
        <v>6</v>
      </c>
    </row>
    <row r="2071" spans="1:7" x14ac:dyDescent="0.2">
      <c r="A2071" s="108" t="s">
        <v>265</v>
      </c>
      <c r="B2071" s="108" t="s">
        <v>320</v>
      </c>
      <c r="C2071" s="111" t="s">
        <v>267</v>
      </c>
      <c r="D2071" s="117">
        <v>0.2</v>
      </c>
      <c r="E2071" s="118">
        <v>1</v>
      </c>
      <c r="F2071" s="108">
        <v>30</v>
      </c>
      <c r="G2071" s="108">
        <v>6</v>
      </c>
    </row>
    <row r="2073" spans="1:7" x14ac:dyDescent="0.2">
      <c r="A2073" s="114"/>
      <c r="B2073" s="114" t="s">
        <v>268</v>
      </c>
      <c r="C2073" s="116"/>
      <c r="D2073" s="119">
        <v>0.5</v>
      </c>
      <c r="E2073" s="116"/>
      <c r="F2073" s="114"/>
      <c r="G2073" s="114">
        <v>5</v>
      </c>
    </row>
    <row r="2074" spans="1:7" x14ac:dyDescent="0.2">
      <c r="A2074" s="108" t="s">
        <v>265</v>
      </c>
      <c r="B2074" s="108" t="s">
        <v>310</v>
      </c>
      <c r="C2074" s="111" t="s">
        <v>270</v>
      </c>
      <c r="D2074" s="117">
        <v>0.5</v>
      </c>
      <c r="E2074" s="118">
        <v>1</v>
      </c>
      <c r="F2074" s="108">
        <v>10</v>
      </c>
      <c r="G2074" s="108">
        <v>5</v>
      </c>
    </row>
    <row r="2076" spans="1:7" x14ac:dyDescent="0.2">
      <c r="A2076" s="114"/>
      <c r="B2076" s="114" t="s">
        <v>271</v>
      </c>
      <c r="C2076" s="116"/>
      <c r="D2076" s="114"/>
      <c r="E2076" s="116"/>
      <c r="F2076" s="114"/>
      <c r="G2076" s="114">
        <v>6.89</v>
      </c>
    </row>
    <row r="2077" spans="1:7" x14ac:dyDescent="0.2">
      <c r="B2077" s="108" t="s">
        <v>272</v>
      </c>
      <c r="C2077" s="111" t="s">
        <v>273</v>
      </c>
      <c r="D2077" s="108">
        <v>80</v>
      </c>
      <c r="G2077" s="108">
        <v>4</v>
      </c>
    </row>
    <row r="2078" spans="1:7" x14ac:dyDescent="0.2">
      <c r="B2078" s="108" t="s">
        <v>298</v>
      </c>
      <c r="C2078" s="111" t="s">
        <v>273</v>
      </c>
      <c r="D2078" s="108">
        <v>10</v>
      </c>
      <c r="G2078" s="108">
        <v>1.39</v>
      </c>
    </row>
    <row r="2079" spans="1:7" x14ac:dyDescent="0.2">
      <c r="B2079" s="108" t="s">
        <v>274</v>
      </c>
      <c r="C2079" s="111" t="s">
        <v>273</v>
      </c>
      <c r="D2079" s="108">
        <v>25</v>
      </c>
      <c r="G2079" s="108">
        <v>1.5</v>
      </c>
    </row>
    <row r="2081" spans="1:7" x14ac:dyDescent="0.2">
      <c r="A2081" s="114"/>
      <c r="B2081" s="114" t="s">
        <v>254</v>
      </c>
      <c r="C2081" s="116"/>
      <c r="D2081" s="114"/>
      <c r="E2081" s="116"/>
      <c r="F2081" s="114"/>
      <c r="G2081" s="114"/>
    </row>
    <row r="2082" spans="1:7" x14ac:dyDescent="0.2">
      <c r="B2082" s="108" t="s">
        <v>275</v>
      </c>
      <c r="G2082" s="108">
        <v>24.9</v>
      </c>
    </row>
    <row r="2083" spans="1:7" x14ac:dyDescent="0.2">
      <c r="B2083" s="108" t="s">
        <v>276</v>
      </c>
      <c r="G2083" s="108">
        <v>6.89</v>
      </c>
    </row>
    <row r="2084" spans="1:7" x14ac:dyDescent="0.2">
      <c r="B2084" s="108" t="s">
        <v>277</v>
      </c>
      <c r="G2084" s="108">
        <v>31.79</v>
      </c>
    </row>
    <row r="2085" spans="1:7" x14ac:dyDescent="0.2">
      <c r="B2085" s="108" t="s">
        <v>278</v>
      </c>
      <c r="C2085" s="111" t="s">
        <v>273</v>
      </c>
      <c r="D2085" s="108" t="s">
        <v>279</v>
      </c>
      <c r="G2085" s="108">
        <v>3.18</v>
      </c>
    </row>
    <row r="2087" spans="1:7" x14ac:dyDescent="0.2">
      <c r="A2087" s="112"/>
      <c r="B2087" s="112" t="s">
        <v>254</v>
      </c>
      <c r="C2087" s="113"/>
      <c r="D2087" s="112"/>
      <c r="E2087" s="113"/>
      <c r="F2087" s="112"/>
      <c r="G2087" s="112">
        <v>34.97</v>
      </c>
    </row>
    <row r="2089" spans="1:7" x14ac:dyDescent="0.2">
      <c r="A2089" s="112" t="s">
        <v>64</v>
      </c>
      <c r="B2089" s="112"/>
      <c r="C2089" s="113"/>
      <c r="D2089" s="112"/>
      <c r="E2089" s="113"/>
      <c r="F2089" s="112"/>
      <c r="G2089" s="112"/>
    </row>
    <row r="2090" spans="1:7" x14ac:dyDescent="0.2">
      <c r="A2090" s="114" t="s">
        <v>483</v>
      </c>
      <c r="G2090" s="115" t="s">
        <v>330</v>
      </c>
    </row>
    <row r="2092" spans="1:7" x14ac:dyDescent="0.2">
      <c r="A2092" s="114"/>
      <c r="B2092" s="114" t="s">
        <v>294</v>
      </c>
      <c r="C2092" s="116"/>
      <c r="D2092" s="114"/>
      <c r="E2092" s="116"/>
      <c r="F2092" s="114"/>
      <c r="G2092" s="114">
        <v>114</v>
      </c>
    </row>
    <row r="2093" spans="1:7" x14ac:dyDescent="0.2">
      <c r="A2093" s="108" t="s">
        <v>265</v>
      </c>
      <c r="B2093" s="108" t="s">
        <v>484</v>
      </c>
      <c r="C2093" s="111" t="s">
        <v>317</v>
      </c>
      <c r="D2093" s="117">
        <v>1</v>
      </c>
      <c r="E2093" s="118">
        <v>1</v>
      </c>
      <c r="F2093" s="108">
        <v>114</v>
      </c>
      <c r="G2093" s="108">
        <v>114</v>
      </c>
    </row>
    <row r="2095" spans="1:7" x14ac:dyDescent="0.2">
      <c r="A2095" s="114"/>
      <c r="B2095" s="114" t="s">
        <v>268</v>
      </c>
      <c r="C2095" s="116"/>
      <c r="D2095" s="119">
        <v>0.62</v>
      </c>
      <c r="E2095" s="116"/>
      <c r="F2095" s="114"/>
      <c r="G2095" s="114">
        <v>6.2</v>
      </c>
    </row>
    <row r="2096" spans="1:7" x14ac:dyDescent="0.2">
      <c r="A2096" s="108" t="s">
        <v>265</v>
      </c>
      <c r="B2096" s="108" t="s">
        <v>310</v>
      </c>
      <c r="C2096" s="111" t="s">
        <v>270</v>
      </c>
      <c r="D2096" s="117">
        <v>0.62</v>
      </c>
      <c r="E2096" s="118">
        <v>1</v>
      </c>
      <c r="F2096" s="108">
        <v>10</v>
      </c>
      <c r="G2096" s="108">
        <v>6.2</v>
      </c>
    </row>
    <row r="2098" spans="1:7" x14ac:dyDescent="0.2">
      <c r="A2098" s="114"/>
      <c r="B2098" s="114" t="s">
        <v>271</v>
      </c>
      <c r="C2098" s="116"/>
      <c r="D2098" s="114"/>
      <c r="E2098" s="116"/>
      <c r="F2098" s="114"/>
      <c r="G2098" s="114">
        <v>16.36</v>
      </c>
    </row>
    <row r="2099" spans="1:7" x14ac:dyDescent="0.2">
      <c r="B2099" s="108" t="s">
        <v>272</v>
      </c>
      <c r="C2099" s="111" t="s">
        <v>273</v>
      </c>
      <c r="D2099" s="108">
        <v>80</v>
      </c>
      <c r="G2099" s="108">
        <v>4.96</v>
      </c>
    </row>
    <row r="2100" spans="1:7" x14ac:dyDescent="0.2">
      <c r="B2100" s="108" t="s">
        <v>298</v>
      </c>
      <c r="C2100" s="111" t="s">
        <v>273</v>
      </c>
      <c r="D2100" s="108">
        <v>10</v>
      </c>
      <c r="G2100" s="108">
        <v>11.4</v>
      </c>
    </row>
    <row r="2102" spans="1:7" x14ac:dyDescent="0.2">
      <c r="A2102" s="114"/>
      <c r="B2102" s="114" t="s">
        <v>254</v>
      </c>
      <c r="C2102" s="116"/>
      <c r="D2102" s="114"/>
      <c r="E2102" s="116"/>
      <c r="F2102" s="114"/>
      <c r="G2102" s="114"/>
    </row>
    <row r="2103" spans="1:7" x14ac:dyDescent="0.2">
      <c r="B2103" s="108" t="s">
        <v>275</v>
      </c>
      <c r="G2103" s="108">
        <v>120.2</v>
      </c>
    </row>
    <row r="2104" spans="1:7" x14ac:dyDescent="0.2">
      <c r="B2104" s="108" t="s">
        <v>276</v>
      </c>
      <c r="G2104" s="108">
        <v>16.36</v>
      </c>
    </row>
    <row r="2105" spans="1:7" x14ac:dyDescent="0.2">
      <c r="B2105" s="108" t="s">
        <v>277</v>
      </c>
      <c r="G2105" s="108">
        <v>136.56</v>
      </c>
    </row>
    <row r="2106" spans="1:7" x14ac:dyDescent="0.2">
      <c r="B2106" s="108" t="s">
        <v>278</v>
      </c>
      <c r="C2106" s="111" t="s">
        <v>273</v>
      </c>
      <c r="D2106" s="108" t="s">
        <v>279</v>
      </c>
      <c r="G2106" s="108">
        <v>13.66</v>
      </c>
    </row>
    <row r="2108" spans="1:7" x14ac:dyDescent="0.2">
      <c r="A2108" s="112"/>
      <c r="B2108" s="112" t="s">
        <v>254</v>
      </c>
      <c r="C2108" s="113"/>
      <c r="D2108" s="112"/>
      <c r="E2108" s="113"/>
      <c r="F2108" s="112"/>
      <c r="G2108" s="112">
        <v>150.22</v>
      </c>
    </row>
    <row r="2110" spans="1:7" x14ac:dyDescent="0.2">
      <c r="A2110" s="112" t="s">
        <v>14</v>
      </c>
      <c r="B2110" s="112"/>
      <c r="C2110" s="113"/>
      <c r="D2110" s="112"/>
      <c r="E2110" s="113"/>
      <c r="F2110" s="112"/>
      <c r="G2110" s="112"/>
    </row>
    <row r="2111" spans="1:7" x14ac:dyDescent="0.2">
      <c r="A2111" s="114" t="s">
        <v>485</v>
      </c>
      <c r="G2111" s="115" t="s">
        <v>312</v>
      </c>
    </row>
    <row r="2113" spans="1:7" x14ac:dyDescent="0.2">
      <c r="A2113" s="114"/>
      <c r="B2113" s="114" t="s">
        <v>294</v>
      </c>
      <c r="C2113" s="116"/>
      <c r="D2113" s="114"/>
      <c r="E2113" s="116"/>
      <c r="F2113" s="114"/>
      <c r="G2113" s="114">
        <v>10</v>
      </c>
    </row>
    <row r="2114" spans="1:7" x14ac:dyDescent="0.2">
      <c r="A2114" s="108" t="s">
        <v>265</v>
      </c>
      <c r="B2114" s="108" t="s">
        <v>486</v>
      </c>
      <c r="C2114" s="111" t="s">
        <v>317</v>
      </c>
      <c r="D2114" s="117">
        <v>1</v>
      </c>
      <c r="E2114" s="118">
        <v>1</v>
      </c>
      <c r="F2114" s="108">
        <v>10</v>
      </c>
      <c r="G2114" s="108">
        <v>10</v>
      </c>
    </row>
    <row r="2116" spans="1:7" x14ac:dyDescent="0.2">
      <c r="A2116" s="114"/>
      <c r="B2116" s="114" t="s">
        <v>268</v>
      </c>
      <c r="C2116" s="116"/>
      <c r="D2116" s="119">
        <v>0.01</v>
      </c>
      <c r="E2116" s="116"/>
      <c r="F2116" s="114"/>
      <c r="G2116" s="114">
        <v>0.1</v>
      </c>
    </row>
    <row r="2117" spans="1:7" x14ac:dyDescent="0.2">
      <c r="A2117" s="108" t="s">
        <v>265</v>
      </c>
      <c r="B2117" s="108" t="s">
        <v>269</v>
      </c>
      <c r="C2117" s="111" t="s">
        <v>270</v>
      </c>
      <c r="D2117" s="117">
        <v>0.01</v>
      </c>
      <c r="E2117" s="118">
        <v>1</v>
      </c>
      <c r="F2117" s="108">
        <v>10</v>
      </c>
      <c r="G2117" s="108">
        <v>0.1</v>
      </c>
    </row>
    <row r="2119" spans="1:7" x14ac:dyDescent="0.2">
      <c r="A2119" s="114"/>
      <c r="B2119" s="114" t="s">
        <v>271</v>
      </c>
      <c r="C2119" s="116"/>
      <c r="D2119" s="114"/>
      <c r="E2119" s="116"/>
      <c r="F2119" s="114"/>
      <c r="G2119" s="114">
        <v>1.08</v>
      </c>
    </row>
    <row r="2120" spans="1:7" x14ac:dyDescent="0.2">
      <c r="B2120" s="108" t="s">
        <v>272</v>
      </c>
      <c r="C2120" s="111" t="s">
        <v>273</v>
      </c>
      <c r="D2120" s="108">
        <v>80</v>
      </c>
      <c r="G2120" s="108">
        <v>0.08</v>
      </c>
    </row>
    <row r="2121" spans="1:7" x14ac:dyDescent="0.2">
      <c r="B2121" s="108" t="s">
        <v>298</v>
      </c>
      <c r="C2121" s="111" t="s">
        <v>273</v>
      </c>
      <c r="D2121" s="108">
        <v>10</v>
      </c>
      <c r="G2121" s="108">
        <v>1</v>
      </c>
    </row>
    <row r="2123" spans="1:7" x14ac:dyDescent="0.2">
      <c r="A2123" s="114"/>
      <c r="B2123" s="114" t="s">
        <v>254</v>
      </c>
      <c r="C2123" s="116"/>
      <c r="D2123" s="114"/>
      <c r="E2123" s="116"/>
      <c r="F2123" s="114"/>
      <c r="G2123" s="114"/>
    </row>
    <row r="2124" spans="1:7" x14ac:dyDescent="0.2">
      <c r="B2124" s="108" t="s">
        <v>275</v>
      </c>
      <c r="G2124" s="108">
        <v>10.1</v>
      </c>
    </row>
    <row r="2125" spans="1:7" x14ac:dyDescent="0.2">
      <c r="B2125" s="108" t="s">
        <v>276</v>
      </c>
      <c r="G2125" s="108">
        <v>1.08</v>
      </c>
    </row>
    <row r="2126" spans="1:7" x14ac:dyDescent="0.2">
      <c r="B2126" s="108" t="s">
        <v>277</v>
      </c>
      <c r="G2126" s="108">
        <v>11.18</v>
      </c>
    </row>
    <row r="2127" spans="1:7" x14ac:dyDescent="0.2">
      <c r="B2127" s="108" t="s">
        <v>278</v>
      </c>
      <c r="C2127" s="111" t="s">
        <v>273</v>
      </c>
      <c r="D2127" s="108" t="s">
        <v>279</v>
      </c>
      <c r="G2127" s="108">
        <v>1.1200000000000001</v>
      </c>
    </row>
    <row r="2129" spans="1:7" x14ac:dyDescent="0.2">
      <c r="A2129" s="112"/>
      <c r="B2129" s="112" t="s">
        <v>254</v>
      </c>
      <c r="C2129" s="113"/>
      <c r="D2129" s="112"/>
      <c r="E2129" s="113"/>
      <c r="F2129" s="112"/>
      <c r="G2129" s="112">
        <v>12.3</v>
      </c>
    </row>
    <row r="2134" spans="1:7" x14ac:dyDescent="0.2">
      <c r="A2134" s="108" t="s">
        <v>487</v>
      </c>
    </row>
    <row r="2135" spans="1:7" x14ac:dyDescent="0.2">
      <c r="B2135" s="108" t="s">
        <v>488</v>
      </c>
    </row>
    <row r="2137" spans="1:7" x14ac:dyDescent="0.2">
      <c r="A2137" s="108" t="s">
        <v>489</v>
      </c>
    </row>
    <row r="2138" spans="1:7" x14ac:dyDescent="0.2">
      <c r="B2138" s="108" t="s">
        <v>490</v>
      </c>
    </row>
  </sheetData>
  <mergeCells count="1">
    <mergeCell ref="A2:C2"/>
  </mergeCells>
  <pageMargins left="0.7" right="0.7" top="0.75" bottom="0.75" header="0.3" footer="0.3"/>
  <pageSetup orientation="portrait" horizontalDpi="4294967293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Ф200</vt:lpstr>
      <vt:lpstr>Ф160</vt:lpstr>
      <vt:lpstr>Ф 125</vt:lpstr>
      <vt:lpstr>Ф 90</vt:lpstr>
      <vt:lpstr>Рекапитулация</vt:lpstr>
      <vt:lpstr>Ед. Цени</vt:lpstr>
      <vt:lpstr>Анализи</vt:lpstr>
      <vt:lpstr>'Ед. Цени'!Print_Area</vt:lpstr>
      <vt:lpstr>Рекапитулация!Print_Area</vt:lpstr>
      <vt:lpstr>'Ф 125'!Print_Area</vt:lpstr>
      <vt:lpstr>'Ф 90'!Print_Area</vt:lpstr>
      <vt:lpstr>Ф160!Print_Area</vt:lpstr>
      <vt:lpstr>Ф200!Print_Area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2026-01-30T12:34:49Z</dcterms:modified>
</cp:coreProperties>
</file>