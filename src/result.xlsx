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xWindow="-108" yWindow="-108" windowWidth="23256" windowHeight="12456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<sst xmlns="http://schemas.openxmlformats.org/spreadsheetml/2006/main" count="1462" uniqueCount="317">
  <si>
    <t>КОЛИЧЕСТВЕНО СТОЙНОСТНА СМЕТКА</t>
    <phoneticPr fontId="1"/>
  </si>
  <si>
    <t>Обект:</t>
    <phoneticPr fontId="1"/>
  </si>
  <si>
    <t>№</t>
    <phoneticPr fontId="1"/>
  </si>
  <si>
    <t>Шифър</t>
    <phoneticPr fontId="1"/>
  </si>
  <si>
    <t>Наименование</t>
    <phoneticPr fontId="1"/>
  </si>
  <si>
    <t>М-ка</t>
    <phoneticPr fontId="1"/>
  </si>
  <si>
    <t>Количество</t>
    <phoneticPr fontId="1"/>
  </si>
  <si>
    <t>Ед. Цена</t>
    <phoneticPr fontId="1"/>
  </si>
  <si>
    <t>Стойност</t>
    <phoneticPr fontId="1"/>
  </si>
  <si>
    <t>I. ИЗКОПНИ РАБОТИ</t>
    <phoneticPr fontId="1"/>
  </si>
  <si>
    <t>ИЗСИЧАНЕ ХРАСТИ И МЛАДА ГОРА ПРИ ДЕБ. НА ДЪРВЕТАТА ДО 10СМ</t>
    <phoneticPr fontId="1"/>
  </si>
  <si>
    <r>
      <t>100 м</t>
    </r>
    <r>
      <rPr>
        <vertAlign val="superscript"/>
        <sz val="8"/>
        <rFont val="Calibri"/>
        <family val="2"/>
        <charset val="204"/>
        <scheme val="minor"/>
      </rPr>
      <t>2</t>
    </r>
    <phoneticPr fontId="1"/>
  </si>
  <si>
    <t>НАТОВАРВАНЕ И РАЗТОВАРВАНЕ НА ДЪРВЕТА И ХРАСТИ НА ТРАНСПОРТ</t>
    <phoneticPr fontId="1"/>
  </si>
  <si>
    <r>
      <t>м</t>
    </r>
    <r>
      <rPr>
        <vertAlign val="superscript"/>
        <sz val="8"/>
        <rFont val="Calibri"/>
        <family val="2"/>
        <charset val="204"/>
        <scheme val="minor"/>
      </rPr>
      <t>3</t>
    </r>
    <phoneticPr fontId="1"/>
  </si>
  <si>
    <t>ИЗВОЗВАНЕ НА ХРАСТИ И ДЪРВЕТА СРЕДНО НА 15 КМ</t>
    <phoneticPr fontId="1"/>
  </si>
  <si>
    <t>ДОСТАВКА И ПОСТАВЯНЕ НА ЛЕНТА ЗА ОГРАЖДАНЕ НА ИЗКОП</t>
    <phoneticPr fontId="1"/>
  </si>
  <si>
    <t>м</t>
    <phoneticPr fontId="1"/>
  </si>
  <si>
    <t>ИЗКОП С БАГЕР НА ЗЕМНИ ПОЧВИ - НА ОТВАЛ, ПРИ НОРМАЛНИ УСЛОВИЯ - ХУМУС</t>
    <phoneticPr fontId="1"/>
  </si>
  <si>
    <t>ТЪНКИ ИЗКОПИ С ДЪЛБОЧИНА ДО 0.50 М, ВКЛЮЧВАЩИ ИЗКОПАВАНЕ, НАТОВАРВАНЕ, ПРЕВОЗ И РАЗТОВАРВАНЕ С РЪЧНИ КОЛИЧКИ ДО 50 М - ХУМУС</t>
    <phoneticPr fontId="1"/>
  </si>
  <si>
    <t>ИЗКОП С БАГЕР НА ЗЕМНИ ПОЧВИ - НА ОТВАЛ, ПРИ 1 УТЕЖНЕНО УСЛОВИЕ</t>
    <phoneticPr fontId="1"/>
  </si>
  <si>
    <t>ИЗКОП С БАГЕР СРЕДНО СКАЛНИ ПОЧВИ - НА ТРАНСПОРТ, ПРИ ПОВЕЧЕ ОТ 2 УТЕЖНЕНИ УСЛОВИЯ</t>
    <phoneticPr fontId="1"/>
  </si>
  <si>
    <t>РЪЧЕН ИЗКОП С ШИРИНА НАД 1,2 М И ДЪЛБОЧИНА ДО 2 м В ТЕЖКОЗЕМНИ ПОЧВИ НА ОТВАЛ - НЕУКРЕПЕН</t>
    <phoneticPr fontId="1"/>
  </si>
  <si>
    <t>РЪЧЕН ИЗКОП С ДЪЛБОЧИНА 2-4 М В СРЕДНО СКАЛНИ ПОЧВИ НА ОТВАЛ - НЕУКРЕПЕН</t>
    <phoneticPr fontId="1"/>
  </si>
  <si>
    <t>РЪЧЕН ИЗКОП С ДЪЛБОЧИНА 2-4 М В ТЕЖКО ЗЕМНИ ПОЧВИ НА ОТВАЛ - НЕУКРЕПЕН</t>
    <phoneticPr fontId="1"/>
  </si>
  <si>
    <t>РЪЧЕН ИЗКОП С ДЪЛБОЧИНА 2-4 М В СРЕДНО СКАЛНИ ПОЧВИ  НЕУКРЕПЕН НА ОТВАЛ - НЕУКРЕПЕН</t>
    <phoneticPr fontId="1"/>
  </si>
  <si>
    <t>ПРЕХВЪРЛЯНЕ НА ЗЕМНИ И СКАЛНИ МАСИ ДО 3 м ХОРИЗОНТАЛНО ИЛИ 2 м ВЕРТИКАЛНО РАЗСТОЯНИЕ - ЗЕМНА ПОЧВА</t>
    <phoneticPr fontId="1"/>
  </si>
  <si>
    <t>Участък № 1:</t>
    <phoneticPr fontId="1"/>
  </si>
  <si>
    <t>Водопровод от т. 1 до т. 114</t>
    <phoneticPr fontId="1"/>
  </si>
  <si>
    <t>Участък № 2:</t>
    <phoneticPr fontId="1"/>
  </si>
  <si>
    <t>Водопровод от т. 114 до т. 236</t>
    <phoneticPr fontId="1"/>
  </si>
  <si>
    <t>РЪЧЕН ИЗКОП С ШИРИНА НАД 1,2 М И ДЪЛБОЧИНА ДО 4 м В ТЕЖКОЗЕМНИ ПОЧВИ НА ОТВАЛ - УКРЕПЕН</t>
    <phoneticPr fontId="1"/>
  </si>
  <si>
    <t>РЪЧЕН ИЗКОП С ДЪЛБОЧИНА 2-4 М В СРЕДНО СКАЛНИ ПОЧВИ  НА ОТВАЛ - УКРЕПЕН</t>
    <phoneticPr fontId="1"/>
  </si>
  <si>
    <t>УКРЕПВАНЕ И РАЗКРЕПВАНЕ НА ИЗКОПИ - НЕПЛЪТНО</t>
    <phoneticPr fontId="1"/>
  </si>
  <si>
    <r>
      <t>м</t>
    </r>
    <r>
      <rPr>
        <vertAlign val="superscript"/>
        <sz val="8"/>
        <rFont val="Calibri"/>
        <family val="2"/>
        <charset val="204"/>
        <scheme val="minor"/>
      </rPr>
      <t>2</t>
    </r>
    <phoneticPr fontId="1"/>
  </si>
  <si>
    <t>Участък № 3:</t>
    <phoneticPr fontId="1"/>
  </si>
  <si>
    <t xml:space="preserve">Водопровод от т. 236 до т. 293 </t>
    <phoneticPr fontId="1"/>
  </si>
  <si>
    <t>II. ОБРАТНО ЗАСИПВАНЕ ИЗВЪН НАСЕЛЕНО МЯСТО</t>
    <phoneticPr fontId="1"/>
  </si>
  <si>
    <t>РАЗРИВАНЕ С БУЛДОЗЕР И ЗАСИПВАНЕ НА ИЗКОПИ - НОРМАЛНИ УСЛОВИЯ, СКАЛНИ ПОЧВИ, НА РАЗСТОЯНИЕ ДО 40 М</t>
    <phoneticPr fontId="1"/>
  </si>
  <si>
    <t xml:space="preserve">ЗАСИПВАНЕ РЪЧНО НА ИЗКОПИ С ОГРАНИЧЕНИ ШИРИНИ </t>
    <phoneticPr fontId="1"/>
  </si>
  <si>
    <t>УПЛЪТНЯВАНЕ НА ПОЧВИ - РЪЧНО, С ПНЕВМАТИЧНА ТРАМБОВКА, ЗЕМНИ ПОЧВИ, ДЕБЕЛИНА НА ПЛАСТА 20 СМ</t>
    <phoneticPr fontId="1"/>
  </si>
  <si>
    <t>ПОЛАГАНЕ НА ПРЕСЯТА ЗЕМНА МАСА  С ФРАКЦИЯ ПО-МАЛКА ОТ 5 СМ ЗА ЗАСИПКА НА ТРЪБИТЕ С 20СМ НАД ТЕМЕ ТРЪБА - ВКЛ. ПРЕСЯВАНЕ</t>
    <phoneticPr fontId="1"/>
  </si>
  <si>
    <t>ПОЛАГАНЕ НА ПРЕСЯТА ЗЕМНА МАСА С ФРАКЦИЯ ПО-МАЛКА ОТ 5 СМ ЗА ТОДЛОЖКА 10см ПОД ТРЪБАТА - ВКЛ. ПРЕСЯВАНЕ</t>
    <phoneticPr fontId="1"/>
  </si>
  <si>
    <t>III. ИЗКОПИ И НАСИПИ В НАСЕЛЕНО МЯСТО</t>
    <phoneticPr fontId="1"/>
  </si>
  <si>
    <t>РЯЗАНЕ НА АСФАЛТОВА НАСТИЛКА С ДЕБЕЛИНА ДО 20 СМ</t>
    <phoneticPr fontId="1"/>
  </si>
  <si>
    <t>РАЗКЪРТВАНЕ НА АСФАЛТОВА НАСТИЛКА С ДЕБЕЛИНА ДО 20 СМ</t>
    <phoneticPr fontId="1"/>
  </si>
  <si>
    <t>НАТОВАРВАНЕ И ИЗВОЗВАНЕ НА АСФАЛТОВИ ОТПАДЪЦИ СРЕДНО НА 15 КМ</t>
    <phoneticPr fontId="1"/>
  </si>
  <si>
    <t>ИЗКОП С БАГЕР НА ТЕЖКО ЗЕМНИ ПОЧВИ - НА ТРАНСПОРТ ПОНЕ ПРИ 1 УТ.УСЛОВИЕ -ПРЕСИЧАНЕ НА ИНЖЕНЕРНА ИНФРАСТРУКТУРА</t>
    <phoneticPr fontId="1"/>
  </si>
  <si>
    <t>ИЗКОП С БАГЕР СРЕДНО СКАЛНИ ПОЧВИ - НА ТРАНСПОРТ, ПОНЕ ПРИ 1 УТ.УСЛОВИЕ -ПРЕСИЧАНЕ НА ИНЖЕНЕРНА ИНФРАСТРУКТУРА</t>
    <phoneticPr fontId="1"/>
  </si>
  <si>
    <t>РЪЧЕН ИЗКОП В ТЕЖКОЗЕМНИ ПОЧВИ С ДЪЛБОЧИНА ДО 2 М - УКРЕПЕН</t>
    <phoneticPr fontId="1"/>
  </si>
  <si>
    <t>РЪЧЕН ИЗКОП В СРЕДНОСКАЛНИ ПОЧВИ С ДЪЛБОЧИНА ДО 2 М - УКРЕПЕН</t>
    <phoneticPr fontId="1"/>
  </si>
  <si>
    <t>РЪЧЕН ИЗКОП В ТЕЖКОЗЕМНИ ПОЧВИ С ДЪЛБОЧИНА ОТ 2 М ДО 4 М - УКРЕПЕН</t>
    <phoneticPr fontId="1"/>
  </si>
  <si>
    <t>РЪЧЕН ИЗКОП В СРЕДНОСКАЛНИ ПОЧВИ С ДЪЛБОЧИНА ОТ 2 М ДО 4 М - УКРЕПЕН</t>
    <phoneticPr fontId="1"/>
  </si>
  <si>
    <t>ПРЕВОЗ НА ИЗЛИШНИ ЗЕМНИ МАСИ НА ДЕПО СЪС САМОСВАЛ НА РАЗСТОЯНИЕ 15 КМ</t>
    <phoneticPr fontId="1"/>
  </si>
  <si>
    <t>УКРЕПВАНЕ И РАЗКРЕПВАНЕ НА ИЗКОПИ - ПЛЪТНО</t>
    <phoneticPr fontId="1"/>
  </si>
  <si>
    <t>IV. ОБРАТНО ЗАСИПВАНЕ В НАСЕЛЕНО МЯСТО</t>
    <phoneticPr fontId="1"/>
  </si>
  <si>
    <t>ДОСТАВКА НА ОБРАТНА НАСИПКА НЕСТАНДАРТНА БАЛАСТРА</t>
    <phoneticPr fontId="1"/>
  </si>
  <si>
    <t>УПЛЪТНЯВАНЕ НА ПОЧВИ - НЕСТАНДАРТНА БАЛАСТРА, ДЕБЕЛИНА НА ПЛАСТА 30 СМ</t>
    <phoneticPr fontId="1"/>
  </si>
  <si>
    <t>V. МОНТАЖНА ЧАСТ</t>
    <phoneticPr fontId="1"/>
  </si>
  <si>
    <t>ДОСТАВКА, ПОЛАГАНЕ И СВЪРЗВАНЕ НА ТРЪБА ПЕВП Ф400 РЕ100RC, PN16</t>
    <phoneticPr fontId="1"/>
  </si>
  <si>
    <t>ДОСТАВКА, ПОЛАГАНЕ И СВЪРЗВАНЕ НА ТРЪБА ПЕВП Ф400 РЕ100RC, PN10</t>
    <phoneticPr fontId="1"/>
  </si>
  <si>
    <t xml:space="preserve">ДОСТАВКА И МОНТАЖ НА КОЛЯНО Ф400/90°, PN10 </t>
    <phoneticPr fontId="1"/>
  </si>
  <si>
    <t>бр.</t>
    <phoneticPr fontId="1"/>
  </si>
  <si>
    <t xml:space="preserve">ДОСТАВКА И МОНТАЖ НА КОЛЯНО Ф400/45°, PN10 </t>
    <phoneticPr fontId="1"/>
  </si>
  <si>
    <t>ДОСТАВКА И МОНТАЖ НА КОЛЯНО Ф400/22°, PN10</t>
    <phoneticPr fontId="1"/>
  </si>
  <si>
    <t>ДОСТАВКА И МОНТАЖ НА НАМАЛИТЕЛ-ФЛАНШОВ Ф150/125, PN10</t>
    <phoneticPr fontId="1"/>
  </si>
  <si>
    <t>ДОСТАВКА И МОНТАЖ НА ФЛАНШОВ НАКРАЙНИК Ф400, PN10</t>
    <phoneticPr fontId="1"/>
  </si>
  <si>
    <t>ДОСТАВКА И МОНТАЖ НА ФЛАНШОВ НАКРАЙНИК Ф140, PN10</t>
    <phoneticPr fontId="1"/>
  </si>
  <si>
    <t>ДОСТАВКА И МОНТАЖ НА ФЛАНШОВ НАКРАЙНИК Ф110, PN10</t>
    <phoneticPr fontId="1"/>
  </si>
  <si>
    <t>ДОСТАВКА И МОНТАЖ НА ФЛАНШОВ НАКРАЙНИК Ф90, PN16</t>
    <phoneticPr fontId="1"/>
  </si>
  <si>
    <t>ДОСТАВКА И МОНТАЖ НА ФЛАНШОВ НАКРАЙНИК Ф90, PN10</t>
    <phoneticPr fontId="1"/>
  </si>
  <si>
    <t>ДОСТАВКА И МОНТАЖ НА СВОБОДЕН ФЛАНЕЦ Ф400, PN10</t>
    <phoneticPr fontId="1"/>
  </si>
  <si>
    <t>ДОСТАВКА И МОНТАЖ НА СВОБОДЕН ФЛАНЕЦ Ф125, PN10</t>
    <phoneticPr fontId="1"/>
  </si>
  <si>
    <t>ДОСТАВКА И МОНТАЖ НА СВОБОДЕН ФЛАНЕЦ Ф100, PN10</t>
    <phoneticPr fontId="1"/>
  </si>
  <si>
    <t>ДОСТАВКА И МОНТАЖ НА СВОБОДЕН ФЛАНЕЦ Ф80, PN16</t>
    <phoneticPr fontId="1"/>
  </si>
  <si>
    <t>ДОСТАВКА И МОНТАЖ НА СВОБОДЕН ФЛАНЕЦ Ф80, PN10</t>
    <phoneticPr fontId="1"/>
  </si>
  <si>
    <t>ДОСТАВКА И МОНТАЖ НА ГЛУХ ФЛАНЕЦ Ф125, PN10</t>
    <phoneticPr fontId="1"/>
  </si>
  <si>
    <t>ДОСТАВКА И МОНТАЖ НА ГЛУХ ФЛАНЕЦ Ф100, PN10</t>
    <phoneticPr fontId="1"/>
  </si>
  <si>
    <t>ДОСТАВКА И МОНТАЖ НА ГЛУХ ФЛАНЕЦ Ф80, PN10</t>
    <phoneticPr fontId="1"/>
  </si>
  <si>
    <t>ДОСТАВКА И МОНТАЖ НА СПИРАТЕЛЕН КРАН Ф125, PN10</t>
    <phoneticPr fontId="1"/>
  </si>
  <si>
    <t>ДОСТАВКА И МОНТАЖ НА СПИРАТЕЛЕН КРАН Ф100, PN10</t>
    <phoneticPr fontId="1"/>
  </si>
  <si>
    <t>ДОСТАВКА И МОНТАЖ НА СПИРАТЕЛЕН КРАН Ф80, PN16</t>
    <phoneticPr fontId="1"/>
  </si>
  <si>
    <t>ДОСТАВКА И МОНТАЖ НА СПИРАТЕЛЕН КРАН Ф80, PN10</t>
    <phoneticPr fontId="1"/>
  </si>
  <si>
    <t>ДОСТАВКА И МОНТАЖ НА ВОДОВЗЕМНА СКОБА-ФЛАНШОВА Ф400/Ф150, PN10</t>
    <phoneticPr fontId="1"/>
  </si>
  <si>
    <t>ДОСТАВКА И МОНТАЖ НА ВОДОВЗЕМНА СКОБА-ФЛАНШОВА Ф400/Ф100, PN10</t>
    <phoneticPr fontId="1"/>
  </si>
  <si>
    <t>ДОСТАВКА И МОНТАЖ НА ВОДОВЗЕМНА СКОБА-ФЛАНШОВА Ф400/Ф80, PN16</t>
    <phoneticPr fontId="1"/>
  </si>
  <si>
    <t>ДОСТАВКА И МОНТАЖ НА ВОДОВЗЕМНА СКОБА-ФЛАНШОВА Ф400/Ф80, PN10</t>
    <phoneticPr fontId="1"/>
  </si>
  <si>
    <t>ДОСТАВКА И МОНТАЖ НА ЕЛЕКТРОМУФА Ф400, PN10</t>
    <phoneticPr fontId="1"/>
  </si>
  <si>
    <t>ДОСТАВКА И МОНТАЖ НА НА ПОЖАРНИ ХИДРАНТИ 70/80 - ТИП "ПОДЗЕМЕН"</t>
    <phoneticPr fontId="1"/>
  </si>
  <si>
    <t>ИЗПИТВАНЕ НА МОНТИРАНИ ТРЪБОПРОВОДИ ДО Ф426</t>
    <phoneticPr fontId="1"/>
  </si>
  <si>
    <t xml:space="preserve">ДЕЗИНФЕКЦИЯ НА ВОДОПРОВОДИ </t>
    <phoneticPr fontId="1"/>
  </si>
  <si>
    <t>100 м</t>
    <phoneticPr fontId="1"/>
  </si>
  <si>
    <t xml:space="preserve">ДОСТАВКА И ПОСТАВЯНЕ НА СИГНАЛНА ЛЕНТА НАД ТРЪБИ </t>
    <phoneticPr fontId="1"/>
  </si>
  <si>
    <t>ДОСТАВКА И ПОСТАВЯНЕ НА ДЕТЕКТОРНА СИГНАЛНА ЛЕНТА НАД ТРЪБИ С МЕТАЛНА НИШКА</t>
    <phoneticPr fontId="1"/>
  </si>
  <si>
    <t>ДОСТАВКА И МОНТАЖ НА ТРОЙНИК Ф90/Ф90, PN10</t>
    <phoneticPr fontId="1"/>
  </si>
  <si>
    <t>ДОСТАВКА И МОНТАЖ НА КОЛЯНО Ф400/22°, PN16</t>
    <phoneticPr fontId="1"/>
  </si>
  <si>
    <t>ДОСТАВКА И МОНТАЖ НА НАМАЛИТЕЛ-ФЛАНШОВ Ф80/65, PN10</t>
    <phoneticPr fontId="1"/>
  </si>
  <si>
    <t>ДОСТАВКА И МОНТАЖ НА НАМАЛИТЕЛ Ф110/75, PN10</t>
    <phoneticPr fontId="1"/>
  </si>
  <si>
    <t>ДОСТАВКА И МОНТАЖ НА НАМАЛИТЕЛ Ф90/63, PN10</t>
    <phoneticPr fontId="1"/>
  </si>
  <si>
    <t>ДОСТАВКА И МОНТАЖ НА ФЛАНШОВ НАКРАЙНИК Ф75, PN10</t>
    <phoneticPr fontId="1"/>
  </si>
  <si>
    <t>ДОСТАВКА И МОНТАЖ НА ФЛАНШОВ НАКРАЙНИК Ф63, PN10</t>
    <phoneticPr fontId="1"/>
  </si>
  <si>
    <t>ДОСТАВКА И МОНТАЖ НА СВОБОДЕН ФЛАНЕЦ Ф65, PN10</t>
    <phoneticPr fontId="1"/>
  </si>
  <si>
    <t>ДОСТАВКА И МОНТАЖ НА СВОБОДЕН ФЛАНЕЦ Ф50, PN10</t>
    <phoneticPr fontId="1"/>
  </si>
  <si>
    <t>ДОСТАВКА И МОНТАЖ НА ГЛУХ ФЛАНЕЦ Ф65, PN10</t>
    <phoneticPr fontId="1"/>
  </si>
  <si>
    <t>ДОСТАВКА И МОНТАЖ НА ГЛУХ ФЛАНЕЦ Ф50, PN10</t>
    <phoneticPr fontId="1"/>
  </si>
  <si>
    <t>ДОСТАВКА И МОНТАЖ НА СПИРАТЕЛЕН КРАН Ф65, PN10</t>
    <phoneticPr fontId="1"/>
  </si>
  <si>
    <t>ДОСТАВКА И МОНТАЖ НА СПИРАТЕЛЕН КРАН Ф50, PN10</t>
    <phoneticPr fontId="1"/>
  </si>
  <si>
    <t>ДОСТАВКА И МОНТАЖ НА ФЛАНШОВО СЪЕДИНЕНИЕ Ф100, PN10</t>
    <phoneticPr fontId="1"/>
  </si>
  <si>
    <t>ДОСТАВКА И МОНТАЖ НА ВОДОВЗЕМНА СКОБА-ФЛАНШОВА Ф400/Ф50, PN10</t>
    <phoneticPr fontId="1"/>
  </si>
  <si>
    <t>1</t>
    <phoneticPr fontId="1"/>
  </si>
  <si>
    <t>2</t>
    <phoneticPr fontId="1"/>
  </si>
  <si>
    <t>бр,</t>
    <phoneticPr fontId="1"/>
  </si>
  <si>
    <t>3</t>
    <phoneticPr fontId="1"/>
  </si>
  <si>
    <t>4</t>
    <phoneticPr fontId="1"/>
  </si>
  <si>
    <t>ДОСТАВКА И МОНТАЖ НА НАМАЛИТЕЛ ФЛАНШОВ Ф80/65, PN10</t>
    <phoneticPr fontId="1"/>
  </si>
  <si>
    <t>5</t>
    <phoneticPr fontId="1"/>
  </si>
  <si>
    <t>ДОСТАВКА И МОНТАЖ НА НАМАЛИТЕЛ-ФАЛНШОВ Ф65/50, PN10</t>
    <phoneticPr fontId="1"/>
  </si>
  <si>
    <t>6</t>
    <phoneticPr fontId="1"/>
  </si>
  <si>
    <t>ДОСТАВКА И МОНТАЖ НА НАМАЛИТЕЛ Ф110/90, PN10</t>
    <phoneticPr fontId="1"/>
  </si>
  <si>
    <t>7</t>
    <phoneticPr fontId="1"/>
  </si>
  <si>
    <t>8</t>
    <phoneticPr fontId="1"/>
  </si>
  <si>
    <t>ДОСТАВКА И МОНТАЖ НА НАМАЛИТЕЛ 63/32, PN10</t>
    <phoneticPr fontId="1"/>
  </si>
  <si>
    <t>9</t>
    <phoneticPr fontId="1"/>
  </si>
  <si>
    <t>ДОСТАВКА И МОНТАЖ НА ФЛАНШОВ НАКРАЙНИК Ф400,PN10</t>
    <phoneticPr fontId="1"/>
  </si>
  <si>
    <t>10</t>
    <phoneticPr fontId="1"/>
  </si>
  <si>
    <t>ДОСТАВКА И МОНТАЖ НА ФЛАНШОВ НАКРАЙНИК Ф110,PN10</t>
    <phoneticPr fontId="1"/>
  </si>
  <si>
    <t>11</t>
    <phoneticPr fontId="1"/>
  </si>
  <si>
    <t>ДОСТАВКА И МОНТАЖ НА ФЛАНШОВ НАКРАЙНИК Ф90,PN10</t>
    <phoneticPr fontId="1"/>
  </si>
  <si>
    <t>12</t>
    <phoneticPr fontId="1"/>
  </si>
  <si>
    <t>ДОСТАВКА И МОНТАЖ НА ФЛАНШОВ НАКРАЙНИК Ф75,PN10</t>
    <phoneticPr fontId="1"/>
  </si>
  <si>
    <t>13</t>
    <phoneticPr fontId="1"/>
  </si>
  <si>
    <t>ДОСТАВКА И МОНТАЖ НА ФЛАНШОВ НАКРАЙНИК Ф63,PN10</t>
    <phoneticPr fontId="1"/>
  </si>
  <si>
    <t>14</t>
    <phoneticPr fontId="1"/>
  </si>
  <si>
    <t>15</t>
    <phoneticPr fontId="1"/>
  </si>
  <si>
    <t>16</t>
    <phoneticPr fontId="1"/>
  </si>
  <si>
    <t>17</t>
    <phoneticPr fontId="1"/>
  </si>
  <si>
    <t>ДОСТАВКА И МОНТАЖ НА СВОБОДЕН ФЛАНЕЦ Ф65,PN10</t>
    <phoneticPr fontId="1"/>
  </si>
  <si>
    <t>18</t>
    <phoneticPr fontId="1"/>
  </si>
  <si>
    <t>ДОСТАВКА И МОНТАЖ НА СВОБОДЕН ФЛАНЕЦ Ф50,PN10</t>
    <phoneticPr fontId="1"/>
  </si>
  <si>
    <t>19</t>
    <phoneticPr fontId="1"/>
  </si>
  <si>
    <t>ДОСТАВКА И МОНТАЖ НА ГЛУХ ФЛАНЕЦ Ф50,PN10</t>
    <phoneticPr fontId="1"/>
  </si>
  <si>
    <t>20</t>
    <phoneticPr fontId="1"/>
  </si>
  <si>
    <t>ДОСТАВКА И МОНТАЖ НА СПИРАТЕЛЕН КРАН Ф80,PN10</t>
    <phoneticPr fontId="1"/>
  </si>
  <si>
    <t>21</t>
    <phoneticPr fontId="1"/>
  </si>
  <si>
    <t>ДОСТАВКА И МОНТАЖ НА СПИРАТЕЛЕН КРАН Ф65,PN10</t>
    <phoneticPr fontId="1"/>
  </si>
  <si>
    <t>22</t>
    <phoneticPr fontId="1"/>
  </si>
  <si>
    <t>ДОСТАВКА И МОНТАЖ НА СПИРАТЕЛЕН КРАН Ф50,PN10</t>
    <phoneticPr fontId="1"/>
  </si>
  <si>
    <t>23</t>
    <phoneticPr fontId="1"/>
  </si>
  <si>
    <t>ДОСТАВКА И МОНТАЖ НА ПРЕХОД Ф32/1'',PN10</t>
    <phoneticPr fontId="1"/>
  </si>
  <si>
    <t>24</t>
    <phoneticPr fontId="1"/>
  </si>
  <si>
    <t>ДОСТАВКА И МОНТАЖ НА ФЛАНШОВО СЪЕДИНЕНИЕ Ф100,PN10</t>
    <phoneticPr fontId="1"/>
  </si>
  <si>
    <t>25</t>
    <phoneticPr fontId="1"/>
  </si>
  <si>
    <t>ДОСТАВКА И МОНТАЖ НА ФЛАНШОВО СЪЕДИНЕНИЕ Ф80,PN10</t>
    <phoneticPr fontId="1"/>
  </si>
  <si>
    <t>26</t>
    <phoneticPr fontId="1"/>
  </si>
  <si>
    <t>ДОСТАВКА И МОНТАЖ НА ВОДОВЗЕМНА СКОБА-ФЛАНШОВА Ф400/Ф80,PN10</t>
    <phoneticPr fontId="1"/>
  </si>
  <si>
    <t>27</t>
    <phoneticPr fontId="1"/>
  </si>
  <si>
    <t>ДОСТАВКА И МОНТАЖ НА ВОДОВЗЕМНА СКОБА-ФЛАНШОВА Ф400/Ф50,PN10</t>
    <phoneticPr fontId="1"/>
  </si>
  <si>
    <t>28</t>
    <phoneticPr fontId="1"/>
  </si>
  <si>
    <t>29</t>
    <phoneticPr fontId="1"/>
  </si>
  <si>
    <t>30</t>
    <phoneticPr fontId="1"/>
  </si>
  <si>
    <t>31</t>
    <phoneticPr fontId="1"/>
  </si>
  <si>
    <t>32</t>
    <phoneticPr fontId="1"/>
  </si>
  <si>
    <t>VI. ПЪТНИ РАБОТИ</t>
    <phoneticPr fontId="1"/>
  </si>
  <si>
    <t>ПОЛАГАНЕ НА ИЗНОСВАЩ ПЛАСТ АСФАЛТОБЕТОН С ДЕБЕЛИНА 4 СМ</t>
    <phoneticPr fontId="1"/>
  </si>
  <si>
    <t>ДОСТАВКА И ПОЛАГАНЕ НА БИТУМЕН РАЗЛИВ ВЪРХУ АСФАЛТОВА НАСТИЛКА</t>
    <phoneticPr fontId="1"/>
  </si>
  <si>
    <t>ДОСТАВКА И ПОЛАГАНЕ НА БИНДЕР С ДЕБЕЛИНА 4 СМ</t>
    <phoneticPr fontId="1"/>
  </si>
  <si>
    <t>тон</t>
    <phoneticPr fontId="1"/>
  </si>
  <si>
    <t>ДОСТАВКА И ПОЛАГАНЕ НА БИТУМИЗИРАН ТРОШЕН КАМЪК С ДЕБЕЛИНА 8 СМ</t>
    <phoneticPr fontId="1"/>
  </si>
  <si>
    <t>ДОСТАВКА И ПОЛАГАНЕ НА БИТУМЕН РАЗЛИВ ВЪРХУ ТРОШЕНОКАМЕННА НАСТИЛКА</t>
    <phoneticPr fontId="1"/>
  </si>
  <si>
    <t>ДОСТАВКА И ПОЛАГАНЕ НА ОСНОВЕН ПЛАСТ ОТ НЕСОРТИРАН ТРОШЕН КАМЪК С ДЕБЕЛИНА 44 СМ</t>
    <phoneticPr fontId="1"/>
  </si>
  <si>
    <t>ИЗКОП С БАГЕР НА ТЕЖКОЗЕМНИ ПОЧВИ - НА ОТВАЛ ПРИ 1 УТ.УСЛОВИЕ - ПРЕСИЧАНЕ НА ИНЖЕНЕРНА ИНФРАСТРУКТУРА</t>
    <phoneticPr fontId="1"/>
  </si>
  <si>
    <t>РЪЧЕН ИЗКОП, НЕУКРЕПЕН В ТЕЖКОЗЕМНИ ПОЧВИ С ДЪЛБОЧИНА ДО 2 М НА ОТВАЛ</t>
    <phoneticPr fontId="1"/>
  </si>
  <si>
    <t>НАТОВАРВАНЕ И ИЗВОЗВАНЕ НА ИЗЛИШНА ЗЕМНА МАСА СРЕДНО НА 5 КМ</t>
    <phoneticPr fontId="1"/>
  </si>
  <si>
    <t>КОФРАЖ ЗА ПОДЛОЖЕН БЕТОН</t>
    <phoneticPr fontId="1"/>
  </si>
  <si>
    <t>КОФРАЖ ЗА ФУНДАМЕНТИ</t>
    <phoneticPr fontId="1"/>
  </si>
  <si>
    <t>КОФРАЖ ЗА ПРАВИ СТЕНИ</t>
    <phoneticPr fontId="1"/>
  </si>
  <si>
    <t>КОФРАЖ ЗА ОПОРНИ БЛОКОВЕ</t>
    <phoneticPr fontId="1"/>
  </si>
  <si>
    <t>ИЗРАБОТКА И МОНТАЖ НА АРМИРОВКА - ОБИКНОВЕНА И СРЕДНА СЛОЖНОСТ ПРИ ДЕБЕЛИНА 6,5 ММ А I И А II ОТ СТОМАНА В235</t>
    <phoneticPr fontId="1"/>
  </si>
  <si>
    <t>кг</t>
    <phoneticPr fontId="1"/>
  </si>
  <si>
    <t>ИЗРАБОТКА И МОНТАЖ НА АРМИРОВКА - ОБИКНОВЕНА И СРЕДНА СЛОЖНОСТ ПРИ ДЕБЕЛИНА 8 ММ  И 10 ММ А I И А II ОТ СТОМАНА В500</t>
    <phoneticPr fontId="1"/>
  </si>
  <si>
    <t>ПОЛАГАНЕ БЕТОН ПОДЛОЖЕН В15</t>
    <phoneticPr fontId="1"/>
  </si>
  <si>
    <t>ПРИГОТВЯНЕ И ПОЛАГАНЕ БЕТОН В 25 ДЪНО НА ФУНДАМЕНТИ</t>
    <phoneticPr fontId="1"/>
  </si>
  <si>
    <t>ПРИГОТВЯНЕ И ПОЛАГАНЕ БЕТОН В 25 ЗА СТЕНИ</t>
    <phoneticPr fontId="1"/>
  </si>
  <si>
    <t>ПРИГОТВЯНЕ И ПОЛАГАНЕ БЕТОН В 25 ЗА ОПОРНИ БЛОКОВЕ</t>
    <phoneticPr fontId="1"/>
  </si>
  <si>
    <t>ПРЕВОЗ НА БЕТОН НА 30КМ</t>
    <phoneticPr fontId="1"/>
  </si>
  <si>
    <t>ПОЛИВАНЕ БЕТОНА С ВОДА И ПОКРИВАНЕ СЪС  ЗЕБЛО</t>
    <phoneticPr fontId="1"/>
  </si>
  <si>
    <t>100 м2</t>
    <phoneticPr fontId="1"/>
  </si>
  <si>
    <t>ИЗМАЗВАНЕ НА ВЪНШНИ БЕТОНОВИ ПОВЪРХНОСТИ С МАТЕРИАЛИ НА БИТУМНА ОСНОВА ВЪРХУ ГРУНД</t>
    <phoneticPr fontId="1"/>
  </si>
  <si>
    <t>НАПРАВА ГЛАДКА ЦИМЕНТОВА ЗАМАЗКА В ДВА ПЛАСТА ДЕБЕЛИНА 2 СМ</t>
    <phoneticPr fontId="1"/>
  </si>
  <si>
    <t xml:space="preserve">ДОСТАВКА И МОНТАЖ НА КАПАЦИ ОТ РИФЕЛОВА ЛАМАРИНА </t>
    <phoneticPr fontId="1"/>
  </si>
  <si>
    <t>ДОСТАВКА ИМОНТАЖ НА ДЪРВЕНИ МЕЖДИННИ КАПАЦИ</t>
    <phoneticPr fontId="1"/>
  </si>
  <si>
    <t xml:space="preserve">СТИРОПОР </t>
    <phoneticPr fontId="1"/>
  </si>
  <si>
    <t>ДОСТАВКА И МОНТАЖ НА ЧУГУНЕНИ СТЪПАЛА</t>
    <phoneticPr fontId="1"/>
  </si>
  <si>
    <t>бр</t>
    <phoneticPr fontId="1"/>
  </si>
  <si>
    <t>ДОСТАВКА НА ЧАКЪЛ ЗА ДРЕНАЖ</t>
    <phoneticPr fontId="1"/>
  </si>
  <si>
    <t>ДОСТАВКА И МОНТАЖ НА ТРЪБА PVC Ф50ММ ЗА КАНАЛИЗАЦИЯ</t>
    <phoneticPr fontId="1"/>
  </si>
  <si>
    <t>ДОСТАВКА И МОНТАЖ НА ЕЛЕКТРОМУФА Ф400, PN16</t>
    <phoneticPr fontId="1"/>
  </si>
  <si>
    <t>ДОСТАВКА И МОНТАЖ НА ФЛАНШОВ НАКРАЙНИК Ф400, PN16</t>
    <phoneticPr fontId="1"/>
  </si>
  <si>
    <t>ДОСТАВКА И МОНТАЖ НА СВОБОДЕН ФЛАНЕЦ Ф400, PN16</t>
    <phoneticPr fontId="1"/>
  </si>
  <si>
    <t>ДОСТАВКА И МОНТАЖ НА СПИРАТЕЛЕН КРАН БЪТЕРФЛАЙ Ф400, PN16</t>
    <phoneticPr fontId="1"/>
  </si>
  <si>
    <t>НАПРАВА НА ОПОРЕН БЛОК</t>
    <phoneticPr fontId="1"/>
  </si>
  <si>
    <t>Общо :</t>
    <phoneticPr fontId="1"/>
  </si>
  <si>
    <t>ДОСТАВКА И МОНТАЖ НА СПИРАТЕЛЕН КРАН Ф400, PN10</t>
    <phoneticPr fontId="1"/>
  </si>
  <si>
    <t>м2</t>
    <phoneticPr fontId="1"/>
  </si>
  <si>
    <t>ПРЕВОЗ НА БЕТОН  НА 30КМ</t>
    <phoneticPr fontId="1"/>
  </si>
  <si>
    <t>ДОСТАВКА И ПОЛАГАНЕ НА ГОТОВИ СТОМАНОБЕТОННИ ЕЛЕМЕНТИ ЗА ШАХТИ Ф 1000</t>
    <phoneticPr fontId="1"/>
  </si>
  <si>
    <t>ДОСТАВКА И МОНТАЖ  НА ЗАКЛАДНИ ЧАСТИ</t>
    <phoneticPr fontId="1"/>
  </si>
  <si>
    <t>ГРУНДИРАНЕ НА ЗАКЛАДНИ ЧАСТИ</t>
    <phoneticPr fontId="1"/>
  </si>
  <si>
    <t>ДОСТАВКА И МОНТАЖ НА  ФЛАНШОВО КОЛЯНО Ф80/90°, PN10</t>
    <phoneticPr fontId="1"/>
  </si>
  <si>
    <t>ДОСТАВКА И МОНТАЖ НА АВТОМАТИЧЕН ВЪЗДУШНИК С ТРОЙНО ДЕЙСТВИЕ Ф 80 ММ. PN10</t>
    <phoneticPr fontId="1"/>
  </si>
  <si>
    <t>ДОСТАВКА, ПОЛАГАНЕ И СВЪРЗВАНЕ НА ТРЪБА ПЕВП Ф90 РЕ100RC, PN10</t>
    <phoneticPr fontId="1"/>
  </si>
  <si>
    <t>ПОЛИВАНЕ БЕТОНА С ВОДА И ПОКРИВАНЕ СЪС ЗЕБЛО</t>
    <phoneticPr fontId="1"/>
  </si>
  <si>
    <t>ДОСТАВКА И МОНТАЖ НА ДЪРВЕНИ МЕЖДИННИ КАПАЦИ</t>
    <phoneticPr fontId="1"/>
  </si>
  <si>
    <t>ЗАМОНОЛИТВАНЕ НА ОТВОРИ В СТОМАНОБЕТНОВА СТЕНА РАЗМЕРИ 15/15</t>
    <phoneticPr fontId="1"/>
  </si>
  <si>
    <t>ПРОБИВАНЕ НА ОТВОРИ РЪЧНО В БЕТОНОВИ СТЕНИ ДО 50/50 СМ</t>
    <phoneticPr fontId="1"/>
  </si>
  <si>
    <t>ДОСТАВКА И МОНТАЖ НА ПЛАСТМАСОВА ШАХТА 30х30СМ ЗА СК</t>
    <phoneticPr fontId="1"/>
  </si>
  <si>
    <t>ДОСТАВКА И МОНТАЖ НА УДЪЛЖИТЕЛ ЗА ПЛАСТМАСОВА ШАХТА 30х30СМ ЗА СК</t>
    <phoneticPr fontId="1"/>
  </si>
  <si>
    <t>ДОСТАВКА, ПОЛАГАНЕ И СВЪРЗВАНЕ НА ТРЪБА ПЕВП Ф250</t>
    <phoneticPr fontId="1"/>
  </si>
  <si>
    <t>ДОСТАВКА И МОНТАЖ НА ФЛАНШОВ НАКРАЙНИК Ф160, PN10</t>
    <phoneticPr fontId="1"/>
  </si>
  <si>
    <t>ДОСТАВКА И МОНТАЖ НА СВОБОДЕН ФЛАНЕЦ Ф150, PN10</t>
    <phoneticPr fontId="1"/>
  </si>
  <si>
    <t>ДОСТАВКА И МОНТАЖ НА СПИРАТЕЛЕН КРАН Ф150, PN10</t>
    <phoneticPr fontId="1"/>
  </si>
  <si>
    <t>ДОСТАВКА И МОНТАЖ НА ЖАБА КЛАПА Ф 150, PN10</t>
    <phoneticPr fontId="1"/>
  </si>
  <si>
    <t>ДОСТАВКА, ПОЛАГАНЕ И СВЪРЗВАНЕ НА ТРЪБА ПЕВП Ф160 РЕ100RC, PN10</t>
    <phoneticPr fontId="1"/>
  </si>
  <si>
    <t>МОНТАЖ НА ЗАВАРЕНА АРМАТУРНА МРЕЖА</t>
    <phoneticPr fontId="1"/>
  </si>
  <si>
    <t>т</t>
    <phoneticPr fontId="1"/>
  </si>
  <si>
    <t>ИЗРАБОТКА И МОНТАЖ НА АРМИРОВКА - СТРЕМЕНА ОТ СТОМАНА А III 8х160</t>
    <phoneticPr fontId="1"/>
  </si>
  <si>
    <t>ИЗРАБОТКА И МОНТАЖ НА АРМИРОВКА - СТРЕМЕНА ОТ СТОМАНА А III 8х70</t>
    <phoneticPr fontId="1"/>
  </si>
  <si>
    <t>ИЗКОП НА ЯМИ ЗА СТРОИТЕЛНИ КОНСТРУКЦИИ, СТЪЛБОВЕ И ДРУГИ В ЗЕМНИ ПОЧВИ - дълбочина на ямата до 2 м, сечение от 0,31 до 2,00 м2</t>
    <phoneticPr fontId="1"/>
  </si>
  <si>
    <t>ЗАСИПВАНЕ ИЗКОПИ ВКЛ.РАЗКОП.И ПРЕХВЪРЛЯНЕ ДО 3М ХОР.И ТРАМБОВАНЕ РЪЧНО</t>
    <phoneticPr fontId="1"/>
  </si>
  <si>
    <t>КОФРАЖ ЗА ПРАВИ СТЕНИ - ТЯЛО ПРАГ</t>
    <phoneticPr fontId="1"/>
  </si>
  <si>
    <t>ПРИГОТВЯНЕ И ПОЛАГАНЕ БЕТОН В 20</t>
    <phoneticPr fontId="1"/>
  </si>
  <si>
    <t xml:space="preserve">ИЗРАБОТКА И МОНТАЖ НА АРМИРОВКА - ОБИКНОВЕНА И СРЕДНА СЛОЖНОСТ ПРИ ДЕБЕЛИНА 8 ММ  И 10 ОТ СТОМАНА А I и А II </t>
    <phoneticPr fontId="1"/>
  </si>
  <si>
    <t>ПОЛАГАНЕ НА ПЯСЪЧЕН КОЖУХ</t>
    <phoneticPr fontId="1"/>
  </si>
  <si>
    <t>ЗАСКАЛЯВАНЕ С ЕДРОЛОМЕН КАМЪК</t>
    <phoneticPr fontId="1"/>
  </si>
  <si>
    <t>ОБМАЗВАНЕ ДВУКРАТНО С БИТУМ</t>
    <phoneticPr fontId="1"/>
  </si>
  <si>
    <t>ИЗКОП С БАГЕР НА ЗЕМНИ ПОЧВИ (ОТБИВНА ДИГА)</t>
    <phoneticPr fontId="1"/>
  </si>
  <si>
    <t>ПРЕВОЗ НА ЗЕМНИ МАСИЗА НАСИП ОТ ДЕПО от 200м (ОТБИВНА ДИГА)</t>
    <phoneticPr fontId="1"/>
  </si>
  <si>
    <t>ПОЧИСТВАНЕ НА ХРАСТИ С ИЗКОРЕНИТЕЛ ИЛИ ТРАКТОР 90-110 к.с.</t>
    <phoneticPr fontId="1"/>
  </si>
  <si>
    <t>Дка</t>
    <phoneticPr fontId="1"/>
  </si>
  <si>
    <t xml:space="preserve">ПОЧИСТВАНЕ НАНОС </t>
    <phoneticPr fontId="1"/>
  </si>
  <si>
    <t>НАТОВАРВАНЕ НА САМОСВАЛ</t>
    <phoneticPr fontId="1"/>
  </si>
  <si>
    <t>ИЗВОЗВАНЕ СЪС САМОСВАЛ СРЕДНО НА 3 КМ</t>
    <phoneticPr fontId="1"/>
  </si>
  <si>
    <t xml:space="preserve">ИЗКОП С БАГЕР НА ЗЕМНИ ПОЧВИ </t>
    <phoneticPr fontId="1"/>
  </si>
  <si>
    <t>КОФРАЖ - ОПОРЕН БЛОК</t>
    <phoneticPr fontId="1"/>
  </si>
  <si>
    <t xml:space="preserve">ИЗРАБОТКА И МОНТАЖ НА АРМИРОВКА - НА МОНТАЖНИ КУКИ  8 ММ ОТ СТОМАНА А I </t>
    <phoneticPr fontId="1"/>
  </si>
  <si>
    <t>РЪЧЕН ИЗКОП С ШИРИНА НАД 1,2 М И ДЪЛБОЧИНА ДО 2 М В ТЕЖКОЗЕМНИ ПОЧВИ НА ОТВАЛ</t>
    <phoneticPr fontId="1"/>
  </si>
  <si>
    <t>ПОЛАГАНЕ НА ПРЕСЯТА ЗЕМНА МАСА С ФРАКЦИЯ ПО-МАЛКА ОТ 5 СМ ЗА ЗАСИПКА НА ТРЪБИТЕ С 20СМ НАД ТЕМЕ ТРЪБА - ВКЛ. ПРЕСЯВАНЕ</t>
    <phoneticPr fontId="1"/>
  </si>
  <si>
    <t>ПОЛАГАНЕ НА ПРЕСЯТА ЗЕМНА МАСА С ФРАКЦИЯ ПО-МАЛКА ОТ 5 СМ ЗА ПОДЛОЖКА 10СМ ПОД ТРЪБАТА - ВКЛ. ПРЕСЯВАНЕ</t>
    <phoneticPr fontId="1"/>
  </si>
  <si>
    <t>НАПРАВА НА ХОРИЗОНТАЛЕН СОНДАЖ ПОД ПЪТ ф600, ВКЛ. ДОСТАВКА НА ОБСАДНИ ТРЪБИ И РАЗДЕЛИТЕЛИ ПРОТИВ ТРИЕНЕ</t>
    <phoneticPr fontId="1"/>
  </si>
  <si>
    <t>VII. СЪОРЪЖЕНИЯ ПО ВОДОПРОВОДА</t>
    <phoneticPr fontId="1"/>
  </si>
  <si>
    <t>ДОСТАВКА И МОНТАЖ НА ВОДОВЗЕМНА СКОБА-ФЛАНШОВА Ф400/Ф150, PN16</t>
    <phoneticPr fontId="1"/>
  </si>
  <si>
    <t>ДОСТАВКА И МОНТАЖ НА ФЛАНШОВ НАКРАЙНИК Ф160, PN16</t>
    <phoneticPr fontId="1"/>
  </si>
  <si>
    <t>ДОСТАВКА И МОНТАЖ НА СВОБОДЕН ФЛАНЕЦ Ф150, PN16</t>
    <phoneticPr fontId="1"/>
  </si>
  <si>
    <t>ДОСТАВКА И МОНТАЖ НА СПИРАТЕЛЕН КРАН Ф150, PN16</t>
    <phoneticPr fontId="1"/>
  </si>
  <si>
    <t>ДОСТАВКА И МОНТАЖ НА ЖАБА КЛАПА Ф 150, PN16</t>
    <phoneticPr fontId="1"/>
  </si>
  <si>
    <t>ДОСТАВКА, ПОЛАГАНЕ И СВЪРЗВАНЕ НА ТРЪБА ПЕВП Ф160 РЕ100RC, PN16</t>
    <phoneticPr fontId="1"/>
  </si>
  <si>
    <t>ИЗРАБОТКА И МОНТАЖ НА АРМИРОВКА  СТРЕМЕНА  ОТ СТОМАНА А III 8х160</t>
    <phoneticPr fontId="1"/>
  </si>
  <si>
    <t>ИЗВОЗВАНЕ НА ХРАСТИ, ДЪРВЕТА И НАНОСИ СРЕДНО НА 3 КМ</t>
    <phoneticPr fontId="1"/>
  </si>
  <si>
    <t>ИЗКОП С БАГЕР НА ЗЕМНИ ПОЧВИ</t>
    <phoneticPr fontId="1"/>
  </si>
  <si>
    <t>ПОЧИСТВАНЕ БЕТОНОВА ПОВЪРХНОСТ</t>
    <phoneticPr fontId="1"/>
  </si>
  <si>
    <t>ГРУНДИРАНЕ - бетон контакт</t>
    <phoneticPr fontId="1"/>
  </si>
  <si>
    <t>КОФРАЖ ЧЕЛЕН</t>
    <phoneticPr fontId="1"/>
  </si>
  <si>
    <t>ПОЛАГАНЕ БЕТОН В15</t>
    <phoneticPr fontId="1"/>
  </si>
  <si>
    <t>дка</t>
    <phoneticPr fontId="1"/>
  </si>
  <si>
    <t>КОФРАЖ ЗА ПРАВИ СТЕНИ  ТЯЛО ПРАГ</t>
    <phoneticPr fontId="1"/>
  </si>
  <si>
    <t>VIII. ПРЕСВЪРЗВАНИЯ СЪС СЪЩЕСТВУВАЩ ДОВЕЖДАЩ ВОДОПРОВОД</t>
    <phoneticPr fontId="1"/>
  </si>
  <si>
    <t xml:space="preserve">ДОСТАВКА И МОНТАЖ НА УНИВЕРСАЛНА МУФА С DN400, PN10 - за свързане на HDPE с АЦ - тръби (съгласно ЕN 14525) - за тръби с DN/OD (от 398 мм до 442 мм), с дължина на тялото L=523 мм със следните технически параметри: •Корпус с притискателен пръстен от сферочугун EN- GJS-400 , с епоксидно прахообразно покритие;
•Гъвкаво уплътнение от еластомер съгласно EN 681-1(годно за контакт с питейна вода);
•Гъвкав задържащ пръстен, постоянносвързан към поддържащ елемент от POM;
•Защита от напрежение на опън, от неръждаемастомана (NIRO). Към всяко опорно звено на елемент ефиксиран елемент за защита от напрежение на опън;
•Болтове и гайки от неръждаема стомана (NIRO),снабдени с покритие срещсу износване;
•Защита срещу развиване на главите на болтовете, отнеръждаема стомана (NIRO), със защитна капачка от еластомер;
•Болтове, обръщащи се на 180°;
•Дистанционни втулки от пластмаса;
•Компенсиране на ъгъла макс. 8° (+/- 4° на муфа);
•За създаването на издържаща на опън връзка с тръбиот РЕ се изисква използване на опорна втулка от неръждаема стомана(NIRO) (напр. No. 6035 или 6036). </t>
    <phoneticPr fontId="1"/>
  </si>
  <si>
    <r>
      <t>ДОСТАВКА, ПОЛАГАНЕ И СВЪРЗВАНЕ НА ТРЪБА ПЕВП Ф400 РЕ100RC, PN</t>
    </r>
    <r>
      <rPr>
        <sz val="8"/>
        <rFont val="Calibri"/>
        <family val="2"/>
        <charset val="204"/>
      </rPr>
      <t>10</t>
    </r>
    <phoneticPr fontId="1"/>
  </si>
  <si>
    <t xml:space="preserve">ДОСТАВКА И МОНТАЖ НА УНИВЕРСАЛНА МУФА С DN400, PN10 - за свързане на HDPE с АЦ - тръби (съгласно ЕN 14525) - за тръби с DN/OD (от 398 мм до 442 мм), с дължина на тялото L=523 мм със следните технически параметри: •Корпус с притискателен пръстен от сферочугун EN- GJS-400 , с епоксидно прахообразно покритие;
•Гъвкаво уплътнение от еластомер съгласно EN 681-1(годно за контакт с питейна вода);
•Гъвкав задържащ пръстен, постоянносвързан към поддържащ елемент от POM;
•Защита от напрежение на опън, от неръждаемастомана (NIRO). Към всяко опорно звено на елемент ефиксиран елемент за защита от напрежение на опън;
•Болтове и гайки от неръждаема стомана (NIRO),снабдени с покритие срещсу износване;
•Защита срещу развиване на главите на болтовете, отнеръждаема стомана (NIRO), със защитна капачка от еластомер;
•Болтове, обръщащи се на 180°;
•Дистанционни втулки от пластмаса;
•Компенсиране на ъгъла макс. 8° (+/- 4° на муфа);
•За създаването на издържаща на опън връзка с тръбиот РЕ се изисква използване на опорна втулка от неръждаема стомана(NIRO) (напр. No. 6035 или6036). </t>
    <phoneticPr fontId="1"/>
  </si>
  <si>
    <t>ИЗКОПНИ РАБОТИ</t>
    <phoneticPr fontId="1"/>
  </si>
  <si>
    <t>ОБРАТНО ЗАСИПВАНЕ ИЗВЪН НАСЕЛЕНО МЯСТО</t>
    <phoneticPr fontId="1"/>
  </si>
  <si>
    <t>ИЗКОПИ И НАСПИ В НАСЕЛЕНО МЯСТО</t>
    <phoneticPr fontId="1"/>
  </si>
  <si>
    <t>ОБРАТНО ЗАСИПВАНЕ В НАСЕЛЕНО МЯСТО</t>
    <phoneticPr fontId="1"/>
  </si>
  <si>
    <t>МОНТАЖНА ЧАСТ</t>
    <phoneticPr fontId="1"/>
  </si>
  <si>
    <t>ПЪТНИ РАБОТИ</t>
    <phoneticPr fontId="1"/>
  </si>
  <si>
    <t xml:space="preserve"> ПРЕСВЪРЗВАНИЯ СЪС СЪЩЕСТВУВАЩ ДОВЕЖДАЩ ВОДОПРОВОД</t>
    <phoneticPr fontId="1"/>
  </si>
  <si>
    <t>СЪОРЪЖЕНИЯ ПО ВОДОПРОВОДА</t>
    <phoneticPr fontId="1"/>
  </si>
  <si>
    <r>
      <t xml:space="preserve">кранова шахта СК </t>
    </r>
    <r>
      <rPr>
        <b/>
        <u/>
        <sz val="8"/>
        <rFont val="Calibri"/>
        <family val="2"/>
        <charset val="204"/>
      </rPr>
      <t>Ø</t>
    </r>
    <r>
      <rPr>
        <b/>
        <u/>
        <sz val="8"/>
        <rFont val="Calibri"/>
        <family val="2"/>
        <charset val="204"/>
        <scheme val="minor"/>
      </rPr>
      <t>400 мм PN16</t>
    </r>
    <phoneticPr fontId="1"/>
  </si>
  <si>
    <t xml:space="preserve"> ремонт на съществуваща облекчителна шахта</t>
    <phoneticPr fontId="1"/>
  </si>
  <si>
    <r>
      <t xml:space="preserve">автоматичен въздушник с тройно действие монтиран на тръба </t>
    </r>
    <r>
      <rPr>
        <b/>
        <u/>
        <sz val="8"/>
        <rFont val="Calibri"/>
        <family val="2"/>
        <charset val="204"/>
      </rPr>
      <t>Ø</t>
    </r>
    <r>
      <rPr>
        <b/>
        <u/>
        <sz val="8"/>
        <rFont val="Calibri"/>
        <family val="2"/>
        <charset val="204"/>
        <scheme val="minor"/>
      </rPr>
      <t>400 мм PN10 в нова шахта</t>
    </r>
    <phoneticPr fontId="1"/>
  </si>
  <si>
    <r>
      <t xml:space="preserve">автоматичен въздушник с тройно действие монтиран на тръба </t>
    </r>
    <r>
      <rPr>
        <b/>
        <u/>
        <sz val="8"/>
        <rFont val="Calibri"/>
        <family val="2"/>
        <charset val="204"/>
      </rPr>
      <t>Ø</t>
    </r>
    <r>
      <rPr>
        <b/>
        <u/>
        <sz val="8"/>
        <rFont val="Calibri"/>
        <family val="2"/>
        <charset val="204"/>
        <scheme val="minor"/>
      </rPr>
      <t>400 мм PN10 в съществуваща шахта</t>
    </r>
    <phoneticPr fontId="1"/>
  </si>
  <si>
    <t xml:space="preserve"> изпускател монтиран на тръба ф400 PN10 </t>
    <phoneticPr fontId="1"/>
  </si>
  <si>
    <t>нов стоманобетонов праг на р. Видима</t>
    <phoneticPr fontId="1"/>
  </si>
  <si>
    <t>стоманобетонови прагове тип B L-15</t>
    <phoneticPr fontId="1"/>
  </si>
  <si>
    <t>опорни блокове</t>
    <phoneticPr fontId="1"/>
  </si>
  <si>
    <t>сондажно преминаване под път с ПЕВП тръба ф400мм PN10 в обсадна стом. тр. ф600мм</t>
    <phoneticPr fontId="1"/>
  </si>
  <si>
    <t>ремонт на съществуваща облекчителна шахта</t>
    <phoneticPr fontId="1"/>
  </si>
  <si>
    <t>автоматичен въздушник с тройно действие монтиран на тръба ф400 PN10 в нова шахта</t>
    <phoneticPr fontId="1"/>
  </si>
  <si>
    <t>автоматичен въздушник с тройно действие монтиран на тръба ф400 PN10 в съществуваща шахта</t>
    <phoneticPr fontId="1"/>
  </si>
  <si>
    <t xml:space="preserve">изпускател монтиран на тръба ф400 PN16 </t>
    <phoneticPr fontId="1"/>
  </si>
  <si>
    <t xml:space="preserve">изпускател монтиран на тръба ф400 PN10 </t>
    <phoneticPr fontId="1"/>
  </si>
  <si>
    <t>нов стоманобетонов праг на р. Марешница</t>
    <phoneticPr fontId="1"/>
  </si>
  <si>
    <t>съществуващи стоманобетонови прагове реки-ремонт</t>
    <phoneticPr fontId="1"/>
  </si>
  <si>
    <t>стоманобетонови прагове тип А L-10</t>
    <phoneticPr fontId="1"/>
  </si>
  <si>
    <t>типови стоманобетонови прагове-ремонт</t>
    <phoneticPr fontId="1"/>
  </si>
  <si>
    <t xml:space="preserve"> опорни блокове</t>
    <phoneticPr fontId="1"/>
  </si>
  <si>
    <r>
      <t xml:space="preserve">сондажно преминаване под път с ПЕВП тръба </t>
    </r>
    <r>
      <rPr>
        <b/>
        <u/>
        <sz val="8"/>
        <rFont val="Calibri"/>
        <family val="2"/>
        <charset val="204"/>
      </rPr>
      <t>Ø</t>
    </r>
    <r>
      <rPr>
        <b/>
        <u/>
        <sz val="8"/>
        <rFont val="Calibri"/>
        <family val="2"/>
        <charset val="204"/>
        <scheme val="minor"/>
      </rPr>
      <t xml:space="preserve">400 мм PN10 в обсадна стом. тр. </t>
    </r>
    <r>
      <rPr>
        <b/>
        <u/>
        <sz val="8"/>
        <rFont val="Calibri"/>
        <family val="2"/>
        <charset val="204"/>
      </rPr>
      <t>Ø</t>
    </r>
    <r>
      <rPr>
        <b/>
        <u/>
        <sz val="8"/>
        <rFont val="Calibri"/>
        <family val="2"/>
        <charset val="204"/>
        <scheme val="minor"/>
      </rPr>
      <t>600 мм</t>
    </r>
    <phoneticPr fontId="1"/>
  </si>
  <si>
    <t xml:space="preserve">автоматичен въздушник с тройно действие монтиран на тръба ф400 PN10 в съществуваща шахта </t>
    <phoneticPr fontId="1"/>
  </si>
  <si>
    <t xml:space="preserve">стоманобетонови прагове тип B L-15 </t>
    <phoneticPr fontId="1"/>
  </si>
  <si>
    <t xml:space="preserve">стоманобетонови прагове тип B L-20 </t>
    <phoneticPr fontId="1"/>
  </si>
  <si>
    <t xml:space="preserve">опорни блокове </t>
    <phoneticPr fontId="1"/>
  </si>
  <si>
    <t>РЕКАПИТУЛАЦИЯ:</t>
    <phoneticPr fontId="1"/>
  </si>
  <si>
    <t>лв.</t>
    <phoneticPr fontId="1"/>
  </si>
  <si>
    <t>Общо:</t>
    <phoneticPr fontId="1"/>
  </si>
  <si>
    <t>Временно строителство и непредвидени разходи (……... %):</t>
    <phoneticPr fontId="1"/>
  </si>
  <si>
    <t>Начислен ДДС (20 %)</t>
    <phoneticPr fontId="1"/>
  </si>
  <si>
    <t>лв. с ДДС</t>
    <phoneticPr fontId="1"/>
  </si>
  <si>
    <t>Забележка:</t>
    <phoneticPr fontId="1"/>
  </si>
  <si>
    <t>Попълват се само полетата с жълт цвят!</t>
    <phoneticPr fontId="1"/>
  </si>
  <si>
    <t>Дата:</t>
    <phoneticPr fontId="1"/>
  </si>
  <si>
    <t>год.</t>
    <phoneticPr fontId="1"/>
  </si>
  <si>
    <t>Подпис и печат:</t>
    <phoneticPr fontId="1"/>
  </si>
  <si>
    <t>(име и фамилия)</t>
    <phoneticPr fontId="1"/>
  </si>
  <si>
    <t>(длъжност на представляващия)</t>
    <phoneticPr fontId="1"/>
  </si>
  <si>
    <t>Нетна строителна стойност на строежа:</t>
    <phoneticPr fontId="1"/>
  </si>
  <si>
    <t>Пълна строителна стойност на строежа:</t>
    <phoneticPr fontId="1"/>
  </si>
  <si>
    <t xml:space="preserve">„Реконструкция и изместване на довеждащ водопровод от изравнител 4000 м3 на ВЕЦ „Видима“ гр.Априлци до облекчителна шахта в т.293“ </t>
    <phoneticPr fontId="1"/>
  </si>
  <si>
    <t xml:space="preserve">Анализ № 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</si>
</sst>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7" formatCode="[$-402]General"/>
    <numFmt numFmtId="164" formatCode="###\ ###\ ###\ ##0.00&quot; лв.&quot;"/>
    <numFmt numFmtId="168" formatCode="[$-402]0.00"/>
    <numFmt numFmtId="165" formatCode="###\ ###\ ##0.000"/>
    <numFmt numFmtId="166" formatCode="#,##0.00\ _л_в_."/>
  </numFmts>
  <fonts count="27" x14ac:knownFonts="1">
    <font>
      <sz val="11"/>
      <color theme="1"/>
      <name val="Calibri"/>
      <family val="2"/>
      <scheme val="minor"/>
    </font>
    <font>
      <b/>
      <sz val="12"/>
      <name val="Calibri"/>
      <family val="2"/>
      <charset val="204"/>
      <scheme val="minor"/>
    </font>
    <font>
      <sz val="4"/>
      <name val="Calibri"/>
      <family val="2"/>
      <charset val="204"/>
      <scheme val="minor"/>
    </font>
    <font>
      <u/>
      <sz val="1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vertAlign val="superscript"/>
      <sz val="8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u/>
      <sz val="8"/>
      <name val="Calibri"/>
      <family val="2"/>
      <charset val="204"/>
      <scheme val="minor"/>
    </font>
    <font>
      <b/>
      <u/>
      <sz val="8"/>
      <name val="Calibri"/>
      <family val="2"/>
      <charset val="204"/>
    </font>
    <font>
      <sz val="8"/>
      <name val="Calibri"/>
      <family val="2"/>
      <charset val="204"/>
    </font>
    <font>
      <b/>
      <u/>
      <sz val="12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sz val="2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2"/>
      <name val="Calibri"/>
      <family val="2"/>
      <charset val="204"/>
      <scheme val="minor"/>
    </font>
    <font>
      <b/>
      <i/>
      <u/>
      <sz val="12"/>
      <name val="Calibri"/>
      <family val="2"/>
      <charset val="204"/>
      <scheme val="minor"/>
    </font>
    <font>
      <i/>
      <sz val="12"/>
      <color rgb="FFFF0000"/>
      <name val="Calibri"/>
      <family val="2"/>
      <charset val="204"/>
      <scheme val="minor"/>
    </font>
    <font>
      <sz val="8"/>
      <name val="Calibri"/>
      <family val="2"/>
      <scheme val="minor"/>
    </font>
    <font>
      <sz val="10"/>
      <name val="Calibri"/>
      <family val="2"/>
      <charset val="204"/>
      <scheme val="minor"/>
    </font>
    <font>
      <i/>
      <sz val="8"/>
      <name val="Calibri"/>
      <family val="2"/>
      <charset val="204"/>
      <scheme val="minor"/>
    </font>
    <font>
      <i/>
      <sz val="10"/>
      <name val="Calibri"/>
      <family val="2"/>
      <charset val="204"/>
      <scheme val="minor"/>
    </font>
    <font>
      <i/>
      <sz val="6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7" fontId="18" fillId="0" borderId="0" applyBorder="0" applyProtection="0"/>
  </cellStyleXfs>
  <cellXfs count="156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 applyProtection="1">
      <alignment horizontal="right" vertical="center" wrapText="1"/>
      <protection locked="0"/>
    </xf>
    <xf numFmtId="0" fontId="7" fillId="3" borderId="1" xfId="0" applyFont="1" applyFill="1" applyBorder="1" applyAlignment="1" applyProtection="1">
      <alignment horizontal="center" vertical="top" wrapText="1"/>
      <protection locked="0"/>
    </xf>
    <xf numFmtId="0" fontId="7" fillId="0" borderId="1" xfId="0" applyFont="1" applyFill="1" applyBorder="1" applyAlignment="1">
      <alignment vertical="top" wrapText="1"/>
    </xf>
    <xf numFmtId="0" fontId="7" fillId="0" borderId="1" xfId="0" applyFont="1" applyFill="1" applyBorder="1" applyAlignment="1">
      <alignment horizontal="center" wrapText="1"/>
    </xf>
    <xf numFmtId="2" fontId="7" fillId="3" borderId="1" xfId="0" applyFont="1" applyNumberFormat="1" applyFill="1" applyBorder="1" applyAlignment="1" applyProtection="1">
      <alignment horizontal="right" vertical="center" wrapText="1"/>
      <protection locked="0"/>
    </xf>
    <xf numFmtId="2" fontId="7" fillId="3" borderId="1" xfId="0" applyFont="1" applyNumberFormat="1" applyFill="1" applyBorder="1" applyAlignment="1" applyProtection="1">
      <alignment horizontal="right" wrapText="1"/>
      <protection locked="0"/>
    </xf>
    <xf numFmtId="0" fontId="10" fillId="2" borderId="0" xfId="0" applyFont="1" applyFill="1" applyBorder="1" applyAlignment="1">
      <alignment vertical="center" wrapText="1"/>
    </xf>
    <xf numFmtId="2" fontId="10" fillId="2" borderId="0" xfId="0" applyFont="1" applyNumberFormat="1" applyFill="1" applyBorder="1" applyAlignment="1">
      <alignment vertical="center" wrapText="1"/>
    </xf>
    <xf numFmtId="0" fontId="10" fillId="0" borderId="0" xfId="0" applyFont="1" applyFill="1" applyAlignment="1">
      <alignment vertical="center" wrapText="1"/>
    </xf>
    <xf numFmtId="2" fontId="10" fillId="0" borderId="0" xfId="0" applyFont="1" applyNumberFormat="1" applyFill="1" applyAlignment="1">
      <alignment vertical="center" wrapText="1"/>
    </xf>
    <xf numFmtId="2" fontId="7" fillId="0" borderId="0" xfId="0" applyFont="1" applyNumberFormat="1" applyFill="1" applyAlignment="1">
      <alignment horizontal="right" vertical="center" wrapText="1"/>
    </xf>
    <xf numFmtId="0" fontId="7" fillId="3" borderId="1" xfId="0" applyFont="1" applyFill="1" applyBorder="1" applyAlignment="1" applyProtection="1">
      <alignment vertical="top" wrapText="1"/>
      <protection locked="0"/>
    </xf>
    <xf numFmtId="0" fontId="7" fillId="0" borderId="1" xfId="0" applyFont="1" applyFill="1" applyBorder="1" applyAlignment="1">
      <alignment horizontal="center"/>
    </xf>
    <xf numFmtId="0" fontId="7" fillId="0" borderId="0" xfId="0" applyFont="1" applyFill="1" applyAlignment="1">
      <alignment horizontal="right" vertical="center" wrapText="1"/>
    </xf>
    <xf numFmtId="164" fontId="7" fillId="0" borderId="0" xfId="0" applyFont="1" applyNumberFormat="1" applyFill="1" applyAlignment="1">
      <alignment horizontal="right" vertical="center" wrapText="1"/>
    </xf>
    <xf numFmtId="165" fontId="7" fillId="0" borderId="0" xfId="0" applyFont="1" applyNumberFormat="1" applyFill="1" applyAlignment="1">
      <alignment horizontal="right" vertical="center" wrapText="1"/>
    </xf>
    <xf numFmtId="0" fontId="10" fillId="0" borderId="0" xfId="0" applyFont="1" applyFill="1" applyAlignment="1">
      <alignment wrapText="1"/>
    </xf>
    <xf numFmtId="2" fontId="10" fillId="0" borderId="0" xfId="0" applyFont="1" applyNumberFormat="1" applyFill="1" applyAlignment="1">
      <alignment wrapText="1"/>
    </xf>
    <xf numFmtId="0" fontId="10" fillId="2" borderId="0" xfId="0" applyFont="1" applyFill="1" applyAlignment="1">
      <alignment vertical="center" wrapText="1"/>
    </xf>
    <xf numFmtId="2" fontId="10" fillId="2" borderId="0" xfId="0" applyFont="1" applyNumberFormat="1" applyFill="1" applyAlignment="1">
      <alignment vertical="center" wrapText="1"/>
    </xf>
    <xf numFmtId="49" fontId="7" fillId="0" borderId="3" xfId="0" applyFont="1" applyNumberFormat="1" applyFill="1" applyBorder="1" applyAlignment="1" applyProtection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49" fontId="7" fillId="0" borderId="3" xfId="0" applyFont="1" applyNumberFormat="1" applyFill="1" applyBorder="1" applyAlignment="1" applyProtection="1">
      <alignment horizontal="center" vertical="top" wrapText="1"/>
    </xf>
    <xf numFmtId="0" fontId="6" fillId="0" borderId="0" xfId="0" applyFont="1" applyFill="1" applyBorder="1" applyAlignment="1">
      <alignment horizontal="center" vertical="top" wrapText="1"/>
    </xf>
    <xf numFmtId="0" fontId="10" fillId="0" borderId="1" xfId="0" applyFont="1" applyFill="1" applyBorder="1" applyAlignment="1">
      <alignment wrapText="1"/>
    </xf>
    <xf numFmtId="0" fontId="14" fillId="0" borderId="0" xfId="0" applyFont="1" applyFill="1" applyAlignment="1">
      <alignment horizontal="right" vertical="center" wrapText="1"/>
    </xf>
    <xf numFmtId="164" fontId="14" fillId="0" borderId="0" xfId="0" applyFont="1" applyNumberFormat="1" applyFill="1" applyAlignment="1">
      <alignment horizontal="right" vertical="center" wrapText="1"/>
    </xf>
    <xf numFmtId="0" fontId="14" fillId="0" borderId="0" xfId="0" applyFont="1" applyFill="1" applyAlignment="1">
      <alignment vertical="center" wrapText="1"/>
    </xf>
    <xf numFmtId="2" fontId="14" fillId="0" borderId="0" xfId="0" applyFont="1" applyNumberFormat="1" applyFill="1" applyAlignment="1">
      <alignment vertical="center" wrapText="1"/>
    </xf>
    <xf numFmtId="0" fontId="15" fillId="0" borderId="0" xfId="0" applyFont="1" applyFill="1" applyBorder="1" applyAlignment="1">
      <alignment vertical="center" wrapText="1"/>
    </xf>
    <xf numFmtId="0" fontId="15" fillId="0" borderId="0" xfId="0" applyFont="1" applyFill="1" applyBorder="1" applyAlignment="1">
      <alignment horizontal="center" vertical="center" wrapText="1"/>
    </xf>
    <xf numFmtId="49" fontId="15" fillId="0" borderId="0" xfId="0" applyFont="1" applyNumberFormat="1" applyFill="1" applyBorder="1" applyAlignment="1">
      <alignment vertical="center" wrapText="1"/>
    </xf>
    <xf numFmtId="166" fontId="15" fillId="0" borderId="0" xfId="0" applyFont="1" applyNumberFormat="1" applyFill="1" applyBorder="1" applyAlignment="1">
      <alignment vertical="center" wrapText="1"/>
    </xf>
    <xf numFmtId="49" fontId="7" fillId="0" borderId="0" xfId="0" applyFont="1" applyNumberFormat="1" applyFill="1" applyBorder="1" applyAlignment="1">
      <alignment vertical="center" wrapText="1"/>
    </xf>
    <xf numFmtId="164" fontId="15" fillId="0" borderId="0" xfId="0" applyFont="1" applyNumberFormat="1" applyFill="1" applyBorder="1" applyAlignment="1">
      <alignment horizontal="right" vertical="center" wrapText="1"/>
    </xf>
    <xf numFmtId="2" fontId="15" fillId="0" borderId="0" xfId="0" applyFont="1" applyNumberFormat="1" applyFill="1" applyBorder="1" applyAlignment="1">
      <alignment vertical="center" wrapText="1"/>
    </xf>
    <xf numFmtId="0" fontId="16" fillId="0" borderId="0" xfId="0" applyFont="1" applyFill="1" applyBorder="1" applyAlignment="1">
      <alignment vertical="center" wrapText="1"/>
    </xf>
    <xf numFmtId="0" fontId="16" fillId="0" borderId="0" xfId="0" applyFont="1" applyFill="1" applyBorder="1" applyAlignment="1">
      <alignment horizontal="center" vertical="center" wrapText="1"/>
    </xf>
    <xf numFmtId="49" fontId="16" fillId="0" borderId="0" xfId="0" applyFont="1" applyNumberFormat="1" applyFill="1" applyBorder="1" applyAlignment="1">
      <alignment horizontal="right" vertical="center" wrapText="1"/>
    </xf>
    <xf numFmtId="166" fontId="16" fillId="0" borderId="0" xfId="0" applyFont="1" applyNumberFormat="1" applyFill="1" applyBorder="1" applyAlignment="1">
      <alignment horizontal="right" vertical="center" wrapText="1"/>
    </xf>
    <xf numFmtId="0" fontId="16" fillId="0" borderId="0" xfId="0" applyFont="1" applyFill="1" applyBorder="1" applyAlignment="1">
      <alignment horizontal="right" vertical="center" wrapText="1"/>
    </xf>
    <xf numFmtId="164" fontId="16" fillId="0" borderId="0" xfId="0" applyFont="1" applyNumberFormat="1" applyFill="1" applyBorder="1" applyAlignment="1">
      <alignment horizontal="right" vertical="center" wrapText="1"/>
    </xf>
    <xf numFmtId="2" fontId="16" fillId="0" borderId="0" xfId="0" applyFont="1" applyNumberFormat="1" applyFill="1" applyBorder="1" applyAlignment="1">
      <alignment vertical="center" wrapText="1"/>
    </xf>
    <xf numFmtId="0" fontId="17" fillId="0" borderId="0" xfId="0" applyFont="1" applyFill="1" applyBorder="1" applyAlignment="1">
      <alignment vertical="center" wrapText="1"/>
    </xf>
    <xf numFmtId="166" fontId="17" fillId="0" borderId="0" xfId="0" applyFont="1" applyNumberFormat="1" applyFill="1" applyBorder="1" applyAlignment="1">
      <alignment vertical="center" wrapText="1"/>
    </xf>
    <xf numFmtId="2" fontId="17" fillId="0" borderId="0" xfId="0" applyFont="1" applyNumberFormat="1" applyFill="1" applyBorder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 applyProtection="1">
      <alignment horizontal="left" vertical="center" wrapText="1"/>
      <protection locked="0"/>
    </xf>
    <xf numFmtId="166" fontId="7" fillId="0" borderId="0" xfId="0" applyFont="1" applyNumberFormat="1" applyFill="1" applyBorder="1" applyAlignment="1" applyProtection="1">
      <alignment vertical="center" wrapText="1"/>
      <protection locked="0"/>
    </xf>
    <xf numFmtId="166" fontId="7" fillId="3" borderId="0" xfId="0" applyFont="1" applyNumberFormat="1" applyFill="1" applyBorder="1" applyAlignment="1" applyProtection="1">
      <alignment vertical="center" wrapText="1"/>
      <protection locked="0"/>
    </xf>
    <xf numFmtId="2" fontId="7" fillId="0" borderId="0" xfId="0" applyFont="1" applyNumberFormat="1" applyFill="1" applyBorder="1" applyAlignment="1">
      <alignment vertical="center" wrapText="1"/>
    </xf>
    <xf numFmtId="0" fontId="10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horizontal="left" vertical="center" wrapText="1"/>
    </xf>
    <xf numFmtId="166" fontId="7" fillId="0" borderId="0" xfId="0" applyFont="1" applyNumberFormat="1" applyFill="1" applyBorder="1" applyAlignment="1">
      <alignment vertical="center" wrapText="1"/>
    </xf>
    <xf numFmtId="2" fontId="10" fillId="0" borderId="0" xfId="0" applyFont="1" applyNumberForma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left" vertical="center" wrapText="1"/>
    </xf>
    <xf numFmtId="166" fontId="6" fillId="0" borderId="0" xfId="0" applyFont="1" applyNumberFormat="1" applyFill="1" applyBorder="1" applyAlignment="1">
      <alignment vertical="center" wrapText="1"/>
    </xf>
    <xf numFmtId="2" fontId="6" fillId="0" borderId="0" xfId="0" applyFont="1" applyNumberFormat="1" applyFill="1" applyBorder="1" applyAlignment="1">
      <alignment vertical="center" wrapText="1"/>
    </xf>
    <xf numFmtId="166" fontId="6" fillId="0" borderId="0" xfId="0" applyFont="1" applyNumberFormat="1" applyFill="1" applyBorder="1" applyAlignment="1">
      <alignment horizontal="right" vertical="center" wrapText="1"/>
    </xf>
    <xf numFmtId="164" fontId="6" fillId="0" borderId="0" xfId="0" applyFont="1" applyNumberFormat="1" applyFill="1" applyBorder="1" applyAlignment="1">
      <alignment horizontal="right" vertical="center" wrapText="1"/>
    </xf>
    <xf numFmtId="49" fontId="19" fillId="0" borderId="0" xfId="0" applyFont="1" applyNumberFormat="1" applyFill="1" applyAlignment="1">
      <alignment horizontal="center" vertical="center"/>
    </xf>
    <xf numFmtId="49" fontId="20" fillId="0" borderId="0" xfId="0" applyFont="1" applyNumberFormat="1" applyFill="1" applyAlignment="1">
      <alignment horizontal="center" vertical="center"/>
    </xf>
    <xf numFmtId="167" fontId="21" fillId="0" borderId="0" xfId="0" applyFont="1" applyFill="1" applyAlignment="1">
      <alignment vertical="center"/>
    </xf>
    <xf numFmtId="167" fontId="19" fillId="0" borderId="0" xfId="0" applyFont="1" applyFill="1" applyAlignment="1">
      <alignment vertical="center"/>
    </xf>
    <xf numFmtId="168" fontId="19" fillId="0" borderId="0" xfId="0" applyFont="1" applyNumberFormat="1" applyFill="1" applyAlignment="1">
      <alignment horizontal="center" vertical="center"/>
    </xf>
    <xf numFmtId="167" fontId="10" fillId="0" borderId="0" xfId="0" applyFont="1" applyFill="1" applyAlignment="1"/>
    <xf numFmtId="167" fontId="4" fillId="0" borderId="0" xfId="0" applyFont="1" applyFill="1" applyAlignment="1"/>
    <xf numFmtId="0" fontId="22" fillId="0" borderId="0" xfId="0" applyFont="1" applyAlignment="1">
      <alignment wrapText="1"/>
    </xf>
    <xf numFmtId="49" fontId="10" fillId="0" borderId="0" xfId="0" applyFont="1" applyNumberFormat="1" applyFill="1" applyAlignment="1">
      <alignment horizontal="center" vertical="center"/>
    </xf>
    <xf numFmtId="167" fontId="10" fillId="0" borderId="0" xfId="0" applyFont="1" applyFill="1" applyAlignment="1">
      <alignment horizontal="center" vertical="center"/>
    </xf>
    <xf numFmtId="168" fontId="10" fillId="0" borderId="0" xfId="0" applyFont="1" applyNumberFormat="1" applyFill="1" applyAlignment="1">
      <alignment horizontal="center" vertical="center"/>
    </xf>
    <xf numFmtId="49" fontId="23" fillId="0" borderId="0" xfId="0" applyFont="1" applyNumberFormat="1" applyFill="1" applyAlignment="1">
      <alignment horizontal="right" vertical="center"/>
    </xf>
    <xf numFmtId="49" fontId="23" fillId="3" borderId="4" xfId="0" applyFont="1" applyNumberFormat="1" applyFill="1" applyBorder="1" applyAlignment="1" applyProtection="1">
      <alignment horizontal="center" vertical="center"/>
      <protection locked="0"/>
    </xf>
    <xf numFmtId="167" fontId="23" fillId="0" borderId="0" xfId="0" applyFont="1" applyFill="1" applyAlignment="1">
      <alignment horizontal="left"/>
    </xf>
    <xf numFmtId="0" fontId="22" fillId="0" borderId="0" xfId="0" applyFont="1" applyAlignment="1">
      <alignment horizontal="right" wrapText="1"/>
    </xf>
    <xf numFmtId="0" fontId="10" fillId="0" borderId="0" xfId="0" applyFont="1" applyFill="1" applyBorder="1" applyAlignment="1"/>
    <xf numFmtId="49" fontId="23" fillId="0" borderId="0" xfId="0" applyFont="1" applyNumberFormat="1" applyFill="1" applyAlignment="1">
      <alignment vertical="center"/>
    </xf>
    <xf numFmtId="49" fontId="23" fillId="0" borderId="0" xfId="0" applyFont="1" applyNumberFormat="1" applyFill="1" applyAlignment="1">
      <alignment horizontal="center" vertical="center"/>
    </xf>
    <xf numFmtId="167" fontId="23" fillId="0" borderId="0" xfId="0" applyFont="1" applyFill="1" applyAlignment="1">
      <alignment vertical="center"/>
    </xf>
    <xf numFmtId="167" fontId="23" fillId="0" borderId="0" xfId="0" applyFont="1" applyFill="1" applyAlignment="1"/>
    <xf numFmtId="167" fontId="6" fillId="0" borderId="0" xfId="0" applyFont="1" applyFill="1" applyAlignment="1"/>
    <xf numFmtId="0" fontId="23" fillId="0" borderId="0" xfId="0" applyFont="1" applyAlignment="1">
      <alignment wrapText="1"/>
    </xf>
    <xf numFmtId="167" fontId="25" fillId="0" borderId="0" xfId="0" applyFont="1" applyFill="1" applyAlignment="1">
      <alignment vertical="center"/>
    </xf>
    <xf numFmtId="167" fontId="26" fillId="0" borderId="0" xfId="0" applyFont="1" applyFill="1" applyBorder="1" applyAlignment="1">
      <alignment vertical="center"/>
    </xf>
    <xf numFmtId="0" fontId="7" fillId="0" borderId="0" xfId="0" applyFont="1" applyFill="1" applyAlignment="1">
      <alignment vertical="center" wrapText="1"/>
    </xf>
    <xf numFmtId="0" fontId="7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left" vertical="center" wrapText="1"/>
    </xf>
    <xf numFmtId="167" fontId="23" fillId="3" borderId="2" xfId="0" applyFont="1" applyFill="1" applyBorder="1" applyAlignment="1" applyProtection="1">
      <alignment horizontal="center"/>
      <protection locked="0"/>
    </xf>
    <xf numFmtId="167" fontId="24" fillId="0" borderId="0" xfId="0" applyFont="1" applyFill="1" applyBorder="1" applyAlignment="1">
      <alignment horizontal="center" vertical="center"/>
    </xf>
    <xf numFmtId="0" fontId="14" fillId="0" borderId="0" xfId="0" applyFont="1" applyFill="1" applyAlignment="1">
      <alignment horizontal="center" vertical="center" wrapText="1"/>
    </xf>
    <xf numFmtId="4" fontId="17" fillId="0" borderId="0" xfId="0" applyFont="1" applyNumberFormat="1" applyFill="1" applyBorder="1" applyAlignment="1">
      <alignment horizontal="right" vertical="center" wrapText="1"/>
    </xf>
    <xf numFmtId="4" fontId="7" fillId="0" borderId="0" xfId="0" applyFont="1" applyNumberFormat="1" applyFill="1" applyBorder="1" applyAlignment="1">
      <alignment horizontal="right" vertical="center" wrapText="1"/>
    </xf>
    <xf numFmtId="4" fontId="6" fillId="0" borderId="0" xfId="0" applyFont="1" applyNumberFormat="1" applyFill="1" applyBorder="1" applyAlignment="1">
      <alignment horizontal="right" vertical="center" wrapText="1"/>
    </xf>
    <xf numFmtId="167" fontId="4" fillId="0" borderId="0" xfId="0" applyFont="1" applyFill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right" vertical="center" wrapText="1"/>
    </xf>
    <xf numFmtId="0" fontId="9" fillId="4" borderId="1" xfId="0" applyFont="1" applyFill="1" applyBorder="1" applyAlignment="1">
      <alignment vertical="center" wrapText="1"/>
    </xf>
    <xf numFmtId="2" fontId="7" fillId="0" borderId="1" xfId="0" applyFont="1" applyNumberFormat="1" applyFill="1" applyBorder="1" applyAlignment="1">
      <alignment horizontal="right" vertical="center" wrapText="1"/>
    </xf>
    <xf numFmtId="164" fontId="7" fillId="0" borderId="1" xfId="0" applyFont="1" applyNumberFormat="1" applyFill="1" applyBorder="1" applyAlignment="1">
      <alignment horizontal="right" vertical="center" wrapText="1"/>
    </xf>
    <xf numFmtId="0" fontId="9" fillId="5" borderId="1" xfId="0" applyFont="1" applyFill="1" applyBorder="1" applyAlignment="1">
      <alignment vertical="center" wrapText="1"/>
    </xf>
    <xf numFmtId="2" fontId="7" fillId="0" borderId="1" xfId="0" applyFont="1" applyNumberFormat="1" applyFill="1" applyBorder="1" applyAlignment="1">
      <alignment horizontal="right" wrapText="1"/>
    </xf>
    <xf numFmtId="164" fontId="7" fillId="0" borderId="1" xfId="0" applyFont="1" applyNumberFormat="1" applyFill="1" applyBorder="1" applyAlignment="1">
      <alignment horizontal="right" wrapText="1"/>
    </xf>
    <xf numFmtId="0" fontId="9" fillId="6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horizontal="right" wrapText="1"/>
    </xf>
    <xf numFmtId="0" fontId="7" fillId="7" borderId="1" xfId="0" applyFont="1" applyFill="1" applyBorder="1" applyAlignment="1">
      <alignment horizontal="right" wrapText="1"/>
    </xf>
    <xf numFmtId="164" fontId="5" fillId="7" borderId="1" xfId="0" applyFont="1" applyNumberFormat="1" applyFill="1" applyBorder="1" applyAlignment="1">
      <alignment horizontal="right" wrapText="1"/>
    </xf>
    <xf numFmtId="0" fontId="7" fillId="7" borderId="1" xfId="0" applyFont="1" applyFill="1" applyBorder="1" applyAlignment="1">
      <alignment horizontal="right" vertical="center" wrapText="1"/>
    </xf>
    <xf numFmtId="0" fontId="7" fillId="7" borderId="1" xfId="0" applyFont="1" applyFill="1" applyBorder="1" applyAlignment="1">
      <alignment horizontal="right" vertical="center" wrapText="1"/>
    </xf>
    <xf numFmtId="164" fontId="5" fillId="7" borderId="1" xfId="0" applyFont="1" applyNumberFormat="1" applyFill="1" applyBorder="1" applyAlignment="1">
      <alignment horizontal="right" vertical="center" wrapText="1"/>
    </xf>
    <xf numFmtId="1" fontId="7" fillId="0" borderId="1" xfId="0" applyFont="1" applyNumberFormat="1" applyFill="1" applyBorder="1" applyAlignment="1">
      <alignment horizontal="right" vertical="center" wrapText="1"/>
    </xf>
    <xf numFmtId="1" fontId="7" fillId="0" borderId="1" xfId="0" applyFont="1" applyNumberFormat="1" applyFill="1" applyBorder="1" applyAlignment="1">
      <alignment horizontal="right" wrapText="1"/>
    </xf>
    <xf numFmtId="164" fontId="5" fillId="0" borderId="1" xfId="0" applyFont="1" applyNumberFormat="1" applyFill="1" applyBorder="1" applyAlignment="1">
      <alignment horizontal="right" wrapText="1"/>
    </xf>
    <xf numFmtId="1" fontId="7" fillId="0" borderId="1" xfId="0" applyFont="1" applyNumberFormat="1" applyFill="1" applyBorder="1" applyAlignment="1">
      <alignment horizontal="right"/>
    </xf>
    <xf numFmtId="164" fontId="7" fillId="0" borderId="1" xfId="0" applyFont="1" applyNumberFormat="1" applyFill="1" applyBorder="1" applyAlignment="1">
      <alignment horizontal="right"/>
    </xf>
    <xf numFmtId="0" fontId="1" fillId="0" borderId="1" xfId="0" applyFont="1" applyFill="1" applyBorder="1" applyAlignment="1">
      <alignment vertical="center" wrapText="1"/>
    </xf>
    <xf numFmtId="0" fontId="11" fillId="8" borderId="1" xfId="0" applyFont="1" applyFill="1" applyBorder="1" applyAlignment="1">
      <alignment horizontal="center" vertical="center" wrapText="1"/>
    </xf>
    <xf numFmtId="165" fontId="7" fillId="0" borderId="1" xfId="0" applyFont="1" applyNumberFormat="1" applyFill="1" applyBorder="1" applyAlignment="1">
      <alignment horizontal="right" vertical="center" wrapText="1"/>
    </xf>
    <xf numFmtId="0" fontId="11" fillId="8" borderId="1" xfId="0" applyFont="1" applyFill="1" applyBorder="1" applyAlignment="1">
      <alignment horizontal="center" vertical="top" wrapText="1"/>
    </xf>
    <xf numFmtId="2" fontId="1" fillId="0" borderId="1" xfId="0" applyFont="1" applyNumberFormat="1" applyFill="1" applyBorder="1" applyAlignment="1">
      <alignment vertical="center" wrapText="1"/>
    </xf>
    <xf numFmtId="2" fontId="5" fillId="7" borderId="1" xfId="0" applyFont="1" applyNumberFormat="1" applyFill="1" applyBorder="1" applyAlignment="1">
      <alignment horizontal="right" vertical="center"/>
    </xf>
    <xf numFmtId="164" fontId="7" fillId="7" borderId="1" xfId="0" applyFont="1" applyNumberFormat="1" applyFill="1" applyBorder="1" applyAlignment="1">
      <alignment horizontal="right" vertical="center" wrapText="1"/>
    </xf>
    <xf numFmtId="0" fontId="7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right" vertical="center"/>
    </xf>
    <xf numFmtId="164" fontId="7" fillId="0" borderId="1" xfId="0" applyFont="1" applyNumberFormat="1" applyFill="1" applyBorder="1" applyAlignment="1">
      <alignment horizontal="right" vertical="center"/>
    </xf>
    <xf numFmtId="2" fontId="13" fillId="0" borderId="1" xfId="0" applyFont="1" applyNumberFormat="1" applyFill="1" applyBorder="1" applyAlignment="1">
      <alignment horizontal="right" vertical="center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3" fillId="0" borderId="3" xfId="0" applyFont="1" applyFill="1" applyBorder="1" applyAlignment="1">
      <alignment horizontal="right" vertical="center" wrapText="1"/>
    </xf>
    <xf numFmtId="0" fontId="5" fillId="7" borderId="3" xfId="0" applyFont="1" applyFill="1" applyBorder="1" applyAlignment="1">
      <alignment horizontal="right" wrapText="1"/>
    </xf>
    <xf numFmtId="0" fontId="10" fillId="0" borderId="8" xfId="0" applyFont="1" applyFill="1" applyBorder="1" applyAlignment="1">
      <alignment wrapText="1"/>
    </xf>
    <xf numFmtId="0" fontId="7" fillId="7" borderId="3" xfId="0" applyFont="1" applyFill="1" applyBorder="1" applyAlignment="1">
      <alignment horizontal="right" vertical="center" wrapText="1"/>
    </xf>
    <xf numFmtId="0" fontId="10" fillId="0" borderId="8" xfId="0" applyFont="1" applyFill="1" applyBorder="1" applyAlignment="1">
      <alignment vertical="center" wrapText="1"/>
    </xf>
    <xf numFmtId="0" fontId="10" fillId="2" borderId="8" xfId="0" applyFont="1" applyFill="1" applyBorder="1" applyAlignment="1">
      <alignment vertical="center" wrapText="1"/>
    </xf>
    <xf numFmtId="0" fontId="11" fillId="8" borderId="3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top" wrapText="1"/>
    </xf>
    <xf numFmtId="2" fontId="5" fillId="7" borderId="3" xfId="0" applyFont="1" applyNumberFormat="1" applyFill="1" applyBorder="1" applyAlignment="1">
      <alignment horizontal="right" vertical="center"/>
    </xf>
    <xf numFmtId="2" fontId="5" fillId="7" borderId="9" xfId="0" applyFont="1" applyNumberFormat="1" applyFill="1" applyBorder="1" applyAlignment="1">
      <alignment horizontal="right" vertical="center"/>
    </xf>
    <xf numFmtId="2" fontId="5" fillId="7" borderId="10" xfId="0" applyFont="1" applyNumberFormat="1" applyFill="1" applyBorder="1" applyAlignment="1">
      <alignment horizontal="right" vertical="center"/>
    </xf>
    <xf numFmtId="0" fontId="7" fillId="7" borderId="10" xfId="0" applyFont="1" applyFill="1" applyBorder="1" applyAlignment="1">
      <alignment horizontal="right" vertical="center" wrapText="1"/>
    </xf>
    <xf numFmtId="164" fontId="7" fillId="7" borderId="10" xfId="0" applyFont="1" applyNumberFormat="1" applyFill="1" applyBorder="1" applyAlignment="1">
      <alignment horizontal="right" vertical="center" wrapText="1"/>
    </xf>
    <xf numFmtId="0" fontId="10" fillId="0" borderId="11" xfId="0" applyFont="1" applyFill="1" applyBorder="1" applyAlignment="1">
      <alignment vertical="center" wrapText="1"/>
    </xf>
    <xf numFmtId="0" fontId="0" fillId="2" borderId="8" xfId="0" applyFill="1" applyBorder="1"/>
  </cellXfs>
  <cellStyles count="2">
    <cellStyle name="Excel Built-in Normal" xfId="1" builtinId="0"/>
    <cellStyle name="Normal" xfId="0" builtinId="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747"/>
  <sheetViews>
    <sheetView tabSelected="1" view="pageBreakPreview" zoomScaleNormal="100" zoomScaleSheetLayoutView="100" workbookViewId="0">
      <selection activeCell="O11" sqref="O11"/>
    </sheetView>
  </sheetViews>
  <sheetFormatPr defaultRowHeight="14.4" x14ac:dyDescent="0.3"/>
  <cols>
    <col min="1" max="1" width="5.109375" customWidth="1"/>
    <col min="2" max="2" width="13.88671875" customWidth="1"/>
    <col min="3" max="3" width="57.88671875" customWidth="1"/>
    <col min="5" max="5" width="14.109375" customWidth="1"/>
    <col min="7" max="7" width="19.5546875" customWidth="1"/>
  </cols>
  <sheetData>
    <row r="1" spans="1:7" ht="15.6" x14ac:dyDescent="0.3">
      <c r="A1" t="s" s="102">
        <v>0</v>
      </c>
      <c r="B1" s="102"/>
      <c r="C1" s="102"/>
      <c r="D1" s="102"/>
      <c r="E1" s="102"/>
      <c r="F1" s="102"/>
      <c r="G1" s="102"/>
    </row>
    <row r="2" spans="1:7" x14ac:dyDescent="0.3">
      <c r="A2" s="1"/>
      <c r="B2" s="2"/>
      <c r="C2" s="1"/>
      <c r="D2" s="1"/>
      <c r="E2" s="1"/>
      <c r="F2" s="1"/>
      <c r="G2" s="1"/>
    </row>
    <row r="3" spans="1:7" ht="15" customHeight="1" x14ac:dyDescent="0.3">
      <c r="A3" t="s" s="103">
        <v>1</v>
      </c>
      <c r="B3" s="103">
        <v>1</v>
      </c>
      <c r="C3" t="s" s="104">
        <v>315</v>
      </c>
      <c r="D3" s="104"/>
      <c r="E3" s="104"/>
      <c r="F3" s="104"/>
      <c r="G3" s="104"/>
    </row>
    <row r="6" ht="15" thickBot="1" x14ac:dyDescent="0.35"/>
    <row r="7" spans="1:8" x14ac:dyDescent="0.3">
      <c r="A7" t="s" s="136">
        <v>2</v>
      </c>
      <c r="B7" s="137">
        <v>2</v>
      </c>
      <c r="C7" t="s" s="137">
        <v>4</v>
      </c>
      <c r="D7" t="s" s="137">
        <v>5</v>
      </c>
      <c r="E7" t="s" s="137">
        <v>6</v>
      </c>
      <c r="F7" t="s" s="137">
        <v>7</v>
      </c>
      <c r="G7" t="s" s="137">
        <v>8</v>
      </c>
      <c r="H7" t="s" s="138">
        <v>316</v>
      </c>
    </row>
    <row r="8" spans="1:8" x14ac:dyDescent="0.3">
      <c r="A8" t="s" s="139">
        <v>9</v>
      </c>
      <c r="B8" s="105"/>
      <c r="C8" s="105"/>
      <c r="D8" s="105"/>
      <c r="E8" s="105"/>
      <c r="F8" s="105"/>
      <c r="G8" s="105"/>
      <c r="H8" s="155"/>
    </row>
    <row r="9" spans="1:8" ht="15" customHeight="1" x14ac:dyDescent="0.3">
      <c r="A9" t="s" s="141">
        <v>26</v>
      </c>
      <c r="B9" s="106">
        <v>3</v>
      </c>
      <c r="C9" t="s" s="107">
        <v>27</v>
      </c>
      <c r="D9" s="107"/>
      <c r="E9" s="107"/>
      <c r="F9" s="107"/>
      <c r="G9" s="107"/>
      <c r="H9" s="140"/>
    </row>
    <row r="10" spans="1:8" x14ac:dyDescent="0.3">
      <c r="A10" s="26">
        <v>1</v>
      </c>
      <c r="B10" s="3">
        <v>4</v>
      </c>
      <c r="C10" t="s" s="4">
        <v>10</v>
      </c>
      <c r="D10" t="s" s="5">
        <v>11</v>
      </c>
      <c r="E10" s="108">
        <v>107.04</v>
      </c>
      <c r="F10" s="6"/>
      <c r="G10" t="str" s="109">
        <f t="shared" ref="G10:G22" si="0">E10*F10</f>
        <v>0</v>
      </c>
      <c r="H10" s="140"/>
    </row>
    <row r="11" spans="1:8" x14ac:dyDescent="0.3">
      <c r="A11" s="26">
        <v>2</v>
      </c>
      <c r="B11" s="3">
        <v>5</v>
      </c>
      <c r="C11" t="s" s="4">
        <v>12</v>
      </c>
      <c r="D11" t="s" s="5">
        <v>13</v>
      </c>
      <c r="E11" s="108">
        <v>150</v>
      </c>
      <c r="F11" s="6"/>
      <c r="G11" t="str" s="109">
        <f t="shared" si="0"/>
        <v>0</v>
      </c>
      <c r="H11" s="140"/>
    </row>
    <row r="12" spans="1:8" x14ac:dyDescent="0.3">
      <c r="A12" s="26">
        <v>3</v>
      </c>
      <c r="B12" s="3">
        <v>6</v>
      </c>
      <c r="C12" t="s" s="4">
        <v>14</v>
      </c>
      <c r="D12" t="s" s="5">
        <v>13</v>
      </c>
      <c r="E12" s="108">
        <v>150</v>
      </c>
      <c r="F12" s="6"/>
      <c r="G12" t="str" s="109">
        <f t="shared" si="0"/>
        <v>0</v>
      </c>
      <c r="H12" s="140"/>
    </row>
    <row r="13" spans="1:8" x14ac:dyDescent="0.3">
      <c r="A13" s="26">
        <v>4</v>
      </c>
      <c r="B13" s="3">
        <v>7</v>
      </c>
      <c r="C13" t="s" s="4">
        <v>15</v>
      </c>
      <c r="D13" t="s" s="5">
        <v>16</v>
      </c>
      <c r="E13" s="108">
        <v>8847</v>
      </c>
      <c r="F13" s="6"/>
      <c r="G13" t="str" s="109">
        <f t="shared" si="0"/>
        <v>0</v>
      </c>
      <c r="H13" s="140"/>
    </row>
    <row r="14" spans="1:8" x14ac:dyDescent="0.3">
      <c r="A14" s="26">
        <v>5</v>
      </c>
      <c r="B14" s="3">
        <v>8</v>
      </c>
      <c r="C14" t="s" s="4">
        <v>17</v>
      </c>
      <c r="D14" t="s" s="5">
        <v>13</v>
      </c>
      <c r="E14" s="108">
        <v>398</v>
      </c>
      <c r="F14" s="6"/>
      <c r="G14" t="str" s="109">
        <f t="shared" si="0"/>
        <v>0</v>
      </c>
      <c r="H14" s="140"/>
    </row>
    <row r="15" spans="1:8" ht="20.4" x14ac:dyDescent="0.3">
      <c r="A15" s="26">
        <v>6</v>
      </c>
      <c r="B15" s="3">
        <v>9</v>
      </c>
      <c r="C15" t="s" s="4">
        <v>18</v>
      </c>
      <c r="D15" t="s" s="5">
        <v>13</v>
      </c>
      <c r="E15" s="108">
        <v>40</v>
      </c>
      <c r="F15" s="6"/>
      <c r="G15" t="str" s="109">
        <f t="shared" si="0"/>
        <v>0</v>
      </c>
      <c r="H15" s="140"/>
    </row>
    <row r="16" spans="1:8" x14ac:dyDescent="0.3">
      <c r="A16" s="26">
        <v>7</v>
      </c>
      <c r="B16" s="3">
        <v>10</v>
      </c>
      <c r="C16" t="s" s="4">
        <v>19</v>
      </c>
      <c r="D16" t="s" s="5">
        <v>13</v>
      </c>
      <c r="E16" s="108">
        <v>1187</v>
      </c>
      <c r="F16" s="6"/>
      <c r="G16" t="str" s="109">
        <f t="shared" si="0"/>
        <v>0</v>
      </c>
      <c r="H16" s="140"/>
    </row>
    <row r="17" spans="1:8" ht="20.4" x14ac:dyDescent="0.3">
      <c r="A17" s="26">
        <v>8</v>
      </c>
      <c r="B17" s="3">
        <v>11</v>
      </c>
      <c r="C17" t="s" s="4">
        <v>20</v>
      </c>
      <c r="D17" t="s" s="5">
        <v>13</v>
      </c>
      <c r="E17" s="108">
        <v>2818</v>
      </c>
      <c r="F17" s="6"/>
      <c r="G17" t="str" s="109">
        <f t="shared" si="0"/>
        <v>0</v>
      </c>
      <c r="H17" s="140"/>
    </row>
    <row r="18" spans="1:8" ht="20.4" x14ac:dyDescent="0.3">
      <c r="A18" s="26">
        <v>9</v>
      </c>
      <c r="B18" s="3">
        <v>12</v>
      </c>
      <c r="C18" t="s" s="4">
        <v>21</v>
      </c>
      <c r="D18" t="s" s="5">
        <v>13</v>
      </c>
      <c r="E18" s="108">
        <v>289</v>
      </c>
      <c r="F18" s="6"/>
      <c r="G18" t="str" s="109">
        <f t="shared" si="0"/>
        <v>0</v>
      </c>
      <c r="H18" s="140"/>
    </row>
    <row r="19" spans="1:8" x14ac:dyDescent="0.3">
      <c r="A19" s="26">
        <v>10</v>
      </c>
      <c r="B19" s="3">
        <v>13</v>
      </c>
      <c r="C19" t="s" s="4">
        <v>22</v>
      </c>
      <c r="D19" t="s" s="5">
        <v>13</v>
      </c>
      <c r="E19" s="108">
        <v>675</v>
      </c>
      <c r="F19" s="6"/>
      <c r="G19" t="str" s="109">
        <f t="shared" si="0"/>
        <v>0</v>
      </c>
      <c r="H19" s="140"/>
    </row>
    <row r="20" spans="1:8" x14ac:dyDescent="0.3">
      <c r="A20" s="26">
        <v>11</v>
      </c>
      <c r="B20" s="3">
        <v>14</v>
      </c>
      <c r="C20" t="s" s="4">
        <v>23</v>
      </c>
      <c r="D20" t="s" s="5">
        <v>13</v>
      </c>
      <c r="E20" s="108">
        <v>7</v>
      </c>
      <c r="F20" s="6"/>
      <c r="G20" t="str" s="109">
        <f t="shared" si="0"/>
        <v>0</v>
      </c>
      <c r="H20" s="140"/>
    </row>
    <row r="21" spans="1:8" ht="20.4" x14ac:dyDescent="0.3">
      <c r="A21" s="26">
        <v>12</v>
      </c>
      <c r="B21" s="3">
        <v>15</v>
      </c>
      <c r="C21" t="s" s="4">
        <v>24</v>
      </c>
      <c r="D21" t="s" s="5">
        <v>13</v>
      </c>
      <c r="E21" s="108">
        <v>29</v>
      </c>
      <c r="F21" s="6"/>
      <c r="G21" t="str" s="109">
        <f t="shared" si="0"/>
        <v>0</v>
      </c>
      <c r="H21" s="140"/>
    </row>
    <row r="22" spans="1:8" ht="20.4" x14ac:dyDescent="0.3">
      <c r="A22" s="26">
        <v>13</v>
      </c>
      <c r="B22" s="3">
        <v>16</v>
      </c>
      <c r="C22" t="s" s="4">
        <v>25</v>
      </c>
      <c r="D22" t="s" s="5">
        <v>13</v>
      </c>
      <c r="E22" s="108">
        <v>37</v>
      </c>
      <c r="F22" s="6"/>
      <c r="G22" t="str" s="109">
        <f t="shared" si="0"/>
        <v>0</v>
      </c>
      <c r="H22" s="140"/>
    </row>
    <row r="23" spans="1:8" ht="15.6" x14ac:dyDescent="0.3">
      <c r="A23" t="s" s="141">
        <v>28</v>
      </c>
      <c r="B23" s="106">
        <v>17</v>
      </c>
      <c r="C23" t="s" s="110">
        <v>29</v>
      </c>
      <c r="D23" s="110"/>
      <c r="E23" s="110"/>
      <c r="F23" s="110"/>
      <c r="G23" s="110"/>
      <c r="H23" s="140"/>
    </row>
    <row r="24" spans="1:8" x14ac:dyDescent="0.3">
      <c r="A24" s="28">
        <v>1</v>
      </c>
      <c r="B24" s="7">
        <v>4</v>
      </c>
      <c r="C24" t="s" s="8">
        <v>10</v>
      </c>
      <c r="D24" t="s" s="9">
        <v>11</v>
      </c>
      <c r="E24" s="111">
        <v>144</v>
      </c>
      <c r="F24" s="10"/>
      <c r="G24" t="str" s="112">
        <f t="shared" ref="G24:G39" si="1">E24*F24</f>
        <v>0</v>
      </c>
      <c r="H24" s="140"/>
    </row>
    <row r="25" spans="1:8" x14ac:dyDescent="0.3">
      <c r="A25" s="28">
        <v>2</v>
      </c>
      <c r="B25" s="7">
        <v>5</v>
      </c>
      <c r="C25" t="s" s="8">
        <v>12</v>
      </c>
      <c r="D25" t="s" s="9">
        <v>13</v>
      </c>
      <c r="E25" s="111">
        <v>202</v>
      </c>
      <c r="F25" s="10"/>
      <c r="G25" t="str" s="112">
        <f t="shared" si="1"/>
        <v>0</v>
      </c>
      <c r="H25" s="140"/>
    </row>
    <row r="26" spans="1:8" x14ac:dyDescent="0.3">
      <c r="A26" s="28">
        <v>3</v>
      </c>
      <c r="B26" s="7">
        <v>6</v>
      </c>
      <c r="C26" t="s" s="8">
        <v>14</v>
      </c>
      <c r="D26" t="s" s="9">
        <v>13</v>
      </c>
      <c r="E26" s="111">
        <v>202</v>
      </c>
      <c r="F26" s="10"/>
      <c r="G26" t="str" s="112">
        <f t="shared" si="1"/>
        <v>0</v>
      </c>
      <c r="H26" s="140"/>
    </row>
    <row r="27" spans="1:8" x14ac:dyDescent="0.3">
      <c r="A27" s="28">
        <v>4</v>
      </c>
      <c r="B27" s="7">
        <v>7</v>
      </c>
      <c r="C27" t="s" s="8">
        <v>15</v>
      </c>
      <c r="D27" t="s" s="9">
        <v>16</v>
      </c>
      <c r="E27" s="111">
        <v>9098</v>
      </c>
      <c r="F27" s="10"/>
      <c r="G27" t="str" s="112">
        <f t="shared" si="1"/>
        <v>0</v>
      </c>
      <c r="H27" s="140"/>
    </row>
    <row r="28" spans="1:8" x14ac:dyDescent="0.3">
      <c r="A28" s="28">
        <v>5</v>
      </c>
      <c r="B28" s="7">
        <v>8</v>
      </c>
      <c r="C28" t="s" s="8">
        <v>17</v>
      </c>
      <c r="D28" t="s" s="9">
        <v>13</v>
      </c>
      <c r="E28" s="111">
        <v>599</v>
      </c>
      <c r="F28" s="10"/>
      <c r="G28" t="str" s="112">
        <f t="shared" si="1"/>
        <v>0</v>
      </c>
      <c r="H28" s="140"/>
    </row>
    <row r="29" spans="1:8" ht="20.4" x14ac:dyDescent="0.3">
      <c r="A29" s="28">
        <v>6</v>
      </c>
      <c r="B29" s="7">
        <v>9</v>
      </c>
      <c r="C29" t="s" s="8">
        <v>18</v>
      </c>
      <c r="D29" t="s" s="9">
        <v>13</v>
      </c>
      <c r="E29" s="111">
        <v>60</v>
      </c>
      <c r="F29" s="10"/>
      <c r="G29" t="str" s="112">
        <f t="shared" si="1"/>
        <v>0</v>
      </c>
      <c r="H29" s="140"/>
    </row>
    <row r="30" spans="1:8" x14ac:dyDescent="0.3">
      <c r="A30" s="28">
        <v>7</v>
      </c>
      <c r="B30" s="7">
        <v>10</v>
      </c>
      <c r="C30" t="s" s="8">
        <v>19</v>
      </c>
      <c r="D30" t="s" s="9">
        <v>13</v>
      </c>
      <c r="E30" s="111">
        <v>1714</v>
      </c>
      <c r="F30" s="10"/>
      <c r="G30" t="str" s="112">
        <f t="shared" si="1"/>
        <v>0</v>
      </c>
      <c r="H30" s="140"/>
    </row>
    <row r="31" spans="1:8" ht="20.4" x14ac:dyDescent="0.3">
      <c r="A31" s="28">
        <v>8</v>
      </c>
      <c r="B31" s="7">
        <v>11</v>
      </c>
      <c r="C31" t="s" s="8">
        <v>20</v>
      </c>
      <c r="D31" t="s" s="9">
        <v>13</v>
      </c>
      <c r="E31" s="111">
        <v>4040</v>
      </c>
      <c r="F31" s="10"/>
      <c r="G31" t="str" s="112">
        <f t="shared" si="1"/>
        <v>0</v>
      </c>
      <c r="H31" s="140"/>
    </row>
    <row r="32" spans="1:8" ht="20.4" x14ac:dyDescent="0.3">
      <c r="A32" s="28">
        <v>9</v>
      </c>
      <c r="B32" s="7">
        <v>12</v>
      </c>
      <c r="C32" t="s" s="8">
        <v>21</v>
      </c>
      <c r="D32" t="s" s="9">
        <v>13</v>
      </c>
      <c r="E32" s="111">
        <v>416</v>
      </c>
      <c r="F32" s="10"/>
      <c r="G32" t="str" s="112">
        <f t="shared" si="1"/>
        <v>0</v>
      </c>
      <c r="H32" s="140"/>
    </row>
    <row r="33" spans="1:8" x14ac:dyDescent="0.3">
      <c r="A33" s="28">
        <v>10</v>
      </c>
      <c r="B33" s="7">
        <v>13</v>
      </c>
      <c r="C33" t="s" s="8">
        <v>22</v>
      </c>
      <c r="D33" t="s" s="9">
        <v>13</v>
      </c>
      <c r="E33" s="111">
        <v>971</v>
      </c>
      <c r="F33" s="10"/>
      <c r="G33" t="str" s="112">
        <f t="shared" si="1"/>
        <v>0</v>
      </c>
      <c r="H33" s="140"/>
    </row>
    <row r="34" spans="1:8" x14ac:dyDescent="0.3">
      <c r="A34" s="28">
        <v>11</v>
      </c>
      <c r="B34" s="7">
        <v>14</v>
      </c>
      <c r="C34" t="s" s="8">
        <v>23</v>
      </c>
      <c r="D34" t="s" s="9">
        <v>13</v>
      </c>
      <c r="E34" s="111">
        <v>5</v>
      </c>
      <c r="F34" s="10"/>
      <c r="G34" t="str" s="112">
        <f t="shared" si="1"/>
        <v>0</v>
      </c>
      <c r="H34" s="140"/>
    </row>
    <row r="35" spans="1:8" ht="20.4" x14ac:dyDescent="0.3">
      <c r="A35" s="28">
        <v>12</v>
      </c>
      <c r="B35" s="7">
        <v>15</v>
      </c>
      <c r="C35" t="s" s="8">
        <v>24</v>
      </c>
      <c r="D35" t="s" s="9">
        <v>13</v>
      </c>
      <c r="E35" s="111">
        <v>21</v>
      </c>
      <c r="F35" s="10"/>
      <c r="G35" t="str" s="112">
        <f t="shared" si="1"/>
        <v>0</v>
      </c>
      <c r="H35" s="140"/>
    </row>
    <row r="36" spans="1:8" ht="20.4" x14ac:dyDescent="0.3">
      <c r="A36" s="28">
        <v>13</v>
      </c>
      <c r="B36" s="7">
        <v>18</v>
      </c>
      <c r="C36" t="s" s="8">
        <v>30</v>
      </c>
      <c r="D36" t="s" s="9">
        <v>13</v>
      </c>
      <c r="E36" s="111">
        <v>7</v>
      </c>
      <c r="F36" s="10"/>
      <c r="G36" t="str" s="112">
        <f t="shared" si="1"/>
        <v>0</v>
      </c>
      <c r="H36" s="140"/>
    </row>
    <row r="37" spans="1:8" x14ac:dyDescent="0.3">
      <c r="A37" s="28">
        <v>14</v>
      </c>
      <c r="B37" s="7">
        <v>19</v>
      </c>
      <c r="C37" t="s" s="8">
        <v>31</v>
      </c>
      <c r="D37" t="s" s="9">
        <v>13</v>
      </c>
      <c r="E37" s="111">
        <v>18</v>
      </c>
      <c r="F37" s="10"/>
      <c r="G37" t="str" s="112">
        <f t="shared" si="1"/>
        <v>0</v>
      </c>
      <c r="H37" s="140"/>
    </row>
    <row r="38" spans="1:8" ht="20.4" x14ac:dyDescent="0.3">
      <c r="A38" s="28">
        <v>15</v>
      </c>
      <c r="B38" s="7">
        <v>16</v>
      </c>
      <c r="C38" t="s" s="8">
        <v>25</v>
      </c>
      <c r="D38" t="s" s="9">
        <v>13</v>
      </c>
      <c r="E38" s="111">
        <v>31</v>
      </c>
      <c r="F38" s="10"/>
      <c r="G38" t="str" s="112">
        <f t="shared" si="1"/>
        <v>0</v>
      </c>
      <c r="H38" s="140"/>
    </row>
    <row r="39" spans="1:8" x14ac:dyDescent="0.3">
      <c r="A39" s="28">
        <v>16</v>
      </c>
      <c r="B39" s="7">
        <v>20</v>
      </c>
      <c r="C39" t="s" s="8">
        <v>32</v>
      </c>
      <c r="D39" t="s" s="9">
        <v>33</v>
      </c>
      <c r="E39" s="111">
        <v>174</v>
      </c>
      <c r="F39" s="10"/>
      <c r="G39" t="str" s="112">
        <f t="shared" si="1"/>
        <v>0</v>
      </c>
      <c r="H39" s="140"/>
    </row>
    <row r="40" spans="1:8" ht="15.6" x14ac:dyDescent="0.3">
      <c r="A40" t="s" s="141">
        <v>34</v>
      </c>
      <c r="B40" s="106">
        <v>21</v>
      </c>
      <c r="C40" t="s" s="113">
        <v>35</v>
      </c>
      <c r="D40" s="113"/>
      <c r="E40" s="113"/>
      <c r="F40" s="113"/>
      <c r="G40" s="113"/>
      <c r="H40" s="140"/>
    </row>
    <row r="41" spans="1:8" x14ac:dyDescent="0.3">
      <c r="A41" s="28">
        <v>1</v>
      </c>
      <c r="B41" s="7">
        <v>4</v>
      </c>
      <c r="C41" t="s" s="8">
        <v>10</v>
      </c>
      <c r="D41" t="s" s="9">
        <v>11</v>
      </c>
      <c r="E41" s="108">
        <v>114.654</v>
      </c>
      <c r="F41" s="6"/>
      <c r="G41" t="str" s="112">
        <f t="shared" ref="G41:G56" si="2">E41*F41</f>
        <v>0</v>
      </c>
      <c r="H41" s="140"/>
    </row>
    <row r="42" spans="1:8" x14ac:dyDescent="0.3">
      <c r="A42" s="28">
        <v>2</v>
      </c>
      <c r="B42" s="7">
        <v>5</v>
      </c>
      <c r="C42" t="s" s="8">
        <v>12</v>
      </c>
      <c r="D42" t="s" s="9">
        <v>13</v>
      </c>
      <c r="E42" s="108">
        <v>160.827</v>
      </c>
      <c r="F42" s="6"/>
      <c r="G42" t="str" s="112">
        <f t="shared" si="2"/>
        <v>0</v>
      </c>
      <c r="H42" s="140"/>
    </row>
    <row r="43" spans="1:8" x14ac:dyDescent="0.3">
      <c r="A43" s="28">
        <v>3</v>
      </c>
      <c r="B43" s="7">
        <v>6</v>
      </c>
      <c r="C43" t="s" s="8">
        <v>14</v>
      </c>
      <c r="D43" t="s" s="9">
        <v>13</v>
      </c>
      <c r="E43" s="108">
        <v>160.827</v>
      </c>
      <c r="F43" s="6"/>
      <c r="G43" t="str" s="112">
        <f t="shared" si="2"/>
        <v>0</v>
      </c>
      <c r="H43" s="140"/>
    </row>
    <row r="44" spans="1:8" x14ac:dyDescent="0.3">
      <c r="A44" s="28">
        <v>4</v>
      </c>
      <c r="B44" s="7">
        <v>7</v>
      </c>
      <c r="C44" t="s" s="8">
        <v>15</v>
      </c>
      <c r="D44" t="s" s="9">
        <v>16</v>
      </c>
      <c r="E44" s="108">
        <v>3886.659</v>
      </c>
      <c r="F44" s="6"/>
      <c r="G44" t="str" s="112">
        <f t="shared" si="2"/>
        <v>0</v>
      </c>
      <c r="H44" s="140"/>
    </row>
    <row r="45" spans="1:8" x14ac:dyDescent="0.3">
      <c r="A45" s="28">
        <v>5</v>
      </c>
      <c r="B45" s="7">
        <v>8</v>
      </c>
      <c r="C45" t="s" s="8">
        <v>17</v>
      </c>
      <c r="D45" t="s" s="9">
        <v>13</v>
      </c>
      <c r="E45" s="108">
        <v>347.387</v>
      </c>
      <c r="F45" s="6"/>
      <c r="G45" t="str" s="112">
        <f t="shared" si="2"/>
        <v>0</v>
      </c>
      <c r="H45" s="140"/>
    </row>
    <row r="46" spans="1:8" ht="20.4" x14ac:dyDescent="0.3">
      <c r="A46" s="28">
        <v>6</v>
      </c>
      <c r="B46" s="7">
        <v>9</v>
      </c>
      <c r="C46" t="s" s="8">
        <v>18</v>
      </c>
      <c r="D46" t="s" s="9">
        <v>13</v>
      </c>
      <c r="E46" s="108">
        <v>34.846</v>
      </c>
      <c r="F46" s="6"/>
      <c r="G46" t="str" s="112">
        <f t="shared" si="2"/>
        <v>0</v>
      </c>
      <c r="H46" s="140"/>
    </row>
    <row r="47" spans="1:8" x14ac:dyDescent="0.3">
      <c r="A47" s="28">
        <v>7</v>
      </c>
      <c r="B47" s="7">
        <v>10</v>
      </c>
      <c r="C47" t="s" s="8">
        <v>19</v>
      </c>
      <c r="D47" t="s" s="9">
        <v>13</v>
      </c>
      <c r="E47" s="108">
        <v>955.314</v>
      </c>
      <c r="F47" s="6"/>
      <c r="G47" t="str" s="112">
        <f t="shared" si="2"/>
        <v>0</v>
      </c>
      <c r="H47" s="140"/>
    </row>
    <row r="48" spans="1:8" ht="20.4" x14ac:dyDescent="0.3">
      <c r="A48" s="28">
        <v>8</v>
      </c>
      <c r="B48" s="7">
        <v>11</v>
      </c>
      <c r="C48" t="s" s="8">
        <v>20</v>
      </c>
      <c r="D48" t="s" s="9">
        <v>13</v>
      </c>
      <c r="E48" s="108">
        <v>2255.066</v>
      </c>
      <c r="F48" s="6"/>
      <c r="G48" t="str" s="112">
        <f t="shared" si="2"/>
        <v>0</v>
      </c>
      <c r="H48" s="140"/>
    </row>
    <row r="49" spans="1:8" ht="20.4" x14ac:dyDescent="0.3">
      <c r="A49" s="28">
        <v>9</v>
      </c>
      <c r="B49" s="7">
        <v>12</v>
      </c>
      <c r="C49" t="s" s="8">
        <v>21</v>
      </c>
      <c r="D49" t="s" s="9">
        <v>13</v>
      </c>
      <c r="E49" s="108">
        <v>254.643</v>
      </c>
      <c r="F49" s="6"/>
      <c r="G49" t="str" s="112">
        <f t="shared" si="2"/>
        <v>0</v>
      </c>
      <c r="H49" s="140"/>
    </row>
    <row r="50" spans="1:8" x14ac:dyDescent="0.3">
      <c r="A50" s="28">
        <v>10</v>
      </c>
      <c r="B50" s="7">
        <v>13</v>
      </c>
      <c r="C50" t="s" s="8">
        <v>22</v>
      </c>
      <c r="D50" t="s" s="9">
        <v>13</v>
      </c>
      <c r="E50" s="108">
        <v>594.257</v>
      </c>
      <c r="F50" s="6"/>
      <c r="G50" t="str" s="112">
        <f t="shared" si="2"/>
        <v>0</v>
      </c>
      <c r="H50" s="140"/>
    </row>
    <row r="51" spans="1:8" x14ac:dyDescent="0.3">
      <c r="A51" s="28">
        <v>11</v>
      </c>
      <c r="B51" s="7">
        <v>14</v>
      </c>
      <c r="C51" t="s" s="8">
        <v>23</v>
      </c>
      <c r="D51" t="s" s="9">
        <v>13</v>
      </c>
      <c r="E51" s="108">
        <v>1.34</v>
      </c>
      <c r="F51" s="6"/>
      <c r="G51" t="str" s="112">
        <f t="shared" si="2"/>
        <v>0</v>
      </c>
      <c r="H51" s="140"/>
    </row>
    <row r="52" spans="1:8" ht="20.4" x14ac:dyDescent="0.3">
      <c r="A52" s="28">
        <v>12</v>
      </c>
      <c r="B52" s="7">
        <v>15</v>
      </c>
      <c r="C52" t="s" s="8">
        <v>24</v>
      </c>
      <c r="D52" t="s" s="9">
        <v>13</v>
      </c>
      <c r="E52" s="108">
        <v>4.825</v>
      </c>
      <c r="F52" s="6"/>
      <c r="G52" t="str" s="112">
        <f t="shared" si="2"/>
        <v>0</v>
      </c>
      <c r="H52" s="140"/>
    </row>
    <row r="53" spans="1:8" ht="20.4" x14ac:dyDescent="0.3">
      <c r="A53" s="28">
        <v>13</v>
      </c>
      <c r="B53" s="7">
        <v>18</v>
      </c>
      <c r="C53" t="s" s="8">
        <v>30</v>
      </c>
      <c r="D53" t="s" s="9">
        <v>13</v>
      </c>
      <c r="E53" s="108">
        <v>10.454</v>
      </c>
      <c r="F53" s="6"/>
      <c r="G53" t="str" s="112">
        <f t="shared" si="2"/>
        <v>0</v>
      </c>
      <c r="H53" s="140"/>
    </row>
    <row r="54" spans="1:8" x14ac:dyDescent="0.3">
      <c r="A54" s="28">
        <v>14</v>
      </c>
      <c r="B54" s="7">
        <v>19</v>
      </c>
      <c r="C54" t="s" s="8">
        <v>31</v>
      </c>
      <c r="D54" t="s" s="9">
        <v>13</v>
      </c>
      <c r="E54" s="108">
        <v>28.413</v>
      </c>
      <c r="F54" s="6"/>
      <c r="G54" t="str" s="112">
        <f t="shared" si="2"/>
        <v>0</v>
      </c>
      <c r="H54" s="140"/>
    </row>
    <row r="55" spans="1:8" ht="20.4" x14ac:dyDescent="0.3">
      <c r="A55" s="28">
        <v>15</v>
      </c>
      <c r="B55" s="7">
        <v>16</v>
      </c>
      <c r="C55" t="s" s="8">
        <v>25</v>
      </c>
      <c r="D55" t="s" s="9">
        <v>13</v>
      </c>
      <c r="E55" s="108">
        <v>19.299</v>
      </c>
      <c r="F55" s="6"/>
      <c r="G55" t="str" s="112">
        <f t="shared" si="2"/>
        <v>0</v>
      </c>
      <c r="H55" s="140"/>
    </row>
    <row r="56" spans="1:8" x14ac:dyDescent="0.3">
      <c r="A56" s="28">
        <v>16</v>
      </c>
      <c r="B56" s="7">
        <v>20</v>
      </c>
      <c r="C56" t="s" s="8">
        <v>32</v>
      </c>
      <c r="D56" t="s" s="9">
        <v>33</v>
      </c>
      <c r="E56" s="108">
        <v>267.241</v>
      </c>
      <c r="F56" s="6"/>
      <c r="G56" t="str" s="112">
        <f t="shared" si="2"/>
        <v>0</v>
      </c>
      <c r="H56" s="140"/>
    </row>
    <row r="57" spans="1:15" customFormat="1" x14ac:dyDescent="0.3" s="22">
      <c r="A57" t="s" s="142">
        <v>268</v>
      </c>
      <c r="B57" s="114"/>
      <c r="C57" s="114"/>
      <c r="D57" s="114"/>
      <c r="E57" s="114"/>
      <c r="F57" t="s" s="115">
        <v>200</v>
      </c>
      <c r="G57" t="str" s="116">
        <f>SUM(G10:G56)</f>
        <v>0</v>
      </c>
      <c r="H57" s="143"/>
      <c r="O57" s="16"/>
    </row>
    <row r="58" spans="1:8" x14ac:dyDescent="0.3">
      <c r="A58" t="s" s="139">
        <v>36</v>
      </c>
      <c r="B58" s="105"/>
      <c r="C58" s="105"/>
      <c r="D58" s="105"/>
      <c r="E58" s="105"/>
      <c r="F58" s="105"/>
      <c r="G58" s="105"/>
      <c r="H58" s="140"/>
    </row>
    <row r="59" spans="1:8" ht="15.6" x14ac:dyDescent="0.3">
      <c r="A59" t="s" s="141">
        <v>26</v>
      </c>
      <c r="B59" s="106">
        <v>3</v>
      </c>
      <c r="C59" t="s" s="107">
        <v>27</v>
      </c>
      <c r="D59" s="107"/>
      <c r="E59" s="107"/>
      <c r="F59" s="107"/>
      <c r="G59" s="107"/>
      <c r="H59" s="140"/>
    </row>
    <row r="60" spans="1:8" ht="20.4" x14ac:dyDescent="0.3">
      <c r="A60" s="26">
        <v>1</v>
      </c>
      <c r="B60" s="3">
        <v>22</v>
      </c>
      <c r="C60" t="s" s="4">
        <v>37</v>
      </c>
      <c r="D60" t="s" s="5">
        <v>13</v>
      </c>
      <c r="E60" s="108">
        <v>2702</v>
      </c>
      <c r="F60" s="6"/>
      <c r="G60" t="str" s="109">
        <f t="shared" ref="G60:G65" si="3">E60*F60</f>
        <v>0</v>
      </c>
      <c r="H60" s="140"/>
    </row>
    <row r="61" spans="1:8" x14ac:dyDescent="0.3">
      <c r="A61" s="26">
        <v>2</v>
      </c>
      <c r="B61" s="3">
        <v>23</v>
      </c>
      <c r="C61" t="s" s="4">
        <v>38</v>
      </c>
      <c r="D61" t="s" s="5">
        <v>13</v>
      </c>
      <c r="E61" s="108">
        <v>676</v>
      </c>
      <c r="F61" s="6"/>
      <c r="G61" t="str" s="109">
        <f t="shared" si="3"/>
        <v>0</v>
      </c>
      <c r="H61" s="140"/>
    </row>
    <row r="62" spans="1:8" ht="20.4" x14ac:dyDescent="0.3">
      <c r="A62" s="26">
        <v>3</v>
      </c>
      <c r="B62" s="3">
        <v>24</v>
      </c>
      <c r="C62" t="s" s="4">
        <v>39</v>
      </c>
      <c r="D62" t="s" s="5">
        <v>13</v>
      </c>
      <c r="E62" s="108">
        <v>999</v>
      </c>
      <c r="F62" s="6"/>
      <c r="G62" t="str" s="109">
        <f t="shared" si="3"/>
        <v>0</v>
      </c>
      <c r="H62" s="140"/>
    </row>
    <row r="63" spans="1:8" ht="20.4" x14ac:dyDescent="0.3">
      <c r="A63" s="26">
        <v>4</v>
      </c>
      <c r="B63" s="3">
        <v>25</v>
      </c>
      <c r="C63" t="s" s="4">
        <v>40</v>
      </c>
      <c r="D63" t="s" s="5">
        <v>13</v>
      </c>
      <c r="E63" s="108">
        <v>826</v>
      </c>
      <c r="F63" s="6"/>
      <c r="G63" t="str" s="109">
        <f t="shared" si="3"/>
        <v>0</v>
      </c>
      <c r="H63" s="140"/>
    </row>
    <row r="64" spans="1:8" ht="20.4" x14ac:dyDescent="0.3">
      <c r="A64" s="26">
        <v>5</v>
      </c>
      <c r="B64" s="3">
        <v>26</v>
      </c>
      <c r="C64" t="s" s="4">
        <v>41</v>
      </c>
      <c r="D64" t="s" s="5">
        <v>13</v>
      </c>
      <c r="E64" s="108">
        <v>173</v>
      </c>
      <c r="F64" s="6"/>
      <c r="G64" t="str" s="109">
        <f t="shared" si="3"/>
        <v>0</v>
      </c>
      <c r="H64" s="140"/>
    </row>
    <row r="65" spans="1:8" ht="20.4" x14ac:dyDescent="0.3">
      <c r="A65" s="26">
        <v>6</v>
      </c>
      <c r="B65" s="3">
        <v>22</v>
      </c>
      <c r="C65" t="s" s="4">
        <v>37</v>
      </c>
      <c r="D65" t="s" s="5">
        <v>13</v>
      </c>
      <c r="E65" s="108">
        <v>40</v>
      </c>
      <c r="F65" s="6"/>
      <c r="G65" t="str" s="109">
        <f t="shared" si="3"/>
        <v>0</v>
      </c>
      <c r="H65" s="140"/>
    </row>
    <row r="66" spans="1:8" ht="15.6" x14ac:dyDescent="0.3">
      <c r="A66" t="s" s="141">
        <v>28</v>
      </c>
      <c r="B66" s="106">
        <v>17</v>
      </c>
      <c r="C66" t="s" s="110">
        <v>29</v>
      </c>
      <c r="D66" s="110"/>
      <c r="E66" s="110"/>
      <c r="F66" s="110"/>
      <c r="G66" s="110"/>
      <c r="H66" s="140"/>
    </row>
    <row r="67" spans="1:8" ht="20.4" x14ac:dyDescent="0.3">
      <c r="A67" s="28">
        <v>1</v>
      </c>
      <c r="B67" s="7">
        <v>22</v>
      </c>
      <c r="C67" t="s" s="8">
        <v>37</v>
      </c>
      <c r="D67" t="s" s="9">
        <v>13</v>
      </c>
      <c r="E67" s="111">
        <v>4303</v>
      </c>
      <c r="F67" s="11"/>
      <c r="G67" t="str" s="112">
        <f t="shared" ref="G67:G72" si="4">E67*F67</f>
        <v>0</v>
      </c>
      <c r="H67" s="140"/>
    </row>
    <row r="68" spans="1:8" x14ac:dyDescent="0.3">
      <c r="A68" s="28">
        <v>2</v>
      </c>
      <c r="B68" s="7">
        <v>23</v>
      </c>
      <c r="C68" t="s" s="8">
        <v>38</v>
      </c>
      <c r="D68" t="s" s="9">
        <v>13</v>
      </c>
      <c r="E68" s="111">
        <v>897</v>
      </c>
      <c r="F68" s="11"/>
      <c r="G68" t="str" s="112">
        <f t="shared" si="4"/>
        <v>0</v>
      </c>
      <c r="H68" s="140"/>
    </row>
    <row r="69" spans="1:8" ht="20.4" x14ac:dyDescent="0.3">
      <c r="A69" s="28">
        <v>3</v>
      </c>
      <c r="B69" s="7">
        <v>24</v>
      </c>
      <c r="C69" t="s" s="8">
        <v>39</v>
      </c>
      <c r="D69" t="s" s="9">
        <v>13</v>
      </c>
      <c r="E69" s="111">
        <v>1732</v>
      </c>
      <c r="F69" s="11"/>
      <c r="G69" t="str" s="112">
        <f t="shared" si="4"/>
        <v>0</v>
      </c>
      <c r="H69" s="140"/>
    </row>
    <row r="70" spans="1:8" ht="20.4" x14ac:dyDescent="0.3">
      <c r="A70" s="28">
        <v>4</v>
      </c>
      <c r="B70" s="7">
        <v>25</v>
      </c>
      <c r="C70" t="s" s="8">
        <v>40</v>
      </c>
      <c r="D70" t="s" s="9">
        <v>13</v>
      </c>
      <c r="E70" s="111">
        <v>1435</v>
      </c>
      <c r="F70" s="11"/>
      <c r="G70" t="str" s="112">
        <f t="shared" si="4"/>
        <v>0</v>
      </c>
      <c r="H70" s="140"/>
    </row>
    <row r="71" spans="1:8" ht="20.4" x14ac:dyDescent="0.3">
      <c r="A71" s="28">
        <v>5</v>
      </c>
      <c r="B71" s="7">
        <v>26</v>
      </c>
      <c r="C71" t="s" s="8">
        <v>41</v>
      </c>
      <c r="D71" t="s" s="9">
        <v>13</v>
      </c>
      <c r="E71" s="111">
        <v>297</v>
      </c>
      <c r="F71" s="11"/>
      <c r="G71" t="str" s="112">
        <f t="shared" si="4"/>
        <v>0</v>
      </c>
      <c r="H71" s="140"/>
    </row>
    <row r="72" spans="1:8" ht="20.4" x14ac:dyDescent="0.3">
      <c r="A72" s="28">
        <v>6</v>
      </c>
      <c r="B72" s="7">
        <v>22</v>
      </c>
      <c r="C72" t="s" s="8">
        <v>37</v>
      </c>
      <c r="D72" t="s" s="9">
        <v>13</v>
      </c>
      <c r="E72" s="111">
        <v>60</v>
      </c>
      <c r="F72" s="11"/>
      <c r="G72" t="str" s="112">
        <f t="shared" si="4"/>
        <v>0</v>
      </c>
      <c r="H72" s="140"/>
    </row>
    <row r="73" spans="1:8" ht="15.6" x14ac:dyDescent="0.3">
      <c r="A73" t="s" s="141">
        <v>34</v>
      </c>
      <c r="B73" s="106">
        <v>21</v>
      </c>
      <c r="C73" t="s" s="113">
        <v>35</v>
      </c>
      <c r="D73" s="113"/>
      <c r="E73" s="113"/>
      <c r="F73" s="113"/>
      <c r="G73" s="113"/>
      <c r="H73" s="140"/>
    </row>
    <row r="74" spans="1:8" ht="20.4" x14ac:dyDescent="0.3">
      <c r="A74" s="28">
        <v>1</v>
      </c>
      <c r="B74" s="7">
        <v>22</v>
      </c>
      <c r="C74" t="s" s="8">
        <v>37</v>
      </c>
      <c r="D74" t="s" s="9">
        <v>13</v>
      </c>
      <c r="E74" s="108">
        <v>1943.866</v>
      </c>
      <c r="F74" s="6"/>
      <c r="G74" t="str" s="112">
        <f t="shared" ref="G74:G79" si="5">E74*F74</f>
        <v>0</v>
      </c>
      <c r="H74" s="140"/>
    </row>
    <row r="75" spans="1:8" x14ac:dyDescent="0.3">
      <c r="A75" s="28">
        <v>2</v>
      </c>
      <c r="B75" s="7">
        <v>23</v>
      </c>
      <c r="C75" t="s" s="8">
        <v>38</v>
      </c>
      <c r="D75" t="s" s="9">
        <v>13</v>
      </c>
      <c r="E75" s="108">
        <v>485.966</v>
      </c>
      <c r="F75" s="6"/>
      <c r="G75" t="str" s="112">
        <f t="shared" si="5"/>
        <v>0</v>
      </c>
      <c r="H75" s="140"/>
    </row>
    <row r="76" spans="1:8" ht="20.4" x14ac:dyDescent="0.3">
      <c r="A76" s="28">
        <v>3</v>
      </c>
      <c r="B76" s="7">
        <v>24</v>
      </c>
      <c r="C76" t="s" s="8">
        <v>39</v>
      </c>
      <c r="D76" t="s" s="9">
        <v>13</v>
      </c>
      <c r="E76" s="108">
        <v>1087.192</v>
      </c>
      <c r="F76" s="6"/>
      <c r="G76" t="str" s="112">
        <f t="shared" si="5"/>
        <v>0</v>
      </c>
      <c r="H76" s="140"/>
    </row>
    <row r="77" spans="1:8" ht="20.4" x14ac:dyDescent="0.3">
      <c r="A77" s="28">
        <v>4</v>
      </c>
      <c r="B77" s="7">
        <v>25</v>
      </c>
      <c r="C77" t="s" s="8">
        <v>40</v>
      </c>
      <c r="D77" t="s" s="9">
        <v>13</v>
      </c>
      <c r="E77" s="108">
        <v>901.437</v>
      </c>
      <c r="F77" s="6"/>
      <c r="G77" t="str" s="112">
        <f t="shared" si="5"/>
        <v>0</v>
      </c>
      <c r="H77" s="140"/>
    </row>
    <row r="78" spans="1:8" ht="20.4" x14ac:dyDescent="0.3">
      <c r="A78" s="28">
        <v>5</v>
      </c>
      <c r="B78" s="7">
        <v>26</v>
      </c>
      <c r="C78" t="s" s="8">
        <v>41</v>
      </c>
      <c r="D78" t="s" s="9">
        <v>13</v>
      </c>
      <c r="E78" s="108">
        <v>185.755</v>
      </c>
      <c r="F78" s="6"/>
      <c r="G78" t="str" s="112">
        <f t="shared" si="5"/>
        <v>0</v>
      </c>
      <c r="H78" s="140"/>
    </row>
    <row r="79" spans="1:8" ht="20.4" x14ac:dyDescent="0.3">
      <c r="A79" s="28">
        <v>6</v>
      </c>
      <c r="B79" s="7">
        <v>22</v>
      </c>
      <c r="C79" t="s" s="8">
        <v>37</v>
      </c>
      <c r="D79" t="s" s="9">
        <v>13</v>
      </c>
      <c r="E79" s="108">
        <v>34.846</v>
      </c>
      <c r="F79" s="6"/>
      <c r="G79" t="str" s="112">
        <f t="shared" si="5"/>
        <v>0</v>
      </c>
      <c r="H79" s="140"/>
    </row>
    <row r="80" spans="1:9" customFormat="1" x14ac:dyDescent="0.3" s="14">
      <c r="A80" t="s" s="144">
        <v>269</v>
      </c>
      <c r="B80" s="117"/>
      <c r="C80" s="117"/>
      <c r="D80" s="117"/>
      <c r="E80" s="117"/>
      <c r="F80" t="s" s="117">
        <v>200</v>
      </c>
      <c r="G80" t="str" s="119">
        <f>SUM(G60:G79)</f>
        <v>0</v>
      </c>
      <c r="H80" s="145"/>
      <c r="I80" s="15"/>
    </row>
    <row r="81" spans="1:9" customFormat="1" x14ac:dyDescent="0.3" s="12">
      <c r="A81" t="s" s="139">
        <v>42</v>
      </c>
      <c r="B81" s="105"/>
      <c r="C81" s="105"/>
      <c r="D81" s="105"/>
      <c r="E81" s="105"/>
      <c r="F81" s="105"/>
      <c r="G81" s="105"/>
      <c r="H81" s="146"/>
      <c r="I81" s="13"/>
    </row>
    <row r="82" spans="1:9" ht="15.6" customFormat="1" x14ac:dyDescent="0.3" s="14">
      <c r="A82" t="s" s="141">
        <v>26</v>
      </c>
      <c r="B82" s="106">
        <v>3</v>
      </c>
      <c r="C82" t="s" s="107">
        <v>27</v>
      </c>
      <c r="D82" s="107"/>
      <c r="E82" s="107"/>
      <c r="F82" s="107"/>
      <c r="G82" s="107"/>
      <c r="H82" s="145"/>
      <c r="I82" s="15"/>
    </row>
    <row r="83" spans="1:8" x14ac:dyDescent="0.3">
      <c r="A83" s="26">
        <v>1</v>
      </c>
      <c r="B83" s="3">
        <v>27</v>
      </c>
      <c r="C83" t="s" s="4">
        <v>43</v>
      </c>
      <c r="D83" t="s" s="5">
        <v>16</v>
      </c>
      <c r="E83" s="108">
        <v>2235</v>
      </c>
      <c r="F83" s="6"/>
      <c r="G83" t="str" s="109">
        <f t="shared" ref="G83:G95" si="6">E83*F83</f>
        <v>0</v>
      </c>
      <c r="H83" s="140"/>
    </row>
    <row r="84" spans="1:8" x14ac:dyDescent="0.3">
      <c r="A84" s="26">
        <v>2</v>
      </c>
      <c r="B84" s="3">
        <v>28</v>
      </c>
      <c r="C84" t="s" s="4">
        <v>44</v>
      </c>
      <c r="D84" t="s" s="5">
        <v>33</v>
      </c>
      <c r="E84" s="108">
        <v>3244</v>
      </c>
      <c r="F84" s="6"/>
      <c r="G84" t="str" s="109">
        <f t="shared" si="6"/>
        <v>0</v>
      </c>
      <c r="H84" s="140"/>
    </row>
    <row r="85" spans="1:8" x14ac:dyDescent="0.3">
      <c r="A85" s="26">
        <v>3</v>
      </c>
      <c r="B85" s="3">
        <v>29</v>
      </c>
      <c r="C85" t="s" s="4">
        <v>45</v>
      </c>
      <c r="D85" t="s" s="5">
        <v>13</v>
      </c>
      <c r="E85" s="108">
        <v>313</v>
      </c>
      <c r="F85" s="6"/>
      <c r="G85" t="str" s="109">
        <f t="shared" si="6"/>
        <v>0</v>
      </c>
      <c r="H85" s="140"/>
    </row>
    <row r="86" spans="1:8" ht="20.4" x14ac:dyDescent="0.3">
      <c r="A86" s="26">
        <v>4</v>
      </c>
      <c r="B86" s="3">
        <v>30</v>
      </c>
      <c r="C86" t="s" s="4">
        <v>46</v>
      </c>
      <c r="D86" t="s" s="5">
        <v>13</v>
      </c>
      <c r="E86" s="108">
        <v>1885</v>
      </c>
      <c r="F86" s="6"/>
      <c r="G86" t="str" s="109">
        <f t="shared" si="6"/>
        <v>0</v>
      </c>
      <c r="H86" s="140"/>
    </row>
    <row r="87" spans="1:8" ht="20.4" x14ac:dyDescent="0.3">
      <c r="A87" s="26">
        <v>5</v>
      </c>
      <c r="B87" s="3">
        <v>31</v>
      </c>
      <c r="C87" t="s" s="4">
        <v>47</v>
      </c>
      <c r="D87" t="s" s="5">
        <v>13</v>
      </c>
      <c r="E87" s="108">
        <v>4625</v>
      </c>
      <c r="F87" s="6"/>
      <c r="G87" t="str" s="109">
        <f t="shared" si="6"/>
        <v>0</v>
      </c>
      <c r="H87" s="140"/>
    </row>
    <row r="88" spans="1:8" x14ac:dyDescent="0.3">
      <c r="A88" s="26">
        <v>6</v>
      </c>
      <c r="B88" s="3">
        <v>32</v>
      </c>
      <c r="C88" t="s" s="4">
        <v>48</v>
      </c>
      <c r="D88" t="s" s="5">
        <v>13</v>
      </c>
      <c r="E88" s="108">
        <v>194</v>
      </c>
      <c r="F88" s="6"/>
      <c r="G88" t="str" s="109">
        <f t="shared" si="6"/>
        <v>0</v>
      </c>
      <c r="H88" s="140"/>
    </row>
    <row r="89" spans="1:8" x14ac:dyDescent="0.3">
      <c r="A89" s="26">
        <v>7</v>
      </c>
      <c r="B89" s="3">
        <v>33</v>
      </c>
      <c r="C89" t="s" s="4">
        <v>49</v>
      </c>
      <c r="D89" t="s" s="5">
        <v>13</v>
      </c>
      <c r="E89" s="108">
        <v>454</v>
      </c>
      <c r="F89" s="6"/>
      <c r="G89" t="str" s="109">
        <f t="shared" si="6"/>
        <v>0</v>
      </c>
      <c r="H89" s="140"/>
    </row>
    <row r="90" spans="1:8" x14ac:dyDescent="0.3">
      <c r="A90" s="26">
        <v>8</v>
      </c>
      <c r="B90" s="3">
        <v>34</v>
      </c>
      <c r="C90" t="s" s="4">
        <v>50</v>
      </c>
      <c r="D90" t="s" s="5">
        <v>13</v>
      </c>
      <c r="E90" s="108">
        <v>15</v>
      </c>
      <c r="F90" s="6"/>
      <c r="G90" t="str" s="109">
        <f t="shared" si="6"/>
        <v>0</v>
      </c>
      <c r="H90" s="140"/>
    </row>
    <row r="91" spans="1:8" x14ac:dyDescent="0.3">
      <c r="A91" s="26">
        <v>9</v>
      </c>
      <c r="B91" s="3">
        <v>35</v>
      </c>
      <c r="C91" t="s" s="4">
        <v>51</v>
      </c>
      <c r="D91" t="s" s="5">
        <v>13</v>
      </c>
      <c r="E91" s="108">
        <v>60</v>
      </c>
      <c r="F91" s="6"/>
      <c r="G91" t="str" s="109">
        <f t="shared" si="6"/>
        <v>0</v>
      </c>
      <c r="H91" s="140"/>
    </row>
    <row r="92" spans="1:8" ht="20.4" x14ac:dyDescent="0.3">
      <c r="A92" s="26">
        <v>10</v>
      </c>
      <c r="B92" s="3">
        <v>16</v>
      </c>
      <c r="C92" t="s" s="4">
        <v>25</v>
      </c>
      <c r="D92" t="s" s="5">
        <v>13</v>
      </c>
      <c r="E92" s="108">
        <v>15</v>
      </c>
      <c r="F92" s="6"/>
      <c r="G92" t="str" s="109">
        <f t="shared" si="6"/>
        <v>0</v>
      </c>
      <c r="H92" s="140"/>
    </row>
    <row r="93" spans="1:8" x14ac:dyDescent="0.3">
      <c r="A93" s="26">
        <v>11</v>
      </c>
      <c r="B93" s="3">
        <v>36</v>
      </c>
      <c r="C93" t="s" s="4">
        <v>52</v>
      </c>
      <c r="D93" t="s" s="5">
        <v>13</v>
      </c>
      <c r="E93" s="108">
        <v>4481</v>
      </c>
      <c r="F93" s="6"/>
      <c r="G93" t="str" s="109">
        <f t="shared" si="6"/>
        <v>0</v>
      </c>
      <c r="H93" s="140"/>
    </row>
    <row r="94" spans="1:8" ht="20.4" x14ac:dyDescent="0.3">
      <c r="A94" s="26">
        <v>12</v>
      </c>
      <c r="B94" s="3">
        <v>22</v>
      </c>
      <c r="C94" t="s" s="4">
        <v>37</v>
      </c>
      <c r="D94" t="s" s="5">
        <v>13</v>
      </c>
      <c r="E94" s="108">
        <v>4481</v>
      </c>
      <c r="F94" s="6"/>
      <c r="G94" t="str" s="109">
        <f t="shared" si="6"/>
        <v>0</v>
      </c>
      <c r="H94" s="140"/>
    </row>
    <row r="95" spans="1:8" x14ac:dyDescent="0.3">
      <c r="A95" s="26">
        <v>13</v>
      </c>
      <c r="B95" s="3">
        <v>37</v>
      </c>
      <c r="C95" t="s" s="4">
        <v>53</v>
      </c>
      <c r="D95" t="s" s="5">
        <v>33</v>
      </c>
      <c r="E95" s="108">
        <v>19958</v>
      </c>
      <c r="F95" s="6"/>
      <c r="G95" t="str" s="109">
        <f t="shared" si="6"/>
        <v>0</v>
      </c>
      <c r="H95" s="140"/>
    </row>
    <row r="96" spans="1:9" ht="15.6" customFormat="1" x14ac:dyDescent="0.3" s="14">
      <c r="A96" t="s" s="141">
        <v>28</v>
      </c>
      <c r="B96" s="106">
        <v>17</v>
      </c>
      <c r="C96" t="s" s="110">
        <v>29</v>
      </c>
      <c r="D96" s="110"/>
      <c r="E96" s="110"/>
      <c r="F96" s="110"/>
      <c r="G96" s="110"/>
      <c r="H96" s="145"/>
      <c r="I96" s="15"/>
    </row>
    <row r="97" spans="1:8" x14ac:dyDescent="0.3">
      <c r="A97" s="28">
        <v>1</v>
      </c>
      <c r="B97" s="7">
        <v>27</v>
      </c>
      <c r="C97" t="s" s="8">
        <v>43</v>
      </c>
      <c r="D97" t="s" s="9">
        <v>16</v>
      </c>
      <c r="E97" s="111">
        <v>1215</v>
      </c>
      <c r="F97" s="10"/>
      <c r="G97" t="str" s="112">
        <f t="shared" ref="G97:G109" si="7">E97*F97</f>
        <v>0</v>
      </c>
      <c r="H97" s="140"/>
    </row>
    <row r="98" spans="1:8" x14ac:dyDescent="0.3">
      <c r="A98" s="28">
        <v>2</v>
      </c>
      <c r="B98" s="7">
        <v>28</v>
      </c>
      <c r="C98" t="s" s="8">
        <v>44</v>
      </c>
      <c r="D98" t="s" s="9">
        <v>33</v>
      </c>
      <c r="E98" s="111">
        <v>1766</v>
      </c>
      <c r="F98" s="10"/>
      <c r="G98" t="str" s="112">
        <f t="shared" si="7"/>
        <v>0</v>
      </c>
      <c r="H98" s="140"/>
    </row>
    <row r="99" spans="1:8" x14ac:dyDescent="0.3">
      <c r="A99" s="28">
        <v>3</v>
      </c>
      <c r="B99" s="7">
        <v>29</v>
      </c>
      <c r="C99" t="s" s="8">
        <v>45</v>
      </c>
      <c r="D99" t="s" s="9">
        <v>13</v>
      </c>
      <c r="E99" s="111">
        <v>606</v>
      </c>
      <c r="F99" s="10"/>
      <c r="G99" t="str" s="112">
        <f t="shared" si="7"/>
        <v>0</v>
      </c>
      <c r="H99" s="140"/>
    </row>
    <row r="100" spans="1:8" ht="20.4" x14ac:dyDescent="0.3">
      <c r="A100" s="28">
        <v>4</v>
      </c>
      <c r="B100" s="7">
        <v>30</v>
      </c>
      <c r="C100" t="s" s="8">
        <v>46</v>
      </c>
      <c r="D100" t="s" s="9">
        <v>13</v>
      </c>
      <c r="E100" s="111">
        <v>1466</v>
      </c>
      <c r="F100" s="10"/>
      <c r="G100" t="str" s="112">
        <f t="shared" si="7"/>
        <v>0</v>
      </c>
      <c r="H100" s="140"/>
    </row>
    <row r="101" spans="1:8" ht="20.4" x14ac:dyDescent="0.3">
      <c r="A101" s="28">
        <v>5</v>
      </c>
      <c r="B101" s="7">
        <v>31</v>
      </c>
      <c r="C101" t="s" s="8">
        <v>47</v>
      </c>
      <c r="D101" t="s" s="9">
        <v>13</v>
      </c>
      <c r="E101" s="111">
        <v>4311</v>
      </c>
      <c r="F101" s="10"/>
      <c r="G101" t="str" s="112">
        <f t="shared" si="7"/>
        <v>0</v>
      </c>
      <c r="H101" s="140"/>
    </row>
    <row r="102" spans="1:8" x14ac:dyDescent="0.3">
      <c r="A102" s="28">
        <v>6</v>
      </c>
      <c r="B102" s="7">
        <v>32</v>
      </c>
      <c r="C102" t="s" s="8">
        <v>48</v>
      </c>
      <c r="D102" t="s" s="9">
        <v>13</v>
      </c>
      <c r="E102" s="111">
        <v>104</v>
      </c>
      <c r="F102" s="10"/>
      <c r="G102" t="str" s="112">
        <f t="shared" si="7"/>
        <v>0</v>
      </c>
      <c r="H102" s="140"/>
    </row>
    <row r="103" spans="1:8" x14ac:dyDescent="0.3">
      <c r="A103" s="28">
        <v>7</v>
      </c>
      <c r="B103" s="7">
        <v>33</v>
      </c>
      <c r="C103" t="s" s="8">
        <v>49</v>
      </c>
      <c r="D103" t="s" s="9">
        <v>13</v>
      </c>
      <c r="E103" s="111">
        <v>242</v>
      </c>
      <c r="F103" s="10"/>
      <c r="G103" t="str" s="112">
        <f t="shared" si="7"/>
        <v>0</v>
      </c>
      <c r="H103" s="140"/>
    </row>
    <row r="104" spans="1:8" x14ac:dyDescent="0.3">
      <c r="A104" s="28">
        <v>8</v>
      </c>
      <c r="B104" s="7">
        <v>34</v>
      </c>
      <c r="C104" t="s" s="8">
        <v>50</v>
      </c>
      <c r="D104" t="s" s="9">
        <v>13</v>
      </c>
      <c r="E104" s="111">
        <v>59</v>
      </c>
      <c r="F104" s="10"/>
      <c r="G104" t="str" s="112">
        <f t="shared" si="7"/>
        <v>0</v>
      </c>
      <c r="H104" s="140"/>
    </row>
    <row r="105" spans="1:8" x14ac:dyDescent="0.3">
      <c r="A105" s="28">
        <v>9</v>
      </c>
      <c r="B105" s="7">
        <v>35</v>
      </c>
      <c r="C105" t="s" s="8">
        <v>51</v>
      </c>
      <c r="D105" t="s" s="9">
        <v>13</v>
      </c>
      <c r="E105" s="111">
        <v>237</v>
      </c>
      <c r="F105" s="10"/>
      <c r="G105" t="str" s="112">
        <f t="shared" si="7"/>
        <v>0</v>
      </c>
      <c r="H105" s="140"/>
    </row>
    <row r="106" spans="1:8" ht="20.4" x14ac:dyDescent="0.3">
      <c r="A106" s="28">
        <v>10</v>
      </c>
      <c r="B106" s="7">
        <v>16</v>
      </c>
      <c r="C106" t="s" s="8">
        <v>25</v>
      </c>
      <c r="D106" t="s" s="9">
        <v>13</v>
      </c>
      <c r="E106" s="111">
        <v>59</v>
      </c>
      <c r="F106" s="10"/>
      <c r="G106" t="str" s="112">
        <f t="shared" si="7"/>
        <v>0</v>
      </c>
      <c r="H106" s="140"/>
    </row>
    <row r="107" spans="1:8" x14ac:dyDescent="0.3">
      <c r="A107" s="28">
        <v>11</v>
      </c>
      <c r="B107" s="7">
        <v>36</v>
      </c>
      <c r="C107" t="s" s="8">
        <v>52</v>
      </c>
      <c r="D107" t="s" s="9">
        <v>13</v>
      </c>
      <c r="E107" s="111">
        <v>2485</v>
      </c>
      <c r="F107" s="10"/>
      <c r="G107" t="str" s="112">
        <f t="shared" si="7"/>
        <v>0</v>
      </c>
      <c r="H107" s="140"/>
    </row>
    <row r="108" spans="1:8" ht="20.4" x14ac:dyDescent="0.3">
      <c r="A108" s="28">
        <v>12</v>
      </c>
      <c r="B108" s="7">
        <v>22</v>
      </c>
      <c r="C108" t="s" s="8">
        <v>37</v>
      </c>
      <c r="D108" t="s" s="9">
        <v>13</v>
      </c>
      <c r="E108" s="111">
        <v>2485</v>
      </c>
      <c r="F108" s="10"/>
      <c r="G108" t="str" s="112">
        <f t="shared" si="7"/>
        <v>0</v>
      </c>
      <c r="H108" s="140"/>
    </row>
    <row r="109" spans="1:8" x14ac:dyDescent="0.3">
      <c r="A109" s="28">
        <v>13</v>
      </c>
      <c r="B109" s="7">
        <v>37</v>
      </c>
      <c r="C109" t="s" s="8">
        <v>53</v>
      </c>
      <c r="D109" t="s" s="9">
        <v>33</v>
      </c>
      <c r="E109" s="111">
        <v>5494</v>
      </c>
      <c r="F109" s="10"/>
      <c r="G109" t="str" s="112">
        <f t="shared" si="7"/>
        <v>0</v>
      </c>
      <c r="H109" s="140"/>
    </row>
    <row r="110" spans="1:9" customFormat="1" x14ac:dyDescent="0.3" s="14">
      <c r="A110" t="s" s="144">
        <v>270</v>
      </c>
      <c r="B110" s="117"/>
      <c r="C110" s="117"/>
      <c r="D110" s="117"/>
      <c r="E110" s="117"/>
      <c r="F110" t="s" s="117">
        <v>200</v>
      </c>
      <c r="G110" t="str" s="119">
        <f>SUM(G83:G109)</f>
        <v>0</v>
      </c>
      <c r="H110" s="145"/>
      <c r="I110" s="15"/>
    </row>
    <row r="111" spans="1:9" customFormat="1" x14ac:dyDescent="0.3" s="14">
      <c r="A111" t="s" s="139">
        <v>54</v>
      </c>
      <c r="B111" s="105"/>
      <c r="C111" s="105"/>
      <c r="D111" s="105"/>
      <c r="E111" s="105"/>
      <c r="F111" s="105"/>
      <c r="G111" s="105"/>
      <c r="H111" s="145"/>
      <c r="I111" s="15"/>
    </row>
    <row r="112" spans="1:9" ht="15.6" customFormat="1" x14ac:dyDescent="0.3" s="14">
      <c r="A112" t="s" s="141">
        <v>26</v>
      </c>
      <c r="B112" s="106">
        <v>3</v>
      </c>
      <c r="C112" t="s" s="107">
        <v>27</v>
      </c>
      <c r="D112" s="107"/>
      <c r="E112" s="107"/>
      <c r="F112" s="107"/>
      <c r="G112" s="107"/>
      <c r="H112" s="145"/>
      <c r="I112" s="15"/>
    </row>
    <row r="113" spans="1:8" x14ac:dyDescent="0.3">
      <c r="A113" s="26">
        <v>1</v>
      </c>
      <c r="B113" s="3">
        <v>38</v>
      </c>
      <c r="C113" t="s" s="4">
        <v>55</v>
      </c>
      <c r="D113" t="s" s="5">
        <v>13</v>
      </c>
      <c r="E113" s="108">
        <v>3855</v>
      </c>
      <c r="F113" s="6"/>
      <c r="G113" t="str" s="109">
        <f>E113*F113</f>
        <v>0</v>
      </c>
      <c r="H113" s="140"/>
    </row>
    <row r="114" spans="1:8" x14ac:dyDescent="0.3">
      <c r="A114" s="26">
        <v>2</v>
      </c>
      <c r="B114" s="3">
        <v>39</v>
      </c>
      <c r="C114" t="s" s="4">
        <v>56</v>
      </c>
      <c r="D114" t="s" s="5">
        <v>13</v>
      </c>
      <c r="E114" s="108">
        <v>3855</v>
      </c>
      <c r="F114" s="6"/>
      <c r="G114" t="str" s="109">
        <f>E114*F114</f>
        <v>0</v>
      </c>
      <c r="H114" s="140"/>
    </row>
    <row r="115" spans="1:8" ht="20.4" x14ac:dyDescent="0.3">
      <c r="A115" s="26">
        <v>3</v>
      </c>
      <c r="B115" s="3">
        <v>25</v>
      </c>
      <c r="C115" t="s" s="4">
        <v>40</v>
      </c>
      <c r="D115" t="s" s="5">
        <v>13</v>
      </c>
      <c r="E115" s="108">
        <v>1596</v>
      </c>
      <c r="F115" s="6"/>
      <c r="G115" t="str" s="109">
        <f>E115*F115</f>
        <v>0</v>
      </c>
      <c r="H115" s="140"/>
    </row>
    <row r="116" spans="1:8" ht="20.4" x14ac:dyDescent="0.3">
      <c r="A116" s="26">
        <v>4</v>
      </c>
      <c r="B116" s="3">
        <v>26</v>
      </c>
      <c r="C116" t="s" s="4">
        <v>41</v>
      </c>
      <c r="D116" t="s" s="5">
        <v>13</v>
      </c>
      <c r="E116" s="108">
        <v>314</v>
      </c>
      <c r="F116" s="6"/>
      <c r="G116" t="str" s="109">
        <f>E116*F116</f>
        <v>0</v>
      </c>
      <c r="H116" s="140"/>
    </row>
    <row r="117" spans="1:9" ht="15.6" customFormat="1" x14ac:dyDescent="0.3" s="14">
      <c r="A117" t="s" s="141">
        <v>28</v>
      </c>
      <c r="B117" s="106">
        <v>17</v>
      </c>
      <c r="C117" t="s" s="110">
        <v>29</v>
      </c>
      <c r="D117" s="110"/>
      <c r="E117" s="110"/>
      <c r="F117" s="110"/>
      <c r="G117" s="110"/>
      <c r="H117" s="145"/>
      <c r="I117" s="15"/>
    </row>
    <row r="118" spans="1:8" x14ac:dyDescent="0.3">
      <c r="A118" s="28">
        <v>1</v>
      </c>
      <c r="B118" s="7">
        <v>38</v>
      </c>
      <c r="C118" t="s" s="8">
        <v>55</v>
      </c>
      <c r="D118" t="s" s="9">
        <v>13</v>
      </c>
      <c r="E118" s="111">
        <v>2049</v>
      </c>
      <c r="F118" s="6"/>
      <c r="G118" t="str" s="112">
        <f>E118*F118</f>
        <v>0</v>
      </c>
      <c r="H118" s="140"/>
    </row>
    <row r="119" spans="1:8" x14ac:dyDescent="0.3">
      <c r="A119" s="28">
        <v>2</v>
      </c>
      <c r="B119" s="7">
        <v>39</v>
      </c>
      <c r="C119" t="s" s="8">
        <v>56</v>
      </c>
      <c r="D119" t="s" s="9">
        <v>13</v>
      </c>
      <c r="E119" s="111">
        <v>2049</v>
      </c>
      <c r="F119" s="6"/>
      <c r="G119" t="str" s="112">
        <f>E119*F119</f>
        <v>0</v>
      </c>
      <c r="H119" s="140"/>
    </row>
    <row r="120" spans="1:8" ht="20.4" x14ac:dyDescent="0.3">
      <c r="A120" s="28">
        <v>3</v>
      </c>
      <c r="B120" s="7">
        <v>25</v>
      </c>
      <c r="C120" t="s" s="8">
        <v>40</v>
      </c>
      <c r="D120" t="s" s="9">
        <v>13</v>
      </c>
      <c r="E120" s="111">
        <v>867</v>
      </c>
      <c r="F120" s="6"/>
      <c r="G120" t="str" s="112">
        <f>E120*F120</f>
        <v>0</v>
      </c>
      <c r="H120" s="140"/>
    </row>
    <row r="121" spans="1:8" ht="20.4" x14ac:dyDescent="0.3">
      <c r="A121" s="28">
        <v>4</v>
      </c>
      <c r="B121" s="7">
        <v>26</v>
      </c>
      <c r="C121" t="s" s="8">
        <v>41</v>
      </c>
      <c r="D121" t="s" s="9">
        <v>13</v>
      </c>
      <c r="E121" s="111">
        <v>171</v>
      </c>
      <c r="F121" s="6"/>
      <c r="G121" t="str" s="112">
        <f>E121*F121</f>
        <v>0</v>
      </c>
      <c r="H121" s="140"/>
    </row>
    <row r="122" spans="1:9" customFormat="1" x14ac:dyDescent="0.3" s="14">
      <c r="A122" t="s" s="144">
        <v>271</v>
      </c>
      <c r="B122" s="117"/>
      <c r="C122" s="117"/>
      <c r="D122" s="117"/>
      <c r="E122" s="117"/>
      <c r="F122" t="s" s="117">
        <v>200</v>
      </c>
      <c r="G122" t="str" s="119">
        <f>SUM(G113:G121)</f>
        <v>0</v>
      </c>
      <c r="H122" s="145"/>
      <c r="I122" s="15"/>
    </row>
    <row r="123" spans="1:9" customFormat="1" x14ac:dyDescent="0.3" s="12">
      <c r="A123" t="s" s="139">
        <v>57</v>
      </c>
      <c r="B123" s="105"/>
      <c r="C123" s="105"/>
      <c r="D123" s="105"/>
      <c r="E123" s="105"/>
      <c r="F123" s="105"/>
      <c r="G123" s="105"/>
      <c r="H123" s="146"/>
      <c r="I123" s="13"/>
    </row>
    <row r="124" spans="1:9" ht="15.6" customFormat="1" x14ac:dyDescent="0.3" s="14">
      <c r="A124" t="s" s="141">
        <v>26</v>
      </c>
      <c r="B124" s="106">
        <v>3</v>
      </c>
      <c r="C124" t="s" s="107">
        <v>27</v>
      </c>
      <c r="D124" s="107"/>
      <c r="E124" s="107"/>
      <c r="F124" s="107"/>
      <c r="G124" s="107"/>
      <c r="H124" s="145"/>
      <c r="I124" s="15"/>
    </row>
    <row r="125" spans="1:8" x14ac:dyDescent="0.3">
      <c r="A125" s="26">
        <v>1</v>
      </c>
      <c r="B125" s="3">
        <v>40</v>
      </c>
      <c r="C125" t="s" s="4">
        <v>58</v>
      </c>
      <c r="D125" t="s" s="5">
        <v>16</v>
      </c>
      <c r="E125" s="108">
        <v>52</v>
      </c>
      <c r="F125" s="6"/>
      <c r="G125" t="str" s="109">
        <f t="shared" ref="G125:G157" si="8">E125*F125</f>
        <v>0</v>
      </c>
      <c r="H125" s="140"/>
    </row>
    <row r="126" spans="1:8" x14ac:dyDescent="0.3">
      <c r="A126" s="26">
        <v>2</v>
      </c>
      <c r="B126" s="3">
        <v>41</v>
      </c>
      <c r="C126" t="s" s="4">
        <v>59</v>
      </c>
      <c r="D126" t="s" s="5">
        <v>16</v>
      </c>
      <c r="E126" s="108">
        <v>3969</v>
      </c>
      <c r="F126" s="6"/>
      <c r="G126" t="str" s="109">
        <f t="shared" si="8"/>
        <v>0</v>
      </c>
      <c r="H126" s="140"/>
    </row>
    <row r="127" spans="1:8" x14ac:dyDescent="0.3">
      <c r="A127" s="26">
        <v>3</v>
      </c>
      <c r="B127" s="3">
        <v>42</v>
      </c>
      <c r="C127" t="s" s="4">
        <v>60</v>
      </c>
      <c r="D127" t="s" s="5">
        <v>61</v>
      </c>
      <c r="E127" s="120">
        <v>4</v>
      </c>
      <c r="F127" s="6"/>
      <c r="G127" t="str" s="109">
        <f t="shared" si="8"/>
        <v>0</v>
      </c>
      <c r="H127" s="140"/>
    </row>
    <row r="128" spans="1:8" x14ac:dyDescent="0.3">
      <c r="A128" s="26">
        <v>4</v>
      </c>
      <c r="B128" s="3">
        <v>43</v>
      </c>
      <c r="C128" t="s" s="4">
        <v>62</v>
      </c>
      <c r="D128" t="s" s="5">
        <v>61</v>
      </c>
      <c r="E128" s="120">
        <v>10</v>
      </c>
      <c r="F128" s="6"/>
      <c r="G128" t="str" s="109">
        <f t="shared" si="8"/>
        <v>0</v>
      </c>
      <c r="H128" s="140"/>
    </row>
    <row r="129" spans="1:8" x14ac:dyDescent="0.3">
      <c r="A129" s="26">
        <v>5</v>
      </c>
      <c r="B129" s="3">
        <v>44</v>
      </c>
      <c r="C129" t="s" s="4">
        <v>63</v>
      </c>
      <c r="D129" t="s" s="5">
        <v>61</v>
      </c>
      <c r="E129" s="120">
        <v>13</v>
      </c>
      <c r="F129" s="6"/>
      <c r="G129" t="str" s="109">
        <f t="shared" si="8"/>
        <v>0</v>
      </c>
      <c r="H129" s="140"/>
    </row>
    <row r="130" spans="1:8" x14ac:dyDescent="0.3">
      <c r="A130" s="26">
        <v>6</v>
      </c>
      <c r="B130" s="3">
        <v>45</v>
      </c>
      <c r="C130" t="s" s="4">
        <v>64</v>
      </c>
      <c r="D130" t="s" s="5">
        <v>61</v>
      </c>
      <c r="E130" s="120">
        <v>1</v>
      </c>
      <c r="F130" s="6"/>
      <c r="G130" t="str" s="109">
        <f t="shared" si="8"/>
        <v>0</v>
      </c>
      <c r="H130" s="140"/>
    </row>
    <row r="131" spans="1:8" x14ac:dyDescent="0.3">
      <c r="A131" s="26">
        <v>7</v>
      </c>
      <c r="B131" s="3">
        <v>46</v>
      </c>
      <c r="C131" t="s" s="4">
        <v>65</v>
      </c>
      <c r="D131" t="s" s="5">
        <v>61</v>
      </c>
      <c r="E131" s="120">
        <v>1</v>
      </c>
      <c r="F131" s="6"/>
      <c r="G131" t="str" s="109">
        <f t="shared" si="8"/>
        <v>0</v>
      </c>
      <c r="H131" s="140"/>
    </row>
    <row r="132" spans="1:8" x14ac:dyDescent="0.3">
      <c r="A132" s="26">
        <v>8</v>
      </c>
      <c r="B132" s="3">
        <v>47</v>
      </c>
      <c r="C132" t="s" s="4">
        <v>66</v>
      </c>
      <c r="D132" t="s" s="5">
        <v>61</v>
      </c>
      <c r="E132" s="120">
        <v>2</v>
      </c>
      <c r="F132" s="6"/>
      <c r="G132" t="str" s="109">
        <f t="shared" si="8"/>
        <v>0</v>
      </c>
      <c r="H132" s="140"/>
    </row>
    <row r="133" spans="1:8" x14ac:dyDescent="0.3">
      <c r="A133" s="26">
        <v>9</v>
      </c>
      <c r="B133" s="3">
        <v>48</v>
      </c>
      <c r="C133" t="s" s="4">
        <v>67</v>
      </c>
      <c r="D133" t="s" s="5">
        <v>61</v>
      </c>
      <c r="E133" s="120">
        <v>2</v>
      </c>
      <c r="F133" s="6"/>
      <c r="G133" t="str" s="109">
        <f t="shared" si="8"/>
        <v>0</v>
      </c>
      <c r="H133" s="140"/>
    </row>
    <row r="134" spans="1:8" x14ac:dyDescent="0.3">
      <c r="A134" s="26">
        <v>10</v>
      </c>
      <c r="B134" s="3">
        <v>49</v>
      </c>
      <c r="C134" t="s" s="4">
        <v>68</v>
      </c>
      <c r="D134" t="s" s="5">
        <v>61</v>
      </c>
      <c r="E134" s="120">
        <v>1</v>
      </c>
      <c r="F134" s="6"/>
      <c r="G134" t="str" s="109">
        <f t="shared" si="8"/>
        <v>0</v>
      </c>
      <c r="H134" s="140"/>
    </row>
    <row r="135" spans="1:8" x14ac:dyDescent="0.3">
      <c r="A135" s="26">
        <v>11</v>
      </c>
      <c r="B135" s="3">
        <v>50</v>
      </c>
      <c r="C135" t="s" s="4">
        <v>69</v>
      </c>
      <c r="D135" t="s" s="5">
        <v>61</v>
      </c>
      <c r="E135" s="120">
        <v>8</v>
      </c>
      <c r="F135" s="6"/>
      <c r="G135" t="str" s="109">
        <f t="shared" si="8"/>
        <v>0</v>
      </c>
      <c r="H135" s="140"/>
    </row>
    <row r="136" spans="1:8" x14ac:dyDescent="0.3">
      <c r="A136" s="26">
        <v>12</v>
      </c>
      <c r="B136" s="3">
        <v>51</v>
      </c>
      <c r="C136" t="s" s="4">
        <v>70</v>
      </c>
      <c r="D136" t="s" s="5">
        <v>61</v>
      </c>
      <c r="E136" s="120">
        <v>2</v>
      </c>
      <c r="F136" s="6"/>
      <c r="G136" t="str" s="109">
        <f t="shared" si="8"/>
        <v>0</v>
      </c>
      <c r="H136" s="140"/>
    </row>
    <row r="137" spans="1:8" x14ac:dyDescent="0.3">
      <c r="A137" s="26">
        <v>13</v>
      </c>
      <c r="B137" s="3">
        <v>52</v>
      </c>
      <c r="C137" t="s" s="4">
        <v>71</v>
      </c>
      <c r="D137" t="s" s="5">
        <v>61</v>
      </c>
      <c r="E137" s="120">
        <v>2</v>
      </c>
      <c r="F137" s="6"/>
      <c r="G137" t="str" s="109">
        <f t="shared" si="8"/>
        <v>0</v>
      </c>
      <c r="H137" s="140"/>
    </row>
    <row r="138" spans="1:8" x14ac:dyDescent="0.3">
      <c r="A138" s="26">
        <v>14</v>
      </c>
      <c r="B138" s="3">
        <v>53</v>
      </c>
      <c r="C138" t="s" s="4">
        <v>72</v>
      </c>
      <c r="D138" t="s" s="5">
        <v>61</v>
      </c>
      <c r="E138" s="120">
        <v>2</v>
      </c>
      <c r="F138" s="6"/>
      <c r="G138" t="str" s="109">
        <f t="shared" si="8"/>
        <v>0</v>
      </c>
      <c r="H138" s="140"/>
    </row>
    <row r="139" spans="1:8" x14ac:dyDescent="0.3">
      <c r="A139" s="26">
        <v>15</v>
      </c>
      <c r="B139" s="3">
        <v>54</v>
      </c>
      <c r="C139" t="s" s="4">
        <v>73</v>
      </c>
      <c r="D139" t="s" s="5">
        <v>61</v>
      </c>
      <c r="E139" s="120">
        <v>1</v>
      </c>
      <c r="F139" s="6"/>
      <c r="G139" t="str" s="109">
        <f t="shared" si="8"/>
        <v>0</v>
      </c>
      <c r="H139" s="140"/>
    </row>
    <row r="140" spans="1:8" x14ac:dyDescent="0.3">
      <c r="A140" s="26">
        <v>16</v>
      </c>
      <c r="B140" s="3">
        <v>55</v>
      </c>
      <c r="C140" t="s" s="4">
        <v>74</v>
      </c>
      <c r="D140" t="s" s="5">
        <v>61</v>
      </c>
      <c r="E140" s="120">
        <v>8</v>
      </c>
      <c r="F140" s="6"/>
      <c r="G140" t="str" s="109">
        <f t="shared" si="8"/>
        <v>0</v>
      </c>
      <c r="H140" s="140"/>
    </row>
    <row r="141" spans="1:8" x14ac:dyDescent="0.3">
      <c r="A141" s="26">
        <v>17</v>
      </c>
      <c r="B141" s="3">
        <v>56</v>
      </c>
      <c r="C141" t="s" s="4">
        <v>75</v>
      </c>
      <c r="D141" t="s" s="5">
        <v>61</v>
      </c>
      <c r="E141" s="120">
        <v>1</v>
      </c>
      <c r="F141" s="6"/>
      <c r="G141" t="str" s="109">
        <f t="shared" si="8"/>
        <v>0</v>
      </c>
      <c r="H141" s="140"/>
    </row>
    <row r="142" spans="1:8" x14ac:dyDescent="0.3">
      <c r="A142" s="26">
        <v>18</v>
      </c>
      <c r="B142" s="3">
        <v>57</v>
      </c>
      <c r="C142" t="s" s="4">
        <v>76</v>
      </c>
      <c r="D142" t="s" s="5">
        <v>61</v>
      </c>
      <c r="E142" s="120">
        <v>1</v>
      </c>
      <c r="F142" s="6"/>
      <c r="G142" t="str" s="109">
        <f t="shared" si="8"/>
        <v>0</v>
      </c>
      <c r="H142" s="140"/>
    </row>
    <row r="143" spans="1:8" x14ac:dyDescent="0.3">
      <c r="A143" s="26">
        <v>19</v>
      </c>
      <c r="B143" s="3">
        <v>58</v>
      </c>
      <c r="C143" t="s" s="4">
        <v>77</v>
      </c>
      <c r="D143" t="s" s="5">
        <v>61</v>
      </c>
      <c r="E143" s="120">
        <v>1</v>
      </c>
      <c r="F143" s="6"/>
      <c r="G143" t="str" s="109">
        <f t="shared" si="8"/>
        <v>0</v>
      </c>
      <c r="H143" s="140"/>
    </row>
    <row r="144" spans="1:8" x14ac:dyDescent="0.3">
      <c r="A144" s="26">
        <v>20</v>
      </c>
      <c r="B144" s="3">
        <v>59</v>
      </c>
      <c r="C144" t="s" s="4">
        <v>78</v>
      </c>
      <c r="D144" t="s" s="5">
        <v>61</v>
      </c>
      <c r="E144" s="120">
        <v>1</v>
      </c>
      <c r="F144" s="6"/>
      <c r="G144" t="str" s="109">
        <f t="shared" si="8"/>
        <v>0</v>
      </c>
      <c r="H144" s="140"/>
    </row>
    <row r="145" spans="1:8" x14ac:dyDescent="0.3">
      <c r="A145" s="26">
        <v>21</v>
      </c>
      <c r="B145" s="3">
        <v>60</v>
      </c>
      <c r="C145" t="s" s="4">
        <v>79</v>
      </c>
      <c r="D145" t="s" s="5">
        <v>61</v>
      </c>
      <c r="E145" s="120">
        <v>1</v>
      </c>
      <c r="F145" s="6"/>
      <c r="G145" t="str" s="109">
        <f t="shared" si="8"/>
        <v>0</v>
      </c>
      <c r="H145" s="140"/>
    </row>
    <row r="146" spans="1:8" x14ac:dyDescent="0.3">
      <c r="A146" s="26">
        <v>22</v>
      </c>
      <c r="B146" s="3">
        <v>61</v>
      </c>
      <c r="C146" t="s" s="4">
        <v>80</v>
      </c>
      <c r="D146" t="s" s="5">
        <v>61</v>
      </c>
      <c r="E146" s="120">
        <v>1</v>
      </c>
      <c r="F146" s="6"/>
      <c r="G146" t="str" s="109">
        <f t="shared" si="8"/>
        <v>0</v>
      </c>
      <c r="H146" s="140"/>
    </row>
    <row r="147" spans="1:8" x14ac:dyDescent="0.3">
      <c r="A147" s="26">
        <v>23</v>
      </c>
      <c r="B147" s="3">
        <v>62</v>
      </c>
      <c r="C147" t="s" s="4">
        <v>81</v>
      </c>
      <c r="D147" t="s" s="5">
        <v>61</v>
      </c>
      <c r="E147" s="120">
        <v>1</v>
      </c>
      <c r="F147" s="6"/>
      <c r="G147" t="str" s="109">
        <f t="shared" si="8"/>
        <v>0</v>
      </c>
      <c r="H147" s="140"/>
    </row>
    <row r="148" spans="1:8" x14ac:dyDescent="0.3">
      <c r="A148" s="26">
        <v>24</v>
      </c>
      <c r="B148" s="3">
        <v>63</v>
      </c>
      <c r="C148" t="s" s="4">
        <v>82</v>
      </c>
      <c r="D148" t="s" s="5">
        <v>61</v>
      </c>
      <c r="E148" s="120">
        <v>1</v>
      </c>
      <c r="F148" s="6"/>
      <c r="G148" t="str" s="109">
        <f t="shared" si="8"/>
        <v>0</v>
      </c>
      <c r="H148" s="140"/>
    </row>
    <row r="149" spans="1:8" x14ac:dyDescent="0.3">
      <c r="A149" s="26">
        <v>25</v>
      </c>
      <c r="B149" s="3">
        <v>64</v>
      </c>
      <c r="C149" t="s" s="4">
        <v>83</v>
      </c>
      <c r="D149" t="s" s="5">
        <v>61</v>
      </c>
      <c r="E149" s="120">
        <v>4</v>
      </c>
      <c r="F149" s="6"/>
      <c r="G149" t="str" s="109">
        <f t="shared" si="8"/>
        <v>0</v>
      </c>
      <c r="H149" s="140"/>
    </row>
    <row r="150" spans="1:8" x14ac:dyDescent="0.3">
      <c r="A150" s="26">
        <v>26</v>
      </c>
      <c r="B150" s="3">
        <v>65</v>
      </c>
      <c r="C150" t="s" s="4">
        <v>84</v>
      </c>
      <c r="D150" t="s" s="5">
        <v>61</v>
      </c>
      <c r="E150" s="120">
        <v>1</v>
      </c>
      <c r="F150" s="6"/>
      <c r="G150" t="str" s="109">
        <f t="shared" si="8"/>
        <v>0</v>
      </c>
      <c r="H150" s="140"/>
    </row>
    <row r="151" spans="1:8" x14ac:dyDescent="0.3">
      <c r="A151" s="26">
        <v>27</v>
      </c>
      <c r="B151" s="3">
        <v>66</v>
      </c>
      <c r="C151" t="s" s="4">
        <v>85</v>
      </c>
      <c r="D151" t="s" s="5">
        <v>61</v>
      </c>
      <c r="E151" s="120">
        <v>1</v>
      </c>
      <c r="F151" s="6"/>
      <c r="G151" t="str" s="109">
        <f t="shared" si="8"/>
        <v>0</v>
      </c>
      <c r="H151" s="140"/>
    </row>
    <row r="152" spans="1:8" x14ac:dyDescent="0.3">
      <c r="A152" s="26">
        <v>28</v>
      </c>
      <c r="B152" s="3">
        <v>67</v>
      </c>
      <c r="C152" t="s" s="4">
        <v>86</v>
      </c>
      <c r="D152" t="s" s="5">
        <v>61</v>
      </c>
      <c r="E152" s="120">
        <v>1</v>
      </c>
      <c r="F152" s="6"/>
      <c r="G152" t="str" s="109">
        <f t="shared" si="8"/>
        <v>0</v>
      </c>
      <c r="H152" s="140"/>
    </row>
    <row r="153" spans="1:8" x14ac:dyDescent="0.3">
      <c r="A153" s="26">
        <v>29</v>
      </c>
      <c r="B153" s="3">
        <v>68</v>
      </c>
      <c r="C153" t="s" s="4">
        <v>87</v>
      </c>
      <c r="D153" t="s" s="5">
        <v>61</v>
      </c>
      <c r="E153" s="120">
        <v>3</v>
      </c>
      <c r="F153" s="6"/>
      <c r="G153" t="str" s="109">
        <f t="shared" si="8"/>
        <v>0</v>
      </c>
      <c r="H153" s="140"/>
    </row>
    <row r="154" spans="1:8" x14ac:dyDescent="0.3">
      <c r="A154" s="26">
        <v>30</v>
      </c>
      <c r="B154" s="3">
        <v>69</v>
      </c>
      <c r="C154" t="s" s="4">
        <v>88</v>
      </c>
      <c r="D154" t="s" s="5">
        <v>16</v>
      </c>
      <c r="E154" s="108">
        <v>4021</v>
      </c>
      <c r="F154" s="6"/>
      <c r="G154" t="str" s="109">
        <f t="shared" si="8"/>
        <v>0</v>
      </c>
      <c r="H154" s="140"/>
    </row>
    <row r="155" spans="1:8" x14ac:dyDescent="0.3">
      <c r="A155" s="26">
        <v>31</v>
      </c>
      <c r="B155" s="3">
        <v>70</v>
      </c>
      <c r="C155" t="s" s="4">
        <v>89</v>
      </c>
      <c r="D155" t="s" s="5">
        <v>90</v>
      </c>
      <c r="E155" s="108">
        <v>40.21</v>
      </c>
      <c r="F155" s="6"/>
      <c r="G155" t="str" s="109">
        <f t="shared" si="8"/>
        <v>0</v>
      </c>
      <c r="H155" s="140"/>
    </row>
    <row r="156" spans="1:8" x14ac:dyDescent="0.3">
      <c r="A156" s="26">
        <v>32</v>
      </c>
      <c r="B156" s="3">
        <v>71</v>
      </c>
      <c r="C156" t="s" s="4">
        <v>91</v>
      </c>
      <c r="D156" t="s" s="5">
        <v>16</v>
      </c>
      <c r="E156" s="108">
        <v>4021</v>
      </c>
      <c r="F156" s="6"/>
      <c r="G156" t="str" s="109">
        <f t="shared" si="8"/>
        <v>0</v>
      </c>
      <c r="H156" s="140"/>
    </row>
    <row r="157" spans="1:8" x14ac:dyDescent="0.3">
      <c r="A157" s="26">
        <v>33</v>
      </c>
      <c r="B157" s="3">
        <v>72</v>
      </c>
      <c r="C157" t="s" s="4">
        <v>92</v>
      </c>
      <c r="D157" t="s" s="5">
        <v>16</v>
      </c>
      <c r="E157" s="108">
        <v>4021</v>
      </c>
      <c r="F157" s="6"/>
      <c r="G157" t="str" s="109">
        <f t="shared" si="8"/>
        <v>0</v>
      </c>
      <c r="H157" s="140"/>
    </row>
    <row r="158" spans="1:9" ht="15.6" customFormat="1" x14ac:dyDescent="0.3" s="14">
      <c r="A158" t="s" s="141">
        <v>28</v>
      </c>
      <c r="B158" s="106">
        <v>17</v>
      </c>
      <c r="C158" t="s" s="110">
        <v>29</v>
      </c>
      <c r="D158" s="110"/>
      <c r="E158" s="110"/>
      <c r="F158" s="110"/>
      <c r="G158" s="110"/>
      <c r="H158" s="145"/>
      <c r="I158" s="15"/>
    </row>
    <row r="159" spans="1:8" x14ac:dyDescent="0.3">
      <c r="A159" s="28">
        <v>1</v>
      </c>
      <c r="B159" s="7">
        <v>40</v>
      </c>
      <c r="C159" t="s" s="8">
        <v>58</v>
      </c>
      <c r="D159" t="s" s="9">
        <v>16</v>
      </c>
      <c r="E159" s="111">
        <v>130.95</v>
      </c>
      <c r="F159" s="6"/>
      <c r="G159" t="str" s="112">
        <f t="shared" ref="G159:G192" si="9">E159*F159</f>
        <v>0</v>
      </c>
      <c r="H159" s="140"/>
    </row>
    <row r="160" spans="1:8" x14ac:dyDescent="0.3">
      <c r="A160" s="28">
        <v>2</v>
      </c>
      <c r="B160" s="7">
        <v>41</v>
      </c>
      <c r="C160" t="s" s="8">
        <v>59</v>
      </c>
      <c r="D160" t="s" s="9">
        <v>16</v>
      </c>
      <c r="E160" s="111">
        <v>4127.01</v>
      </c>
      <c r="F160" s="6"/>
      <c r="G160" t="str" s="112">
        <f t="shared" si="9"/>
        <v>0</v>
      </c>
      <c r="H160" s="140"/>
    </row>
    <row r="161" spans="1:8" x14ac:dyDescent="0.3">
      <c r="A161" s="28">
        <v>3</v>
      </c>
      <c r="B161" s="7">
        <v>73</v>
      </c>
      <c r="C161" t="s" s="8">
        <v>93</v>
      </c>
      <c r="D161" t="s" s="9">
        <v>61</v>
      </c>
      <c r="E161" s="121">
        <v>1</v>
      </c>
      <c r="F161" s="6"/>
      <c r="G161" t="str" s="112">
        <f t="shared" si="9"/>
        <v>0</v>
      </c>
      <c r="H161" s="140"/>
    </row>
    <row r="162" spans="1:8" x14ac:dyDescent="0.3">
      <c r="A162" s="28">
        <v>4</v>
      </c>
      <c r="B162" s="7">
        <v>42</v>
      </c>
      <c r="C162" t="s" s="8">
        <v>60</v>
      </c>
      <c r="D162" t="s" s="9">
        <v>61</v>
      </c>
      <c r="E162" s="121">
        <v>6</v>
      </c>
      <c r="F162" s="6"/>
      <c r="G162" t="str" s="112">
        <f t="shared" si="9"/>
        <v>0</v>
      </c>
      <c r="H162" s="140"/>
    </row>
    <row r="163" spans="1:8" x14ac:dyDescent="0.3">
      <c r="A163" s="28">
        <v>5</v>
      </c>
      <c r="B163" s="7">
        <v>43</v>
      </c>
      <c r="C163" t="s" s="8">
        <v>62</v>
      </c>
      <c r="D163" t="s" s="9">
        <v>61</v>
      </c>
      <c r="E163" s="121">
        <v>10</v>
      </c>
      <c r="F163" s="6"/>
      <c r="G163" t="str" s="112">
        <f t="shared" si="9"/>
        <v>0</v>
      </c>
      <c r="H163" s="140"/>
    </row>
    <row r="164" spans="1:8" x14ac:dyDescent="0.3">
      <c r="A164" s="28">
        <v>6</v>
      </c>
      <c r="B164" s="7">
        <v>74</v>
      </c>
      <c r="C164" t="s" s="8">
        <v>94</v>
      </c>
      <c r="D164" t="s" s="9">
        <v>61</v>
      </c>
      <c r="E164" s="121">
        <v>2</v>
      </c>
      <c r="F164" s="6"/>
      <c r="G164" t="str" s="112">
        <f t="shared" si="9"/>
        <v>0</v>
      </c>
      <c r="H164" s="140"/>
    </row>
    <row r="165" spans="1:8" x14ac:dyDescent="0.3">
      <c r="A165" s="28">
        <v>7</v>
      </c>
      <c r="B165" s="7">
        <v>44</v>
      </c>
      <c r="C165" t="s" s="8">
        <v>63</v>
      </c>
      <c r="D165" t="s" s="9">
        <v>61</v>
      </c>
      <c r="E165" s="121">
        <v>46</v>
      </c>
      <c r="F165" s="6"/>
      <c r="G165" t="str" s="112">
        <f t="shared" si="9"/>
        <v>0</v>
      </c>
      <c r="H165" s="140"/>
    </row>
    <row r="166" spans="1:8" x14ac:dyDescent="0.3">
      <c r="A166" s="28">
        <v>8</v>
      </c>
      <c r="B166" s="7">
        <v>75</v>
      </c>
      <c r="C166" t="s" s="8">
        <v>95</v>
      </c>
      <c r="D166" t="s" s="9">
        <v>61</v>
      </c>
      <c r="E166" s="121">
        <v>2</v>
      </c>
      <c r="F166" s="6"/>
      <c r="G166" t="str" s="112">
        <f t="shared" si="9"/>
        <v>0</v>
      </c>
      <c r="H166" s="140"/>
    </row>
    <row r="167" spans="1:8" x14ac:dyDescent="0.3">
      <c r="A167" s="28">
        <v>9</v>
      </c>
      <c r="B167" s="7">
        <v>76</v>
      </c>
      <c r="C167" t="s" s="8">
        <v>96</v>
      </c>
      <c r="D167" t="s" s="9">
        <v>61</v>
      </c>
      <c r="E167" s="121">
        <v>1</v>
      </c>
      <c r="F167" s="6"/>
      <c r="G167" t="str" s="112">
        <f t="shared" si="9"/>
        <v>0</v>
      </c>
      <c r="H167" s="140"/>
    </row>
    <row r="168" spans="1:8" x14ac:dyDescent="0.3">
      <c r="A168" s="28">
        <v>10</v>
      </c>
      <c r="B168" s="7">
        <v>77</v>
      </c>
      <c r="C168" t="s" s="8">
        <v>97</v>
      </c>
      <c r="D168" t="s" s="9">
        <v>61</v>
      </c>
      <c r="E168" s="121">
        <v>2</v>
      </c>
      <c r="F168" s="6"/>
      <c r="G168" t="str" s="112">
        <f t="shared" si="9"/>
        <v>0</v>
      </c>
      <c r="H168" s="140"/>
    </row>
    <row r="169" spans="1:8" x14ac:dyDescent="0.3">
      <c r="A169" s="28">
        <v>11</v>
      </c>
      <c r="B169" s="7">
        <v>48</v>
      </c>
      <c r="C169" t="s" s="8">
        <v>67</v>
      </c>
      <c r="D169" t="s" s="9">
        <v>61</v>
      </c>
      <c r="E169" s="121">
        <v>1</v>
      </c>
      <c r="F169" s="6"/>
      <c r="G169" t="str" s="112">
        <f t="shared" si="9"/>
        <v>0</v>
      </c>
      <c r="H169" s="140"/>
    </row>
    <row r="170" spans="1:8" x14ac:dyDescent="0.3">
      <c r="A170" s="28">
        <v>12</v>
      </c>
      <c r="B170" s="7">
        <v>50</v>
      </c>
      <c r="C170" t="s" s="8">
        <v>69</v>
      </c>
      <c r="D170" t="s" s="9">
        <v>61</v>
      </c>
      <c r="E170" s="121">
        <v>4</v>
      </c>
      <c r="F170" s="6"/>
      <c r="G170" t="str" s="112">
        <f t="shared" si="9"/>
        <v>0</v>
      </c>
      <c r="H170" s="140"/>
    </row>
    <row r="171" spans="1:8" x14ac:dyDescent="0.3">
      <c r="A171" s="28">
        <v>13</v>
      </c>
      <c r="B171" s="7">
        <v>78</v>
      </c>
      <c r="C171" t="s" s="8">
        <v>98</v>
      </c>
      <c r="D171" t="s" s="9">
        <v>61</v>
      </c>
      <c r="E171" s="121">
        <v>3</v>
      </c>
      <c r="F171" s="6"/>
      <c r="G171" t="str" s="112">
        <f t="shared" si="9"/>
        <v>0</v>
      </c>
      <c r="H171" s="140"/>
    </row>
    <row r="172" spans="1:8" x14ac:dyDescent="0.3">
      <c r="A172" s="28">
        <v>14</v>
      </c>
      <c r="B172" s="7">
        <v>79</v>
      </c>
      <c r="C172" t="s" s="8">
        <v>99</v>
      </c>
      <c r="D172" t="s" s="9">
        <v>61</v>
      </c>
      <c r="E172" s="121">
        <v>4</v>
      </c>
      <c r="F172" s="6"/>
      <c r="G172" t="str" s="112">
        <f t="shared" si="9"/>
        <v>0</v>
      </c>
      <c r="H172" s="140"/>
    </row>
    <row r="173" spans="1:8" x14ac:dyDescent="0.3">
      <c r="A173" s="28">
        <v>15</v>
      </c>
      <c r="B173" s="7">
        <v>53</v>
      </c>
      <c r="C173" t="s" s="8">
        <v>72</v>
      </c>
      <c r="D173" t="s" s="9">
        <v>61</v>
      </c>
      <c r="E173" s="121">
        <v>1</v>
      </c>
      <c r="F173" s="6"/>
      <c r="G173" t="str" s="112">
        <f t="shared" si="9"/>
        <v>0</v>
      </c>
      <c r="H173" s="140"/>
    </row>
    <row r="174" spans="1:8" x14ac:dyDescent="0.3">
      <c r="A174" s="28">
        <v>16</v>
      </c>
      <c r="B174" s="7">
        <v>55</v>
      </c>
      <c r="C174" t="s" s="8">
        <v>74</v>
      </c>
      <c r="D174" t="s" s="9">
        <v>61</v>
      </c>
      <c r="E174" s="121">
        <v>5</v>
      </c>
      <c r="F174" s="6"/>
      <c r="G174" t="str" s="112">
        <f t="shared" si="9"/>
        <v>0</v>
      </c>
      <c r="H174" s="140"/>
    </row>
    <row r="175" spans="1:8" x14ac:dyDescent="0.3">
      <c r="A175" s="28">
        <v>17</v>
      </c>
      <c r="B175" s="7">
        <v>80</v>
      </c>
      <c r="C175" t="s" s="8">
        <v>100</v>
      </c>
      <c r="D175" t="s" s="9">
        <v>61</v>
      </c>
      <c r="E175" s="121">
        <v>2</v>
      </c>
      <c r="F175" s="6"/>
      <c r="G175" t="str" s="112">
        <f t="shared" si="9"/>
        <v>0</v>
      </c>
      <c r="H175" s="140"/>
    </row>
    <row r="176" spans="1:8" x14ac:dyDescent="0.3">
      <c r="A176" s="28">
        <v>18</v>
      </c>
      <c r="B176" s="7">
        <v>81</v>
      </c>
      <c r="C176" t="s" s="8">
        <v>101</v>
      </c>
      <c r="D176" t="s" s="9">
        <v>61</v>
      </c>
      <c r="E176" s="121">
        <v>10</v>
      </c>
      <c r="F176" s="6"/>
      <c r="G176" t="str" s="112">
        <f t="shared" si="9"/>
        <v>0</v>
      </c>
      <c r="H176" s="140"/>
    </row>
    <row r="177" spans="1:8" x14ac:dyDescent="0.3">
      <c r="A177" s="28">
        <v>19</v>
      </c>
      <c r="B177" s="7">
        <v>58</v>
      </c>
      <c r="C177" t="s" s="8">
        <v>77</v>
      </c>
      <c r="D177" t="s" s="9">
        <v>61</v>
      </c>
      <c r="E177" s="121">
        <v>1</v>
      </c>
      <c r="F177" s="6"/>
      <c r="G177" t="str" s="112">
        <f t="shared" si="9"/>
        <v>0</v>
      </c>
      <c r="H177" s="140"/>
    </row>
    <row r="178" spans="1:8" x14ac:dyDescent="0.3">
      <c r="A178" s="28">
        <v>20</v>
      </c>
      <c r="B178" s="7">
        <v>82</v>
      </c>
      <c r="C178" t="s" s="8">
        <v>102</v>
      </c>
      <c r="D178" t="s" s="9">
        <v>61</v>
      </c>
      <c r="E178" s="121">
        <v>1</v>
      </c>
      <c r="F178" s="6"/>
      <c r="G178" t="str" s="112">
        <f t="shared" si="9"/>
        <v>0</v>
      </c>
      <c r="H178" s="140"/>
    </row>
    <row r="179" spans="1:8" x14ac:dyDescent="0.3">
      <c r="A179" s="28">
        <v>21</v>
      </c>
      <c r="B179" s="7">
        <v>83</v>
      </c>
      <c r="C179" t="s" s="8">
        <v>103</v>
      </c>
      <c r="D179" t="s" s="9">
        <v>61</v>
      </c>
      <c r="E179" s="121">
        <v>1</v>
      </c>
      <c r="F179" s="6"/>
      <c r="G179" t="str" s="112">
        <f t="shared" si="9"/>
        <v>0</v>
      </c>
      <c r="H179" s="140"/>
    </row>
    <row r="180" spans="1:8" x14ac:dyDescent="0.3">
      <c r="A180" s="28">
        <v>22</v>
      </c>
      <c r="B180" s="7">
        <v>62</v>
      </c>
      <c r="C180" t="s" s="8">
        <v>81</v>
      </c>
      <c r="D180" t="s" s="9">
        <v>61</v>
      </c>
      <c r="E180" s="121">
        <v>2</v>
      </c>
      <c r="F180" s="6"/>
      <c r="G180" t="str" s="112">
        <f t="shared" si="9"/>
        <v>0</v>
      </c>
      <c r="H180" s="140"/>
    </row>
    <row r="181" spans="1:8" x14ac:dyDescent="0.3">
      <c r="A181" s="28">
        <v>23</v>
      </c>
      <c r="B181" s="7">
        <v>84</v>
      </c>
      <c r="C181" t="s" s="8">
        <v>104</v>
      </c>
      <c r="D181" t="s" s="9">
        <v>61</v>
      </c>
      <c r="E181" s="121">
        <v>2</v>
      </c>
      <c r="F181" s="6"/>
      <c r="G181" t="str" s="112">
        <f t="shared" si="9"/>
        <v>0</v>
      </c>
      <c r="H181" s="140"/>
    </row>
    <row r="182" spans="1:8" x14ac:dyDescent="0.3">
      <c r="A182" s="28">
        <v>24</v>
      </c>
      <c r="B182" s="7">
        <v>85</v>
      </c>
      <c r="C182" t="s" s="8">
        <v>105</v>
      </c>
      <c r="D182" t="s" s="9">
        <v>61</v>
      </c>
      <c r="E182" s="121">
        <v>3</v>
      </c>
      <c r="F182" s="6"/>
      <c r="G182" t="str" s="112">
        <f t="shared" si="9"/>
        <v>0</v>
      </c>
      <c r="H182" s="140"/>
    </row>
    <row r="183" spans="1:8" x14ac:dyDescent="0.3">
      <c r="A183" s="28">
        <v>25</v>
      </c>
      <c r="B183" s="7">
        <v>86</v>
      </c>
      <c r="C183" t="s" s="8">
        <v>106</v>
      </c>
      <c r="D183" t="s" s="9">
        <v>61</v>
      </c>
      <c r="E183" s="121">
        <v>1</v>
      </c>
      <c r="F183" s="6"/>
      <c r="G183" t="str" s="112">
        <f t="shared" si="9"/>
        <v>0</v>
      </c>
      <c r="H183" s="140"/>
    </row>
    <row r="184" spans="1:8" x14ac:dyDescent="0.3">
      <c r="A184" s="28">
        <v>26</v>
      </c>
      <c r="B184" s="7">
        <v>64</v>
      </c>
      <c r="C184" t="s" s="8">
        <v>83</v>
      </c>
      <c r="D184" t="s" s="9">
        <v>61</v>
      </c>
      <c r="E184" s="121">
        <v>1</v>
      </c>
      <c r="F184" s="6"/>
      <c r="G184" t="str" s="112">
        <f t="shared" si="9"/>
        <v>0</v>
      </c>
      <c r="H184" s="140"/>
    </row>
    <row r="185" spans="1:8" x14ac:dyDescent="0.3">
      <c r="A185" s="28">
        <v>27</v>
      </c>
      <c r="B185" s="7">
        <v>66</v>
      </c>
      <c r="C185" t="s" s="8">
        <v>85</v>
      </c>
      <c r="D185" t="s" s="9">
        <v>61</v>
      </c>
      <c r="E185" s="121">
        <v>4</v>
      </c>
      <c r="F185" s="6"/>
      <c r="G185" t="str" s="112">
        <f t="shared" si="9"/>
        <v>0</v>
      </c>
      <c r="H185" s="140"/>
    </row>
    <row r="186" spans="1:8" x14ac:dyDescent="0.3">
      <c r="A186" s="28">
        <v>28</v>
      </c>
      <c r="B186" s="7">
        <v>87</v>
      </c>
      <c r="C186" t="s" s="8">
        <v>107</v>
      </c>
      <c r="D186" t="s" s="9">
        <v>61</v>
      </c>
      <c r="E186" s="121">
        <v>3</v>
      </c>
      <c r="F186" s="6"/>
      <c r="G186" t="str" s="112">
        <f t="shared" si="9"/>
        <v>0</v>
      </c>
      <c r="H186" s="140"/>
    </row>
    <row r="187" spans="1:8" x14ac:dyDescent="0.3">
      <c r="A187" s="28">
        <v>29</v>
      </c>
      <c r="B187" s="7">
        <v>67</v>
      </c>
      <c r="C187" t="s" s="8">
        <v>86</v>
      </c>
      <c r="D187" t="s" s="9">
        <v>61</v>
      </c>
      <c r="E187" s="121">
        <v>1</v>
      </c>
      <c r="F187" s="6"/>
      <c r="G187" t="str" s="112">
        <f t="shared" si="9"/>
        <v>0</v>
      </c>
      <c r="H187" s="140"/>
    </row>
    <row r="188" spans="1:8" x14ac:dyDescent="0.3">
      <c r="A188" s="28">
        <v>30</v>
      </c>
      <c r="B188" s="7">
        <v>68</v>
      </c>
      <c r="C188" t="s" s="8">
        <v>87</v>
      </c>
      <c r="D188" t="s" s="9">
        <v>61</v>
      </c>
      <c r="E188" s="121">
        <v>1</v>
      </c>
      <c r="F188" s="6"/>
      <c r="G188" t="str" s="112">
        <f t="shared" si="9"/>
        <v>0</v>
      </c>
      <c r="H188" s="140"/>
    </row>
    <row r="189" spans="1:8" x14ac:dyDescent="0.3">
      <c r="A189" s="28">
        <v>31</v>
      </c>
      <c r="B189" s="7">
        <v>69</v>
      </c>
      <c r="C189" t="s" s="8">
        <v>88</v>
      </c>
      <c r="D189" t="s" s="9">
        <v>16</v>
      </c>
      <c r="E189" t="str" s="111">
        <f>E159+E160</f>
        <v>4257.96</v>
      </c>
      <c r="F189" s="6"/>
      <c r="G189" t="str" s="112">
        <f t="shared" si="9"/>
        <v>0</v>
      </c>
      <c r="H189" s="140"/>
    </row>
    <row r="190" spans="1:8" x14ac:dyDescent="0.3">
      <c r="A190" s="28">
        <v>32</v>
      </c>
      <c r="B190" s="7">
        <v>70</v>
      </c>
      <c r="C190" t="s" s="8">
        <v>89</v>
      </c>
      <c r="D190" t="s" s="9">
        <v>90</v>
      </c>
      <c r="E190" t="str" s="111">
        <f>E189/100</f>
        <v>42.5796</v>
      </c>
      <c r="F190" s="6"/>
      <c r="G190" t="str" s="112">
        <f t="shared" si="9"/>
        <v>0</v>
      </c>
      <c r="H190" s="140"/>
    </row>
    <row r="191" spans="1:8" x14ac:dyDescent="0.3">
      <c r="A191" s="28">
        <v>33</v>
      </c>
      <c r="B191" s="7">
        <v>71</v>
      </c>
      <c r="C191" t="s" s="8">
        <v>91</v>
      </c>
      <c r="D191" t="s" s="9">
        <v>16</v>
      </c>
      <c r="E191" t="str" s="111">
        <f>E189</f>
        <v>4257.96</v>
      </c>
      <c r="F191" s="6"/>
      <c r="G191" t="str" s="112">
        <f t="shared" si="9"/>
        <v>0</v>
      </c>
      <c r="H191" s="140"/>
    </row>
    <row r="192" spans="1:8" x14ac:dyDescent="0.3">
      <c r="A192" s="28">
        <v>34</v>
      </c>
      <c r="B192" s="7">
        <v>72</v>
      </c>
      <c r="C192" t="s" s="8">
        <v>92</v>
      </c>
      <c r="D192" t="s" s="9">
        <v>16</v>
      </c>
      <c r="E192" t="str" s="111">
        <f>E191</f>
        <v>4257.96</v>
      </c>
      <c r="F192" s="6"/>
      <c r="G192" t="str" s="112">
        <f t="shared" si="9"/>
        <v>0</v>
      </c>
      <c r="H192" s="140"/>
    </row>
    <row r="193" spans="1:8" ht="15.6" customFormat="1" x14ac:dyDescent="0.3" s="14">
      <c r="A193" t="s" s="141">
        <v>34</v>
      </c>
      <c r="B193" s="106">
        <v>21</v>
      </c>
      <c r="C193" t="s" s="113">
        <v>35</v>
      </c>
      <c r="D193" s="113"/>
      <c r="E193" s="113"/>
      <c r="F193" s="113"/>
      <c r="G193" s="113"/>
      <c r="H193" s="145"/>
    </row>
    <row r="194" spans="1:8" x14ac:dyDescent="0.3">
      <c r="A194" t="s" s="28">
        <v>108</v>
      </c>
      <c r="B194" s="17">
        <v>41</v>
      </c>
      <c r="C194" t="s" s="8">
        <v>59</v>
      </c>
      <c r="D194" t="s" s="9">
        <v>16</v>
      </c>
      <c r="E194" s="111">
        <v>1915.04</v>
      </c>
      <c r="F194" s="6"/>
      <c r="G194" t="str" s="122">
        <f t="shared" ref="G194:G225" si="10">E194*F194</f>
        <v>0</v>
      </c>
      <c r="H194" s="140"/>
    </row>
    <row r="195" spans="1:8" x14ac:dyDescent="0.3">
      <c r="A195" t="s" s="28">
        <v>109</v>
      </c>
      <c r="B195" s="17">
        <v>43</v>
      </c>
      <c r="C195" t="s" s="8">
        <v>62</v>
      </c>
      <c r="D195" t="s" s="18">
        <v>110</v>
      </c>
      <c r="E195" s="123">
        <v>4</v>
      </c>
      <c r="F195" s="6"/>
      <c r="G195" t="str" s="124">
        <f t="shared" si="10"/>
        <v>0</v>
      </c>
      <c r="H195" s="140"/>
    </row>
    <row r="196" spans="1:8" x14ac:dyDescent="0.3">
      <c r="A196" t="s" s="28">
        <v>111</v>
      </c>
      <c r="B196" s="17">
        <v>44</v>
      </c>
      <c r="C196" t="s" s="8">
        <v>63</v>
      </c>
      <c r="D196" t="s" s="18">
        <v>110</v>
      </c>
      <c r="E196" s="121">
        <v>15</v>
      </c>
      <c r="F196" s="6"/>
      <c r="G196" t="str" s="112">
        <f t="shared" si="10"/>
        <v>0</v>
      </c>
      <c r="H196" s="140"/>
    </row>
    <row r="197" spans="1:8" x14ac:dyDescent="0.3">
      <c r="A197" t="s" s="28">
        <v>112</v>
      </c>
      <c r="B197" s="17">
        <v>88</v>
      </c>
      <c r="C197" t="s" s="8">
        <v>113</v>
      </c>
      <c r="D197" t="s" s="18">
        <v>110</v>
      </c>
      <c r="E197" s="123">
        <v>1</v>
      </c>
      <c r="F197" s="6"/>
      <c r="G197" t="str" s="124">
        <f t="shared" si="10"/>
        <v>0</v>
      </c>
      <c r="H197" s="140"/>
    </row>
    <row r="198" spans="1:8" x14ac:dyDescent="0.3">
      <c r="A198" t="s" s="28">
        <v>114</v>
      </c>
      <c r="B198" s="17">
        <v>89</v>
      </c>
      <c r="C198" t="s" s="8">
        <v>115</v>
      </c>
      <c r="D198" t="s" s="18">
        <v>110</v>
      </c>
      <c r="E198" s="123">
        <v>1</v>
      </c>
      <c r="F198" s="6"/>
      <c r="G198" t="str" s="124">
        <f t="shared" si="10"/>
        <v>0</v>
      </c>
      <c r="H198" s="140"/>
    </row>
    <row r="199" spans="1:8" x14ac:dyDescent="0.3">
      <c r="A199" t="s" s="28">
        <v>116</v>
      </c>
      <c r="B199" s="17">
        <v>90</v>
      </c>
      <c r="C199" t="s" s="8">
        <v>117</v>
      </c>
      <c r="D199" t="s" s="18">
        <v>110</v>
      </c>
      <c r="E199" s="123">
        <v>1</v>
      </c>
      <c r="F199" s="6"/>
      <c r="G199" t="str" s="124">
        <f t="shared" si="10"/>
        <v>0</v>
      </c>
      <c r="H199" s="140"/>
    </row>
    <row r="200" spans="1:8" x14ac:dyDescent="0.3">
      <c r="A200" t="s" s="28">
        <v>118</v>
      </c>
      <c r="B200" s="17">
        <v>77</v>
      </c>
      <c r="C200" t="s" s="8">
        <v>97</v>
      </c>
      <c r="D200" t="s" s="18">
        <v>110</v>
      </c>
      <c r="E200" s="123">
        <v>1</v>
      </c>
      <c r="F200" s="6"/>
      <c r="G200" t="str" s="124">
        <f t="shared" si="10"/>
        <v>0</v>
      </c>
      <c r="H200" s="140"/>
    </row>
    <row r="201" spans="1:8" x14ac:dyDescent="0.3">
      <c r="A201" t="s" s="28">
        <v>119</v>
      </c>
      <c r="B201" s="17">
        <v>91</v>
      </c>
      <c r="C201" t="s" s="8">
        <v>120</v>
      </c>
      <c r="D201" t="s" s="18">
        <v>110</v>
      </c>
      <c r="E201" s="123">
        <v>1</v>
      </c>
      <c r="F201" s="6"/>
      <c r="G201" t="str" s="124">
        <f t="shared" si="10"/>
        <v>0</v>
      </c>
      <c r="H201" s="140"/>
    </row>
    <row r="202" spans="1:8" x14ac:dyDescent="0.3">
      <c r="A202" t="s" s="28">
        <v>121</v>
      </c>
      <c r="B202" s="17">
        <v>92</v>
      </c>
      <c r="C202" t="s" s="8">
        <v>122</v>
      </c>
      <c r="D202" t="s" s="18">
        <v>110</v>
      </c>
      <c r="E202" s="123">
        <v>18</v>
      </c>
      <c r="F202" s="6"/>
      <c r="G202" t="str" s="124">
        <f t="shared" si="10"/>
        <v>0</v>
      </c>
      <c r="H202" s="140"/>
    </row>
    <row r="203" spans="1:8" x14ac:dyDescent="0.3">
      <c r="A203" t="s" s="28">
        <v>123</v>
      </c>
      <c r="B203" s="17">
        <v>93</v>
      </c>
      <c r="C203" t="s" s="8">
        <v>124</v>
      </c>
      <c r="D203" t="s" s="18">
        <v>110</v>
      </c>
      <c r="E203" s="123">
        <v>1</v>
      </c>
      <c r="F203" s="6"/>
      <c r="G203" t="str" s="124">
        <f t="shared" si="10"/>
        <v>0</v>
      </c>
      <c r="H203" s="140"/>
    </row>
    <row r="204" spans="1:8" x14ac:dyDescent="0.3">
      <c r="A204" t="s" s="28">
        <v>125</v>
      </c>
      <c r="B204" s="17">
        <v>94</v>
      </c>
      <c r="C204" t="s" s="8">
        <v>126</v>
      </c>
      <c r="D204" t="s" s="18">
        <v>110</v>
      </c>
      <c r="E204" s="123">
        <v>2</v>
      </c>
      <c r="F204" s="6"/>
      <c r="G204" t="str" s="124">
        <f t="shared" si="10"/>
        <v>0</v>
      </c>
      <c r="H204" s="140"/>
    </row>
    <row r="205" spans="1:8" x14ac:dyDescent="0.3">
      <c r="A205" t="s" s="28">
        <v>127</v>
      </c>
      <c r="B205" s="17">
        <v>95</v>
      </c>
      <c r="C205" t="s" s="8">
        <v>128</v>
      </c>
      <c r="D205" t="s" s="18">
        <v>110</v>
      </c>
      <c r="E205" s="123">
        <v>2</v>
      </c>
      <c r="F205" s="6"/>
      <c r="G205" t="str" s="124">
        <f t="shared" si="10"/>
        <v>0</v>
      </c>
      <c r="H205" s="140"/>
    </row>
    <row r="206" spans="1:8" x14ac:dyDescent="0.3">
      <c r="A206" t="s" s="28">
        <v>129</v>
      </c>
      <c r="B206" s="17">
        <v>96</v>
      </c>
      <c r="C206" t="s" s="8">
        <v>130</v>
      </c>
      <c r="D206" t="s" s="18">
        <v>110</v>
      </c>
      <c r="E206" s="123">
        <v>6</v>
      </c>
      <c r="F206" s="6"/>
      <c r="G206" t="str" s="124">
        <f t="shared" si="10"/>
        <v>0</v>
      </c>
      <c r="H206" s="140"/>
    </row>
    <row r="207" spans="1:8" x14ac:dyDescent="0.3">
      <c r="A207" t="s" s="28">
        <v>131</v>
      </c>
      <c r="B207" s="17">
        <v>51</v>
      </c>
      <c r="C207" t="s" s="8">
        <v>70</v>
      </c>
      <c r="D207" t="s" s="18">
        <v>110</v>
      </c>
      <c r="E207" s="123">
        <v>18</v>
      </c>
      <c r="F207" s="6"/>
      <c r="G207" t="str" s="124">
        <f t="shared" si="10"/>
        <v>0</v>
      </c>
      <c r="H207" s="140"/>
    </row>
    <row r="208" spans="1:8" x14ac:dyDescent="0.3">
      <c r="A208" t="s" s="28">
        <v>132</v>
      </c>
      <c r="B208" s="17">
        <v>53</v>
      </c>
      <c r="C208" t="s" s="8">
        <v>72</v>
      </c>
      <c r="D208" t="s" s="18">
        <v>110</v>
      </c>
      <c r="E208" s="123">
        <v>1</v>
      </c>
      <c r="F208" s="6"/>
      <c r="G208" t="str" s="124">
        <f t="shared" si="10"/>
        <v>0</v>
      </c>
      <c r="H208" s="140"/>
    </row>
    <row r="209" spans="1:8" x14ac:dyDescent="0.3">
      <c r="A209" t="s" s="28">
        <v>133</v>
      </c>
      <c r="B209" s="17">
        <v>55</v>
      </c>
      <c r="C209" t="s" s="8">
        <v>74</v>
      </c>
      <c r="D209" t="s" s="18">
        <v>110</v>
      </c>
      <c r="E209" s="123">
        <v>5</v>
      </c>
      <c r="F209" s="6"/>
      <c r="G209" t="str" s="124">
        <f t="shared" si="10"/>
        <v>0</v>
      </c>
      <c r="H209" s="140"/>
    </row>
    <row r="210" spans="1:8" x14ac:dyDescent="0.3">
      <c r="A210" t="s" s="28">
        <v>134</v>
      </c>
      <c r="B210" s="17">
        <v>97</v>
      </c>
      <c r="C210" t="s" s="8">
        <v>135</v>
      </c>
      <c r="D210" t="s" s="18">
        <v>110</v>
      </c>
      <c r="E210" s="123">
        <v>2</v>
      </c>
      <c r="F210" s="6"/>
      <c r="G210" t="str" s="124">
        <f t="shared" si="10"/>
        <v>0</v>
      </c>
      <c r="H210" s="140"/>
    </row>
    <row r="211" spans="1:8" x14ac:dyDescent="0.3">
      <c r="A211" t="s" s="28">
        <v>136</v>
      </c>
      <c r="B211" s="17">
        <v>98</v>
      </c>
      <c r="C211" t="s" s="8">
        <v>137</v>
      </c>
      <c r="D211" t="s" s="18">
        <v>110</v>
      </c>
      <c r="E211" s="123">
        <v>8</v>
      </c>
      <c r="F211" s="6"/>
      <c r="G211" t="str" s="124">
        <f t="shared" si="10"/>
        <v>0</v>
      </c>
      <c r="H211" s="140"/>
    </row>
    <row r="212" spans="1:8" x14ac:dyDescent="0.3">
      <c r="A212" t="s" s="28">
        <v>138</v>
      </c>
      <c r="B212" s="17">
        <v>99</v>
      </c>
      <c r="C212" t="s" s="8">
        <v>139</v>
      </c>
      <c r="D212" t="s" s="18">
        <v>110</v>
      </c>
      <c r="E212" s="123">
        <v>1</v>
      </c>
      <c r="F212" s="6"/>
      <c r="G212" t="str" s="124">
        <f t="shared" si="10"/>
        <v>0</v>
      </c>
      <c r="H212" s="140"/>
    </row>
    <row r="213" spans="1:8" x14ac:dyDescent="0.3">
      <c r="A213" t="s" s="28">
        <v>140</v>
      </c>
      <c r="B213" s="17">
        <v>100</v>
      </c>
      <c r="C213" t="s" s="8">
        <v>141</v>
      </c>
      <c r="D213" t="s" s="18">
        <v>110</v>
      </c>
      <c r="E213" s="123">
        <v>1</v>
      </c>
      <c r="F213" s="6"/>
      <c r="G213" t="str" s="124">
        <f t="shared" si="10"/>
        <v>0</v>
      </c>
      <c r="H213" s="140"/>
    </row>
    <row r="214" spans="1:8" x14ac:dyDescent="0.3">
      <c r="A214" t="s" s="28">
        <v>142</v>
      </c>
      <c r="B214" s="17">
        <v>101</v>
      </c>
      <c r="C214" t="s" s="8">
        <v>143</v>
      </c>
      <c r="D214" t="s" s="18">
        <v>110</v>
      </c>
      <c r="E214" s="123">
        <v>1</v>
      </c>
      <c r="F214" s="6"/>
      <c r="G214" t="str" s="124">
        <f t="shared" si="10"/>
        <v>0</v>
      </c>
      <c r="H214" s="140"/>
    </row>
    <row r="215" spans="1:8" x14ac:dyDescent="0.3">
      <c r="A215" t="s" s="28">
        <v>144</v>
      </c>
      <c r="B215" s="17">
        <v>102</v>
      </c>
      <c r="C215" t="s" s="8">
        <v>145</v>
      </c>
      <c r="D215" t="s" s="18">
        <v>110</v>
      </c>
      <c r="E215" s="123">
        <v>1</v>
      </c>
      <c r="F215" s="6"/>
      <c r="G215" t="str" s="124">
        <f t="shared" si="10"/>
        <v>0</v>
      </c>
      <c r="H215" s="140"/>
    </row>
    <row r="216" spans="1:8" x14ac:dyDescent="0.3">
      <c r="A216" t="s" s="28">
        <v>146</v>
      </c>
      <c r="B216" s="17">
        <v>103</v>
      </c>
      <c r="C216" t="s" s="8">
        <v>147</v>
      </c>
      <c r="D216" t="s" s="18">
        <v>110</v>
      </c>
      <c r="E216" s="123">
        <v>1</v>
      </c>
      <c r="F216" s="6"/>
      <c r="G216" t="str" s="124">
        <f t="shared" si="10"/>
        <v>0</v>
      </c>
      <c r="H216" s="140"/>
    </row>
    <row r="217" spans="1:8" x14ac:dyDescent="0.3">
      <c r="A217" t="s" s="28">
        <v>148</v>
      </c>
      <c r="B217" s="17">
        <v>104</v>
      </c>
      <c r="C217" t="s" s="8">
        <v>149</v>
      </c>
      <c r="D217" t="s" s="18">
        <v>110</v>
      </c>
      <c r="E217" s="123">
        <v>1</v>
      </c>
      <c r="F217" s="6"/>
      <c r="G217" t="str" s="124">
        <f t="shared" si="10"/>
        <v>0</v>
      </c>
      <c r="H217" s="140"/>
    </row>
    <row r="218" spans="1:8" x14ac:dyDescent="0.3">
      <c r="A218" t="s" s="28">
        <v>150</v>
      </c>
      <c r="B218" s="17">
        <v>105</v>
      </c>
      <c r="C218" t="s" s="8">
        <v>151</v>
      </c>
      <c r="D218" t="s" s="18">
        <v>110</v>
      </c>
      <c r="E218" s="123">
        <v>1</v>
      </c>
      <c r="F218" s="6"/>
      <c r="G218" t="str" s="124">
        <f t="shared" si="10"/>
        <v>0</v>
      </c>
      <c r="H218" s="140"/>
    </row>
    <row r="219" spans="1:8" x14ac:dyDescent="0.3">
      <c r="A219" t="s" s="28">
        <v>152</v>
      </c>
      <c r="B219" s="17">
        <v>106</v>
      </c>
      <c r="C219" t="s" s="8">
        <v>153</v>
      </c>
      <c r="D219" t="s" s="18">
        <v>110</v>
      </c>
      <c r="E219" s="123">
        <v>2</v>
      </c>
      <c r="F219" s="6"/>
      <c r="G219" t="str" s="124">
        <f t="shared" si="10"/>
        <v>0</v>
      </c>
      <c r="H219" s="140"/>
    </row>
    <row r="220" spans="1:8" x14ac:dyDescent="0.3">
      <c r="A220" t="s" s="28">
        <v>154</v>
      </c>
      <c r="B220" s="17">
        <v>107</v>
      </c>
      <c r="C220" t="s" s="8">
        <v>155</v>
      </c>
      <c r="D220" t="s" s="18">
        <v>110</v>
      </c>
      <c r="E220" s="123">
        <v>5</v>
      </c>
      <c r="F220" s="6"/>
      <c r="G220" t="str" s="124">
        <f t="shared" si="10"/>
        <v>0</v>
      </c>
      <c r="H220" s="140"/>
    </row>
    <row r="221" spans="1:8" x14ac:dyDescent="0.3">
      <c r="A221" t="s" s="28">
        <v>156</v>
      </c>
      <c r="B221" s="17">
        <v>67</v>
      </c>
      <c r="C221" t="s" s="8">
        <v>86</v>
      </c>
      <c r="D221" t="s" s="18">
        <v>110</v>
      </c>
      <c r="E221" s="121">
        <v>5</v>
      </c>
      <c r="F221" s="6"/>
      <c r="G221" t="str" s="112">
        <f t="shared" si="10"/>
        <v>0</v>
      </c>
      <c r="H221" s="140"/>
    </row>
    <row r="222" spans="1:8" x14ac:dyDescent="0.3">
      <c r="A222" t="s" s="28">
        <v>157</v>
      </c>
      <c r="B222" s="17">
        <v>69</v>
      </c>
      <c r="C222" t="s" s="8">
        <v>88</v>
      </c>
      <c r="D222" t="s" s="9">
        <v>16</v>
      </c>
      <c r="E222" s="111">
        <v>1915.04</v>
      </c>
      <c r="F222" s="6"/>
      <c r="G222" t="str" s="112">
        <f t="shared" si="10"/>
        <v>0</v>
      </c>
      <c r="H222" s="140"/>
    </row>
    <row r="223" spans="1:8" x14ac:dyDescent="0.3">
      <c r="A223" t="s" s="28">
        <v>158</v>
      </c>
      <c r="B223" s="17">
        <v>70</v>
      </c>
      <c r="C223" t="s" s="8">
        <v>89</v>
      </c>
      <c r="D223" t="s" s="9">
        <v>90</v>
      </c>
      <c r="E223" s="111">
        <v>19.15</v>
      </c>
      <c r="F223" s="6"/>
      <c r="G223" t="str" s="112">
        <f t="shared" si="10"/>
        <v>0</v>
      </c>
      <c r="H223" s="140"/>
    </row>
    <row r="224" spans="1:8" x14ac:dyDescent="0.3">
      <c r="A224" t="s" s="28">
        <v>159</v>
      </c>
      <c r="B224" s="17">
        <v>71</v>
      </c>
      <c r="C224" t="s" s="8">
        <v>91</v>
      </c>
      <c r="D224" t="s" s="9">
        <v>16</v>
      </c>
      <c r="E224" s="111">
        <v>1915.04</v>
      </c>
      <c r="F224" s="6"/>
      <c r="G224" t="str" s="112">
        <f t="shared" si="10"/>
        <v>0</v>
      </c>
      <c r="H224" s="140"/>
    </row>
    <row r="225" spans="1:8" x14ac:dyDescent="0.3">
      <c r="A225" t="s" s="28">
        <v>160</v>
      </c>
      <c r="B225" s="17">
        <v>72</v>
      </c>
      <c r="C225" t="s" s="8">
        <v>92</v>
      </c>
      <c r="D225" t="s" s="9">
        <v>16</v>
      </c>
      <c r="E225" s="111">
        <v>1915.04</v>
      </c>
      <c r="F225" s="6"/>
      <c r="G225" t="str" s="112">
        <f t="shared" si="10"/>
        <v>0</v>
      </c>
      <c r="H225" s="140"/>
    </row>
    <row r="226" spans="1:9" customFormat="1" x14ac:dyDescent="0.3" s="14">
      <c r="A226" t="s" s="144">
        <v>272</v>
      </c>
      <c r="B226" s="117"/>
      <c r="C226" s="117"/>
      <c r="D226" s="117"/>
      <c r="E226" s="117"/>
      <c r="F226" t="s" s="117">
        <v>200</v>
      </c>
      <c r="G226" t="str" s="119">
        <f>SUM(G125:G225)</f>
        <v>0</v>
      </c>
      <c r="H226" s="145"/>
      <c r="I226" s="15"/>
    </row>
    <row r="227" spans="1:9" customFormat="1" x14ac:dyDescent="0.3" s="12">
      <c r="A227" t="s" s="139">
        <v>161</v>
      </c>
      <c r="B227" s="105"/>
      <c r="C227" s="105"/>
      <c r="D227" s="105"/>
      <c r="E227" s="105"/>
      <c r="F227" s="105"/>
      <c r="G227" s="105"/>
      <c r="H227" s="146"/>
      <c r="I227" s="13"/>
    </row>
    <row r="228" spans="1:9" ht="15.6" customFormat="1" x14ac:dyDescent="0.3" s="14">
      <c r="A228" t="s" s="141">
        <v>26</v>
      </c>
      <c r="B228" s="106">
        <v>3</v>
      </c>
      <c r="C228" t="s" s="107">
        <v>27</v>
      </c>
      <c r="D228" s="107"/>
      <c r="E228" s="107"/>
      <c r="F228" s="107"/>
      <c r="G228" s="107"/>
      <c r="H228" s="145"/>
      <c r="I228" s="15"/>
    </row>
    <row r="229" spans="1:8" x14ac:dyDescent="0.3">
      <c r="A229" s="26">
        <v>1</v>
      </c>
      <c r="B229" s="3">
        <v>108</v>
      </c>
      <c r="C229" t="s" s="4">
        <v>162</v>
      </c>
      <c r="D229" t="s" s="5">
        <v>33</v>
      </c>
      <c r="E229" s="108">
        <v>2433.2</v>
      </c>
      <c r="F229" s="6"/>
      <c r="G229" t="str" s="109">
        <f t="shared" ref="G229:G234" si="11">E229*F229</f>
        <v>0</v>
      </c>
      <c r="H229" s="140"/>
    </row>
    <row r="230" spans="1:8" x14ac:dyDescent="0.3">
      <c r="A230" s="26">
        <v>2</v>
      </c>
      <c r="B230" s="3">
        <v>109</v>
      </c>
      <c r="C230" t="s" s="4">
        <v>163</v>
      </c>
      <c r="D230" t="s" s="5">
        <v>33</v>
      </c>
      <c r="E230" s="108">
        <v>4866.4</v>
      </c>
      <c r="F230" s="6"/>
      <c r="G230" t="str" s="109">
        <f t="shared" si="11"/>
        <v>0</v>
      </c>
      <c r="H230" s="140"/>
    </row>
    <row r="231" spans="1:8" x14ac:dyDescent="0.3">
      <c r="A231" s="26">
        <v>3</v>
      </c>
      <c r="B231" s="3">
        <v>110</v>
      </c>
      <c r="C231" t="s" s="4">
        <v>164</v>
      </c>
      <c r="D231" t="s" s="5">
        <v>165</v>
      </c>
      <c r="E231" s="108">
        <v>243.32</v>
      </c>
      <c r="F231" s="6"/>
      <c r="G231" t="str" s="109">
        <f t="shared" si="11"/>
        <v>0</v>
      </c>
      <c r="H231" s="140"/>
    </row>
    <row r="232" spans="1:8" x14ac:dyDescent="0.3">
      <c r="A232" s="26">
        <v>4</v>
      </c>
      <c r="B232" s="3">
        <v>111</v>
      </c>
      <c r="C232" t="s" s="4">
        <v>166</v>
      </c>
      <c r="D232" t="s" s="5">
        <v>165</v>
      </c>
      <c r="E232" s="108">
        <v>467.17</v>
      </c>
      <c r="F232" s="6"/>
      <c r="G232" t="str" s="109">
        <f t="shared" si="11"/>
        <v>0</v>
      </c>
      <c r="H232" s="140"/>
    </row>
    <row r="233" spans="1:8" x14ac:dyDescent="0.3">
      <c r="A233" s="26">
        <v>5</v>
      </c>
      <c r="B233" s="3">
        <v>112</v>
      </c>
      <c r="C233" t="s" s="4">
        <v>167</v>
      </c>
      <c r="D233" t="s" s="5">
        <v>33</v>
      </c>
      <c r="E233" s="108">
        <v>2433.2</v>
      </c>
      <c r="F233" s="6"/>
      <c r="G233" t="str" s="109">
        <f t="shared" si="11"/>
        <v>0</v>
      </c>
      <c r="H233" s="140"/>
    </row>
    <row r="234" spans="1:8" ht="20.4" x14ac:dyDescent="0.3">
      <c r="A234" s="26">
        <v>6</v>
      </c>
      <c r="B234" s="3">
        <v>113</v>
      </c>
      <c r="C234" t="s" s="4">
        <v>168</v>
      </c>
      <c r="D234" t="s" s="5">
        <v>13</v>
      </c>
      <c r="E234" s="108">
        <v>1070.61</v>
      </c>
      <c r="F234" s="6"/>
      <c r="G234" t="str" s="109">
        <f t="shared" si="11"/>
        <v>0</v>
      </c>
      <c r="H234" s="140"/>
    </row>
    <row r="235" spans="1:9" ht="15.6" customFormat="1" x14ac:dyDescent="0.3" s="14">
      <c r="A235" t="s" s="141">
        <v>28</v>
      </c>
      <c r="B235" s="106">
        <v>17</v>
      </c>
      <c r="C235" t="s" s="110">
        <v>29</v>
      </c>
      <c r="D235" s="110"/>
      <c r="E235" s="110"/>
      <c r="F235" s="110"/>
      <c r="G235" s="110"/>
      <c r="H235" s="145"/>
      <c r="I235" s="15"/>
    </row>
    <row r="236" spans="1:8" x14ac:dyDescent="0.3">
      <c r="A236" s="28">
        <v>1</v>
      </c>
      <c r="B236" s="7">
        <v>108</v>
      </c>
      <c r="C236" t="s" s="8">
        <v>162</v>
      </c>
      <c r="D236" t="s" s="9">
        <v>33</v>
      </c>
      <c r="E236" s="111">
        <v>1687</v>
      </c>
      <c r="F236" s="6"/>
      <c r="G236" t="str" s="112">
        <f t="shared" ref="G236:G241" si="12">E236*F236</f>
        <v>0</v>
      </c>
      <c r="H236" s="140"/>
    </row>
    <row r="237" spans="1:8" x14ac:dyDescent="0.3">
      <c r="A237" s="28">
        <v>2</v>
      </c>
      <c r="B237" s="7">
        <v>109</v>
      </c>
      <c r="C237" t="s" s="8">
        <v>163</v>
      </c>
      <c r="D237" t="s" s="9">
        <v>33</v>
      </c>
      <c r="E237" s="111">
        <v>3374</v>
      </c>
      <c r="F237" s="6"/>
      <c r="G237" t="str" s="112">
        <f t="shared" si="12"/>
        <v>0</v>
      </c>
      <c r="H237" s="140"/>
    </row>
    <row r="238" spans="1:8" x14ac:dyDescent="0.3">
      <c r="A238" s="28">
        <v>3</v>
      </c>
      <c r="B238" s="7">
        <v>110</v>
      </c>
      <c r="C238" t="s" s="8">
        <v>164</v>
      </c>
      <c r="D238" t="s" s="9">
        <v>165</v>
      </c>
      <c r="E238" s="111">
        <v>168.7</v>
      </c>
      <c r="F238" s="6"/>
      <c r="G238" t="str" s="112">
        <f t="shared" si="12"/>
        <v>0</v>
      </c>
      <c r="H238" s="140"/>
    </row>
    <row r="239" spans="1:8" x14ac:dyDescent="0.3">
      <c r="A239" s="28">
        <v>4</v>
      </c>
      <c r="B239" s="7">
        <v>111</v>
      </c>
      <c r="C239" t="s" s="8">
        <v>166</v>
      </c>
      <c r="D239" t="s" s="9">
        <v>165</v>
      </c>
      <c r="E239" s="111">
        <v>323.9</v>
      </c>
      <c r="F239" s="6"/>
      <c r="G239" t="str" s="112">
        <f t="shared" si="12"/>
        <v>0</v>
      </c>
      <c r="H239" s="140"/>
    </row>
    <row r="240" spans="1:8" x14ac:dyDescent="0.3">
      <c r="A240" s="28">
        <v>5</v>
      </c>
      <c r="B240" s="7">
        <v>112</v>
      </c>
      <c r="C240" t="s" s="8">
        <v>167</v>
      </c>
      <c r="D240" t="s" s="9">
        <v>33</v>
      </c>
      <c r="E240" s="111">
        <v>1687</v>
      </c>
      <c r="F240" s="6"/>
      <c r="G240" t="str" s="112">
        <f t="shared" si="12"/>
        <v>0</v>
      </c>
      <c r="H240" s="140"/>
    </row>
    <row r="241" spans="1:8" ht="20.4" x14ac:dyDescent="0.3">
      <c r="A241" s="28">
        <v>6</v>
      </c>
      <c r="B241" s="7">
        <v>113</v>
      </c>
      <c r="C241" t="s" s="8">
        <v>168</v>
      </c>
      <c r="D241" t="s" s="9">
        <v>13</v>
      </c>
      <c r="E241" s="111">
        <v>742.28</v>
      </c>
      <c r="F241" s="6"/>
      <c r="G241" t="str" s="112">
        <f t="shared" si="12"/>
        <v>0</v>
      </c>
      <c r="H241" s="140"/>
    </row>
    <row r="242" spans="1:8" ht="15.6" customFormat="1" x14ac:dyDescent="0.3" s="14">
      <c r="A242" t="s" s="141">
        <v>34</v>
      </c>
      <c r="B242" s="106">
        <v>21</v>
      </c>
      <c r="C242" t="s" s="113">
        <v>35</v>
      </c>
      <c r="D242" s="113"/>
      <c r="E242" s="113"/>
      <c r="F242" s="113"/>
      <c r="G242" s="113"/>
      <c r="H242" s="145"/>
    </row>
    <row r="243" spans="1:8" x14ac:dyDescent="0.3">
      <c r="A243" s="28">
        <v>1</v>
      </c>
      <c r="B243" s="7">
        <v>108</v>
      </c>
      <c r="C243" t="s" s="8">
        <v>162</v>
      </c>
      <c r="D243" t="s" s="9">
        <v>33</v>
      </c>
      <c r="E243" s="111">
        <v>9.45</v>
      </c>
      <c r="F243" s="6"/>
      <c r="G243" t="str" s="112">
        <f t="shared" ref="G243:G248" si="13">E243*F243</f>
        <v>0</v>
      </c>
      <c r="H243" s="140"/>
    </row>
    <row r="244" spans="1:8" x14ac:dyDescent="0.3">
      <c r="A244" s="28">
        <v>2</v>
      </c>
      <c r="B244" s="7">
        <v>109</v>
      </c>
      <c r="C244" t="s" s="8">
        <v>163</v>
      </c>
      <c r="D244" t="s" s="9">
        <v>33</v>
      </c>
      <c r="E244" s="111">
        <v>18.9</v>
      </c>
      <c r="F244" s="6"/>
      <c r="G244" t="str" s="112">
        <f t="shared" si="13"/>
        <v>0</v>
      </c>
      <c r="H244" s="140"/>
    </row>
    <row r="245" spans="1:8" x14ac:dyDescent="0.3">
      <c r="A245" s="28">
        <v>3</v>
      </c>
      <c r="B245" s="7">
        <v>110</v>
      </c>
      <c r="C245" t="s" s="8">
        <v>164</v>
      </c>
      <c r="D245" t="s" s="9">
        <v>165</v>
      </c>
      <c r="E245" s="111">
        <v>95</v>
      </c>
      <c r="F245" s="6"/>
      <c r="G245" t="str" s="112">
        <f t="shared" si="13"/>
        <v>0</v>
      </c>
      <c r="H245" s="140"/>
    </row>
    <row r="246" spans="1:8" x14ac:dyDescent="0.3">
      <c r="A246" s="28">
        <v>4</v>
      </c>
      <c r="B246" s="7">
        <v>111</v>
      </c>
      <c r="C246" t="s" s="8">
        <v>166</v>
      </c>
      <c r="D246" t="s" s="9">
        <v>165</v>
      </c>
      <c r="E246" s="111">
        <v>1.81</v>
      </c>
      <c r="F246" s="6"/>
      <c r="G246" t="str" s="112">
        <f t="shared" si="13"/>
        <v>0</v>
      </c>
      <c r="H246" s="140"/>
    </row>
    <row r="247" spans="1:8" x14ac:dyDescent="0.3">
      <c r="A247" s="28">
        <v>5</v>
      </c>
      <c r="B247" s="7">
        <v>112</v>
      </c>
      <c r="C247" t="s" s="8">
        <v>167</v>
      </c>
      <c r="D247" t="s" s="9">
        <v>33</v>
      </c>
      <c r="E247" s="111">
        <v>9.45</v>
      </c>
      <c r="F247" s="6"/>
      <c r="G247" t="str" s="112">
        <f t="shared" si="13"/>
        <v>0</v>
      </c>
      <c r="H247" s="140"/>
    </row>
    <row r="248" spans="1:8" ht="20.4" x14ac:dyDescent="0.3">
      <c r="A248" s="28">
        <v>6</v>
      </c>
      <c r="B248" s="7">
        <v>113</v>
      </c>
      <c r="C248" t="s" s="8">
        <v>168</v>
      </c>
      <c r="D248" t="s" s="9">
        <v>13</v>
      </c>
      <c r="E248" s="111">
        <v>4.16</v>
      </c>
      <c r="F248" s="6"/>
      <c r="G248" t="str" s="112">
        <f t="shared" si="13"/>
        <v>0</v>
      </c>
      <c r="H248" s="140"/>
    </row>
    <row r="249" spans="1:9" customFormat="1" x14ac:dyDescent="0.3" s="14">
      <c r="A249" t="s" s="144">
        <v>273</v>
      </c>
      <c r="B249" s="117"/>
      <c r="C249" s="117"/>
      <c r="D249" s="117"/>
      <c r="E249" s="117"/>
      <c r="F249" t="s" s="117">
        <v>200</v>
      </c>
      <c r="G249" t="str" s="119">
        <f>SUM(G229:G248)</f>
        <v>0</v>
      </c>
      <c r="H249" s="145"/>
      <c r="I249" s="15"/>
    </row>
    <row r="250" spans="1:9" customFormat="1" x14ac:dyDescent="0.3" s="12">
      <c r="A250" t="s" s="139">
        <v>248</v>
      </c>
      <c r="B250" s="105"/>
      <c r="C250" s="105"/>
      <c r="D250" s="105"/>
      <c r="E250" s="105"/>
      <c r="F250" s="105"/>
      <c r="G250" s="105"/>
      <c r="H250" s="146"/>
      <c r="I250" s="13"/>
    </row>
    <row r="251" spans="1:9" ht="15.6" customFormat="1" x14ac:dyDescent="0.3" s="14">
      <c r="A251" t="s" s="141">
        <v>26</v>
      </c>
      <c r="B251" s="106">
        <v>3</v>
      </c>
      <c r="C251" t="s" s="107">
        <v>27</v>
      </c>
      <c r="D251" s="125"/>
      <c r="E251" s="125"/>
      <c r="F251" s="125"/>
      <c r="G251" s="125"/>
      <c r="H251" s="145"/>
      <c r="I251" s="15"/>
    </row>
    <row r="252" spans="1:9" customFormat="1" x14ac:dyDescent="0.3" s="14">
      <c r="A252" t="s" s="147">
        <v>276</v>
      </c>
      <c r="B252" s="126"/>
      <c r="C252" s="126"/>
      <c r="D252" s="126"/>
      <c r="E252" s="126"/>
      <c r="F252" s="126"/>
      <c r="G252" s="126"/>
      <c r="H252" s="145"/>
      <c r="I252" s="15"/>
    </row>
    <row r="253" spans="1:9" ht="20.4" customFormat="1" x14ac:dyDescent="0.3" s="14">
      <c r="A253" s="26">
        <v>1</v>
      </c>
      <c r="B253" s="3">
        <v>114</v>
      </c>
      <c r="C253" t="s" s="4">
        <v>169</v>
      </c>
      <c r="D253" t="s" s="5">
        <v>13</v>
      </c>
      <c r="E253" s="108">
        <v>17.3</v>
      </c>
      <c r="F253" s="6"/>
      <c r="G253" t="str" s="109">
        <f t="shared" ref="G253:G284" si="14">E253*F253</f>
        <v>0</v>
      </c>
      <c r="H253" s="145"/>
      <c r="I253" s="15"/>
    </row>
    <row r="254" spans="1:9" customFormat="1" x14ac:dyDescent="0.3" s="14">
      <c r="A254" s="26">
        <v>2</v>
      </c>
      <c r="B254" s="3">
        <v>115</v>
      </c>
      <c r="C254" t="s" s="4">
        <v>170</v>
      </c>
      <c r="D254" t="s" s="5">
        <v>13</v>
      </c>
      <c r="E254" s="108">
        <v>4.3</v>
      </c>
      <c r="F254" s="6"/>
      <c r="G254" t="str" s="109">
        <f t="shared" si="14"/>
        <v>0</v>
      </c>
      <c r="H254" s="145"/>
      <c r="I254" s="15"/>
    </row>
    <row r="255" spans="1:9" customFormat="1" x14ac:dyDescent="0.3" s="14">
      <c r="A255" s="26">
        <v>3</v>
      </c>
      <c r="B255" s="3">
        <v>116</v>
      </c>
      <c r="C255" t="s" s="4">
        <v>171</v>
      </c>
      <c r="D255" t="s" s="5">
        <v>13</v>
      </c>
      <c r="E255" s="108">
        <v>11.52</v>
      </c>
      <c r="F255" s="6"/>
      <c r="G255" t="str" s="109">
        <f t="shared" si="14"/>
        <v>0</v>
      </c>
      <c r="H255" s="145"/>
      <c r="I255" s="15"/>
    </row>
    <row r="256" spans="1:9" ht="20.4" customFormat="1" x14ac:dyDescent="0.3" s="14">
      <c r="A256" s="26">
        <v>4</v>
      </c>
      <c r="B256" s="3">
        <v>22</v>
      </c>
      <c r="C256" t="s" s="4">
        <v>37</v>
      </c>
      <c r="D256" t="s" s="5">
        <v>13</v>
      </c>
      <c r="E256" s="108">
        <v>23.04</v>
      </c>
      <c r="F256" s="6"/>
      <c r="G256" t="str" s="109">
        <f t="shared" si="14"/>
        <v>0</v>
      </c>
      <c r="H256" s="145"/>
      <c r="I256" s="15"/>
    </row>
    <row r="257" spans="1:9" customFormat="1" x14ac:dyDescent="0.3" s="14">
      <c r="A257" s="26">
        <v>5</v>
      </c>
      <c r="B257" s="3">
        <v>23</v>
      </c>
      <c r="C257" t="s" s="4">
        <v>38</v>
      </c>
      <c r="D257" t="s" s="5">
        <v>13</v>
      </c>
      <c r="E257" s="108">
        <v>2.4</v>
      </c>
      <c r="F257" s="6"/>
      <c r="G257" t="str" s="109">
        <f t="shared" si="14"/>
        <v>0</v>
      </c>
      <c r="H257" s="145"/>
      <c r="I257" s="15"/>
    </row>
    <row r="258" spans="1:9" ht="20.4" customFormat="1" x14ac:dyDescent="0.3" s="14">
      <c r="A258" s="26">
        <v>6</v>
      </c>
      <c r="B258" s="3">
        <v>24</v>
      </c>
      <c r="C258" t="s" s="4">
        <v>39</v>
      </c>
      <c r="D258" t="s" s="5">
        <v>13</v>
      </c>
      <c r="E258" s="108">
        <v>12</v>
      </c>
      <c r="F258" s="6"/>
      <c r="G258" t="str" s="109">
        <f t="shared" si="14"/>
        <v>0</v>
      </c>
      <c r="H258" s="145"/>
      <c r="I258" s="15"/>
    </row>
    <row r="259" spans="1:9" customFormat="1" x14ac:dyDescent="0.3" s="14">
      <c r="A259" s="26">
        <v>7</v>
      </c>
      <c r="B259" s="3">
        <v>117</v>
      </c>
      <c r="C259" t="s" s="4">
        <v>172</v>
      </c>
      <c r="D259" t="s" s="5">
        <v>33</v>
      </c>
      <c r="E259" s="108">
        <v>0.9</v>
      </c>
      <c r="F259" s="6"/>
      <c r="G259" t="str" s="109">
        <f t="shared" si="14"/>
        <v>0</v>
      </c>
      <c r="H259" s="145"/>
      <c r="I259" s="15"/>
    </row>
    <row r="260" spans="1:9" customFormat="1" x14ac:dyDescent="0.3" s="14">
      <c r="A260" s="26">
        <v>8</v>
      </c>
      <c r="B260" s="3">
        <v>118</v>
      </c>
      <c r="C260" t="s" s="4">
        <v>173</v>
      </c>
      <c r="D260" t="s" s="5">
        <v>33</v>
      </c>
      <c r="E260" s="108">
        <v>2</v>
      </c>
      <c r="F260" s="6"/>
      <c r="G260" t="str" s="109">
        <f t="shared" si="14"/>
        <v>0</v>
      </c>
      <c r="H260" s="145"/>
      <c r="I260" s="15"/>
    </row>
    <row r="261" spans="1:9" customFormat="1" x14ac:dyDescent="0.3" s="14">
      <c r="A261" s="26">
        <v>9</v>
      </c>
      <c r="B261" s="3">
        <v>119</v>
      </c>
      <c r="C261" t="s" s="4">
        <v>174</v>
      </c>
      <c r="D261" t="s" s="5">
        <v>33</v>
      </c>
      <c r="E261" s="108">
        <v>33.6</v>
      </c>
      <c r="F261" s="6"/>
      <c r="G261" t="str" s="109">
        <f t="shared" si="14"/>
        <v>0</v>
      </c>
      <c r="H261" s="145"/>
      <c r="I261" s="15"/>
    </row>
    <row r="262" spans="1:9" customFormat="1" x14ac:dyDescent="0.3" s="14">
      <c r="A262" s="26">
        <v>10</v>
      </c>
      <c r="B262" s="3">
        <v>120</v>
      </c>
      <c r="C262" t="s" s="4">
        <v>175</v>
      </c>
      <c r="D262" t="s" s="5">
        <v>33</v>
      </c>
      <c r="E262" s="108">
        <v>0.54</v>
      </c>
      <c r="F262" s="6"/>
      <c r="G262" t="str" s="109">
        <f t="shared" si="14"/>
        <v>0</v>
      </c>
      <c r="H262" s="145"/>
      <c r="I262" s="15"/>
    </row>
    <row r="263" spans="1:9" ht="20.4" customFormat="1" x14ac:dyDescent="0.3" s="14">
      <c r="A263" s="26">
        <v>11</v>
      </c>
      <c r="B263" s="3">
        <v>121</v>
      </c>
      <c r="C263" t="s" s="4">
        <v>176</v>
      </c>
      <c r="D263" t="s" s="5">
        <v>177</v>
      </c>
      <c r="E263" s="108">
        <v>6.86</v>
      </c>
      <c r="F263" s="6"/>
      <c r="G263" t="str" s="109">
        <f t="shared" si="14"/>
        <v>0</v>
      </c>
      <c r="H263" s="145"/>
      <c r="I263" s="15"/>
    </row>
    <row r="264" spans="1:9" ht="20.4" customFormat="1" x14ac:dyDescent="0.3" s="14">
      <c r="A264" s="26">
        <v>12</v>
      </c>
      <c r="B264" s="3">
        <v>122</v>
      </c>
      <c r="C264" t="s" s="4">
        <v>178</v>
      </c>
      <c r="D264" t="s" s="5">
        <v>177</v>
      </c>
      <c r="E264" s="108">
        <v>251.54</v>
      </c>
      <c r="F264" s="6"/>
      <c r="G264" t="str" s="109">
        <f t="shared" si="14"/>
        <v>0</v>
      </c>
      <c r="H264" s="145"/>
      <c r="I264" s="15"/>
    </row>
    <row r="265" spans="1:9" customFormat="1" x14ac:dyDescent="0.3" s="14">
      <c r="A265" s="26">
        <v>13</v>
      </c>
      <c r="B265" s="3">
        <v>123</v>
      </c>
      <c r="C265" t="s" s="4">
        <v>179</v>
      </c>
      <c r="D265" t="s" s="5">
        <v>13</v>
      </c>
      <c r="E265" s="108">
        <v>0.5</v>
      </c>
      <c r="F265" s="6"/>
      <c r="G265" t="str" s="109">
        <f t="shared" si="14"/>
        <v>0</v>
      </c>
      <c r="H265" s="145"/>
      <c r="I265" s="15"/>
    </row>
    <row r="266" spans="1:9" customFormat="1" x14ac:dyDescent="0.3" s="14">
      <c r="A266" s="26">
        <v>14</v>
      </c>
      <c r="B266" s="3">
        <v>124</v>
      </c>
      <c r="C266" t="s" s="4">
        <v>180</v>
      </c>
      <c r="D266" t="s" s="5">
        <v>13</v>
      </c>
      <c r="E266" s="108">
        <v>1</v>
      </c>
      <c r="F266" s="6"/>
      <c r="G266" t="str" s="109">
        <f t="shared" si="14"/>
        <v>0</v>
      </c>
      <c r="H266" s="145"/>
      <c r="I266" s="15"/>
    </row>
    <row r="267" spans="1:9" customFormat="1" x14ac:dyDescent="0.3" s="14">
      <c r="A267" s="26">
        <v>15</v>
      </c>
      <c r="B267" s="3">
        <v>125</v>
      </c>
      <c r="C267" t="s" s="4">
        <v>181</v>
      </c>
      <c r="D267" t="s" s="5">
        <v>13</v>
      </c>
      <c r="E267" s="108">
        <v>4.2</v>
      </c>
      <c r="F267" s="6"/>
      <c r="G267" t="str" s="109">
        <f t="shared" si="14"/>
        <v>0</v>
      </c>
      <c r="H267" s="145"/>
      <c r="I267" s="15"/>
    </row>
    <row r="268" spans="1:9" customFormat="1" x14ac:dyDescent="0.3" s="14">
      <c r="A268" s="26">
        <v>16</v>
      </c>
      <c r="B268" s="3">
        <v>126</v>
      </c>
      <c r="C268" t="s" s="4">
        <v>182</v>
      </c>
      <c r="D268" t="s" s="5">
        <v>13</v>
      </c>
      <c r="E268" s="108">
        <v>0.04</v>
      </c>
      <c r="F268" s="6"/>
      <c r="G268" t="str" s="109">
        <f t="shared" si="14"/>
        <v>0</v>
      </c>
      <c r="H268" s="145"/>
      <c r="I268" s="15"/>
    </row>
    <row r="269" spans="1:9" customFormat="1" x14ac:dyDescent="0.3" s="14">
      <c r="A269" s="26">
        <v>17</v>
      </c>
      <c r="B269" s="3">
        <v>127</v>
      </c>
      <c r="C269" t="s" s="4">
        <v>183</v>
      </c>
      <c r="D269" t="s" s="5">
        <v>13</v>
      </c>
      <c r="E269" s="108">
        <v>5.74</v>
      </c>
      <c r="F269" s="6"/>
      <c r="G269" t="str" s="109">
        <f t="shared" si="14"/>
        <v>0</v>
      </c>
      <c r="H269" s="145"/>
      <c r="I269" s="15"/>
    </row>
    <row r="270" spans="1:9" customFormat="1" x14ac:dyDescent="0.3" s="14">
      <c r="A270" s="26">
        <v>18</v>
      </c>
      <c r="B270" s="3">
        <v>128</v>
      </c>
      <c r="C270" t="s" s="4">
        <v>184</v>
      </c>
      <c r="D270" t="s" s="5">
        <v>185</v>
      </c>
      <c r="E270" s="108">
        <v>0.19</v>
      </c>
      <c r="F270" s="6"/>
      <c r="G270" t="str" s="109">
        <f t="shared" si="14"/>
        <v>0</v>
      </c>
      <c r="H270" s="145"/>
      <c r="I270" s="15"/>
    </row>
    <row r="271" spans="1:9" ht="20.4" customFormat="1" x14ac:dyDescent="0.3" s="14">
      <c r="A271" s="26">
        <v>19</v>
      </c>
      <c r="B271" s="3">
        <v>129</v>
      </c>
      <c r="C271" t="s" s="4">
        <v>186</v>
      </c>
      <c r="D271" t="s" s="5">
        <v>33</v>
      </c>
      <c r="E271" s="108">
        <v>33</v>
      </c>
      <c r="F271" s="6"/>
      <c r="G271" t="str" s="109">
        <f t="shared" si="14"/>
        <v>0</v>
      </c>
      <c r="H271" s="145"/>
      <c r="I271" s="15"/>
    </row>
    <row r="272" spans="1:9" customFormat="1" x14ac:dyDescent="0.3" s="14">
      <c r="A272" s="26">
        <v>20</v>
      </c>
      <c r="B272" s="3">
        <v>130</v>
      </c>
      <c r="C272" t="s" s="4">
        <v>187</v>
      </c>
      <c r="D272" t="s" s="5">
        <v>33</v>
      </c>
      <c r="E272" s="108">
        <v>15</v>
      </c>
      <c r="F272" s="6"/>
      <c r="G272" t="str" s="109">
        <f t="shared" si="14"/>
        <v>0</v>
      </c>
      <c r="H272" s="145"/>
      <c r="I272" s="15"/>
    </row>
    <row r="273" spans="1:9" customFormat="1" x14ac:dyDescent="0.3" s="14">
      <c r="A273" s="26">
        <v>21</v>
      </c>
      <c r="B273" s="3">
        <v>131</v>
      </c>
      <c r="C273" t="s" s="4">
        <v>188</v>
      </c>
      <c r="D273" t="s" s="5">
        <v>33</v>
      </c>
      <c r="E273" s="108">
        <v>3.6</v>
      </c>
      <c r="F273" s="6"/>
      <c r="G273" t="str" s="109">
        <f t="shared" si="14"/>
        <v>0</v>
      </c>
      <c r="H273" s="145"/>
      <c r="I273" s="15"/>
    </row>
    <row r="274" spans="1:9" customFormat="1" x14ac:dyDescent="0.3" s="14">
      <c r="A274" s="26">
        <v>22</v>
      </c>
      <c r="B274" s="3">
        <v>132</v>
      </c>
      <c r="C274" t="s" s="4">
        <v>189</v>
      </c>
      <c r="D274" t="s" s="5">
        <v>33</v>
      </c>
      <c r="E274" s="108">
        <v>2.25</v>
      </c>
      <c r="F274" s="6"/>
      <c r="G274" t="str" s="109">
        <f t="shared" si="14"/>
        <v>0</v>
      </c>
      <c r="H274" s="145"/>
      <c r="I274" s="15"/>
    </row>
    <row r="275" spans="1:9" customFormat="1" x14ac:dyDescent="0.3" s="14">
      <c r="A275" s="26">
        <v>23</v>
      </c>
      <c r="B275" s="3">
        <v>133</v>
      </c>
      <c r="C275" t="s" s="4">
        <v>190</v>
      </c>
      <c r="D275" t="s" s="5">
        <v>33</v>
      </c>
      <c r="E275" s="108">
        <v>2.25</v>
      </c>
      <c r="F275" s="6"/>
      <c r="G275" t="str" s="109">
        <f t="shared" si="14"/>
        <v>0</v>
      </c>
      <c r="H275" s="145"/>
      <c r="I275" s="15"/>
    </row>
    <row r="276" spans="1:9" customFormat="1" x14ac:dyDescent="0.3" s="14">
      <c r="A276" s="26">
        <v>24</v>
      </c>
      <c r="B276" s="3">
        <v>134</v>
      </c>
      <c r="C276" t="s" s="4">
        <v>191</v>
      </c>
      <c r="D276" t="s" s="5">
        <v>192</v>
      </c>
      <c r="E276" s="120">
        <v>7</v>
      </c>
      <c r="F276" s="6"/>
      <c r="G276" t="str" s="109">
        <f t="shared" si="14"/>
        <v>0</v>
      </c>
      <c r="H276" s="145"/>
      <c r="I276" s="15"/>
    </row>
    <row r="277" spans="1:9" customFormat="1" x14ac:dyDescent="0.3" s="14">
      <c r="A277" s="26">
        <v>25</v>
      </c>
      <c r="B277" s="3">
        <v>135</v>
      </c>
      <c r="C277" t="s" s="4">
        <v>193</v>
      </c>
      <c r="D277" t="s" s="5">
        <v>13</v>
      </c>
      <c r="E277" s="108">
        <v>0.125</v>
      </c>
      <c r="F277" s="6"/>
      <c r="G277" t="str" s="109">
        <f t="shared" si="14"/>
        <v>0</v>
      </c>
      <c r="H277" s="145"/>
      <c r="I277" s="15"/>
    </row>
    <row r="278" spans="1:9" customFormat="1" x14ac:dyDescent="0.3" s="14">
      <c r="A278" s="26">
        <v>26</v>
      </c>
      <c r="B278" s="3">
        <v>136</v>
      </c>
      <c r="C278" t="s" s="4">
        <v>194</v>
      </c>
      <c r="D278" t="s" s="5">
        <v>16</v>
      </c>
      <c r="E278" s="108">
        <v>1</v>
      </c>
      <c r="F278" s="6"/>
      <c r="G278" t="str" s="109">
        <f t="shared" si="14"/>
        <v>0</v>
      </c>
      <c r="H278" s="145"/>
      <c r="I278" s="15"/>
    </row>
    <row r="279" spans="1:9" customFormat="1" x14ac:dyDescent="0.3" s="14">
      <c r="A279" s="26">
        <v>27</v>
      </c>
      <c r="B279" s="3">
        <v>137</v>
      </c>
      <c r="C279" t="s" s="4">
        <v>195</v>
      </c>
      <c r="D279" t="s" s="5">
        <v>61</v>
      </c>
      <c r="E279" s="108">
        <v>2</v>
      </c>
      <c r="F279" s="6"/>
      <c r="G279" t="str" s="109">
        <f t="shared" si="14"/>
        <v>0</v>
      </c>
      <c r="H279" s="145"/>
      <c r="I279" s="15"/>
    </row>
    <row r="280" spans="1:9" customFormat="1" x14ac:dyDescent="0.3" s="14">
      <c r="A280" s="26">
        <v>28</v>
      </c>
      <c r="B280" s="3">
        <v>138</v>
      </c>
      <c r="C280" t="s" s="4">
        <v>196</v>
      </c>
      <c r="D280" t="s" s="5">
        <v>61</v>
      </c>
      <c r="E280" s="108">
        <v>2</v>
      </c>
      <c r="F280" s="6"/>
      <c r="G280" t="str" s="109">
        <f t="shared" si="14"/>
        <v>0</v>
      </c>
      <c r="H280" s="145"/>
      <c r="I280" s="15"/>
    </row>
    <row r="281" spans="1:9" customFormat="1" x14ac:dyDescent="0.3" s="14">
      <c r="A281" s="26">
        <v>29</v>
      </c>
      <c r="B281" s="3">
        <v>139</v>
      </c>
      <c r="C281" t="s" s="4">
        <v>197</v>
      </c>
      <c r="D281" t="s" s="5">
        <v>61</v>
      </c>
      <c r="E281" s="108">
        <v>2</v>
      </c>
      <c r="F281" s="6"/>
      <c r="G281" t="str" s="109">
        <f t="shared" si="14"/>
        <v>0</v>
      </c>
      <c r="H281" s="145"/>
      <c r="I281" s="15"/>
    </row>
    <row r="282" spans="1:9" customFormat="1" x14ac:dyDescent="0.3" s="14">
      <c r="A282" s="26">
        <v>30</v>
      </c>
      <c r="B282" s="3">
        <v>140</v>
      </c>
      <c r="C282" t="s" s="4">
        <v>198</v>
      </c>
      <c r="D282" t="s" s="5">
        <v>61</v>
      </c>
      <c r="E282" s="108">
        <v>1</v>
      </c>
      <c r="F282" s="6"/>
      <c r="G282" t="str" s="109">
        <f t="shared" si="14"/>
        <v>0</v>
      </c>
      <c r="H282" s="145"/>
      <c r="I282" s="15"/>
    </row>
    <row r="283" spans="1:9" customFormat="1" x14ac:dyDescent="0.3" s="14">
      <c r="A283" s="26">
        <v>31</v>
      </c>
      <c r="B283" s="3">
        <v>141</v>
      </c>
      <c r="C283" t="s" s="4">
        <v>199</v>
      </c>
      <c r="D283" t="s" s="5">
        <v>61</v>
      </c>
      <c r="E283" s="108">
        <v>1</v>
      </c>
      <c r="F283" s="6"/>
      <c r="G283" t="str" s="109">
        <f t="shared" si="14"/>
        <v>0</v>
      </c>
      <c r="H283" s="145"/>
      <c r="I283" s="15"/>
    </row>
    <row r="284" spans="1:9" customFormat="1" x14ac:dyDescent="0.3" s="14">
      <c r="A284" s="26">
        <v>32</v>
      </c>
      <c r="B284" s="3">
        <v>40</v>
      </c>
      <c r="C284" t="s" s="4">
        <v>58</v>
      </c>
      <c r="D284" t="s" s="5">
        <v>16</v>
      </c>
      <c r="E284" s="108">
        <v>2</v>
      </c>
      <c r="F284" s="6"/>
      <c r="G284" t="str" s="109">
        <f t="shared" si="14"/>
        <v>0</v>
      </c>
      <c r="H284" s="145"/>
      <c r="I284" s="15"/>
    </row>
    <row r="285" spans="1:9" customFormat="1" x14ac:dyDescent="0.3" s="14">
      <c r="A285" t="s" s="147">
        <v>277</v>
      </c>
      <c r="B285" s="126"/>
      <c r="C285" s="126"/>
      <c r="D285" s="126"/>
      <c r="E285" s="126"/>
      <c r="F285" s="126"/>
      <c r="G285" s="126"/>
      <c r="H285" s="145"/>
      <c r="I285" s="15"/>
    </row>
    <row r="286" spans="1:9" ht="20.4" customFormat="1" x14ac:dyDescent="0.3" s="14">
      <c r="A286" s="26">
        <v>1</v>
      </c>
      <c r="B286" s="3">
        <v>129</v>
      </c>
      <c r="C286" t="s" s="4">
        <v>186</v>
      </c>
      <c r="D286" t="s" s="5">
        <v>33</v>
      </c>
      <c r="E286" s="108">
        <v>37</v>
      </c>
      <c r="F286" s="6"/>
      <c r="G286" t="str" s="109">
        <f t="shared" ref="G286:G291" si="15">E286*F286</f>
        <v>0</v>
      </c>
      <c r="H286" s="145"/>
      <c r="I286" s="15"/>
    </row>
    <row r="287" spans="1:9" customFormat="1" x14ac:dyDescent="0.3" s="14">
      <c r="A287" s="26">
        <v>2</v>
      </c>
      <c r="B287" s="3">
        <v>130</v>
      </c>
      <c r="C287" t="s" s="4">
        <v>187</v>
      </c>
      <c r="D287" t="s" s="5">
        <v>33</v>
      </c>
      <c r="E287" s="108">
        <v>38.5</v>
      </c>
      <c r="F287" s="6"/>
      <c r="G287" t="str" s="109">
        <f t="shared" si="15"/>
        <v>0</v>
      </c>
      <c r="H287" s="145"/>
      <c r="I287" s="15"/>
    </row>
    <row r="288" spans="1:9" customFormat="1" x14ac:dyDescent="0.3" s="14">
      <c r="A288" s="26">
        <v>3</v>
      </c>
      <c r="B288" s="3">
        <v>134</v>
      </c>
      <c r="C288" t="s" s="4">
        <v>191</v>
      </c>
      <c r="D288" t="s" s="5">
        <v>61</v>
      </c>
      <c r="E288" s="120">
        <v>12</v>
      </c>
      <c r="F288" s="6"/>
      <c r="G288" t="str" s="109">
        <f t="shared" si="15"/>
        <v>0</v>
      </c>
      <c r="H288" s="145"/>
      <c r="I288" s="15"/>
    </row>
    <row r="289" spans="1:9" customFormat="1" x14ac:dyDescent="0.3" s="14">
      <c r="A289" s="26">
        <v>4</v>
      </c>
      <c r="B289" s="3">
        <v>46</v>
      </c>
      <c r="C289" t="s" s="4">
        <v>65</v>
      </c>
      <c r="D289" t="s" s="5">
        <v>61</v>
      </c>
      <c r="E289" s="120">
        <v>2</v>
      </c>
      <c r="F289" s="6"/>
      <c r="G289" t="str" s="109">
        <f t="shared" si="15"/>
        <v>0</v>
      </c>
      <c r="H289" s="145"/>
      <c r="I289" s="15"/>
    </row>
    <row r="290" spans="1:9" customFormat="1" x14ac:dyDescent="0.3" s="14">
      <c r="A290" s="26">
        <v>5</v>
      </c>
      <c r="B290" s="3">
        <v>51</v>
      </c>
      <c r="C290" t="s" s="4">
        <v>70</v>
      </c>
      <c r="D290" t="s" s="5">
        <v>61</v>
      </c>
      <c r="E290" s="120">
        <v>4</v>
      </c>
      <c r="F290" s="6"/>
      <c r="G290" t="str" s="109">
        <f t="shared" si="15"/>
        <v>0</v>
      </c>
      <c r="H290" s="145"/>
      <c r="I290" s="15"/>
    </row>
    <row r="291" spans="1:9" customFormat="1" x14ac:dyDescent="0.3" s="14">
      <c r="A291" s="26">
        <v>6</v>
      </c>
      <c r="B291" s="3">
        <v>142</v>
      </c>
      <c r="C291" t="s" s="4">
        <v>201</v>
      </c>
      <c r="D291" t="s" s="5">
        <v>61</v>
      </c>
      <c r="E291" s="120">
        <v>1</v>
      </c>
      <c r="F291" s="6"/>
      <c r="G291" t="str" s="109">
        <f t="shared" si="15"/>
        <v>0</v>
      </c>
      <c r="H291" s="145"/>
      <c r="I291" s="15"/>
    </row>
    <row r="292" spans="1:9" customFormat="1" x14ac:dyDescent="0.3" s="14">
      <c r="A292" t="s" s="147">
        <v>278</v>
      </c>
      <c r="B292" s="126"/>
      <c r="C292" s="126"/>
      <c r="D292" s="126"/>
      <c r="E292" s="126"/>
      <c r="F292" s="126"/>
      <c r="G292" s="126"/>
      <c r="H292" s="145"/>
      <c r="I292" s="15"/>
    </row>
    <row r="293" spans="1:9" ht="20.4" customFormat="1" x14ac:dyDescent="0.3" s="14">
      <c r="A293" s="26">
        <v>1</v>
      </c>
      <c r="B293" s="3">
        <v>114</v>
      </c>
      <c r="C293" t="s" s="4">
        <v>169</v>
      </c>
      <c r="D293" t="s" s="5">
        <v>13</v>
      </c>
      <c r="E293" s="108">
        <v>4.4</v>
      </c>
      <c r="F293" s="6"/>
      <c r="G293" t="str" s="109">
        <f t="shared" ref="G293:G322" si="16">E293*F293</f>
        <v>0</v>
      </c>
      <c r="H293" s="145"/>
      <c r="I293" s="15"/>
    </row>
    <row r="294" spans="1:9" customFormat="1" x14ac:dyDescent="0.3" s="14">
      <c r="A294" s="26">
        <v>2</v>
      </c>
      <c r="B294" s="3">
        <v>115</v>
      </c>
      <c r="C294" t="s" s="4">
        <v>170</v>
      </c>
      <c r="D294" t="s" s="5">
        <v>13</v>
      </c>
      <c r="E294" s="108">
        <v>1.1</v>
      </c>
      <c r="F294" s="6"/>
      <c r="G294" t="str" s="109">
        <f t="shared" si="16"/>
        <v>0</v>
      </c>
      <c r="H294" s="145"/>
      <c r="I294" s="15"/>
    </row>
    <row r="295" spans="1:9" customFormat="1" x14ac:dyDescent="0.3" s="14">
      <c r="A295" s="26">
        <v>3</v>
      </c>
      <c r="B295" s="3">
        <v>116</v>
      </c>
      <c r="C295" t="s" s="4">
        <v>171</v>
      </c>
      <c r="D295" t="s" s="5">
        <v>13</v>
      </c>
      <c r="E295" s="108">
        <v>1.68</v>
      </c>
      <c r="F295" s="6"/>
      <c r="G295" t="str" s="109">
        <f t="shared" si="16"/>
        <v>0</v>
      </c>
      <c r="H295" s="145"/>
      <c r="I295" s="15"/>
    </row>
    <row r="296" spans="1:9" ht="20.4" customFormat="1" x14ac:dyDescent="0.3" s="14">
      <c r="A296" s="26">
        <v>4</v>
      </c>
      <c r="B296" s="3">
        <v>22</v>
      </c>
      <c r="C296" t="s" s="4">
        <v>37</v>
      </c>
      <c r="D296" t="s" s="5">
        <v>13</v>
      </c>
      <c r="E296" s="108">
        <v>0.96</v>
      </c>
      <c r="F296" s="6"/>
      <c r="G296" t="str" s="109">
        <f t="shared" si="16"/>
        <v>0</v>
      </c>
      <c r="H296" s="145"/>
      <c r="I296" s="15"/>
    </row>
    <row r="297" spans="1:9" ht="20.4" customFormat="1" x14ac:dyDescent="0.3" s="14">
      <c r="A297" s="26">
        <v>5</v>
      </c>
      <c r="B297" s="3">
        <v>24</v>
      </c>
      <c r="C297" t="s" s="4">
        <v>39</v>
      </c>
      <c r="D297" t="s" s="5">
        <v>13</v>
      </c>
      <c r="E297" s="108">
        <v>4</v>
      </c>
      <c r="F297" s="6"/>
      <c r="G297" t="str" s="109">
        <f t="shared" si="16"/>
        <v>0</v>
      </c>
      <c r="H297" s="145"/>
      <c r="I297" s="15"/>
    </row>
    <row r="298" spans="1:9" customFormat="1" x14ac:dyDescent="0.3" s="14">
      <c r="A298" s="26">
        <v>6</v>
      </c>
      <c r="B298" s="3">
        <v>117</v>
      </c>
      <c r="C298" t="s" s="4">
        <v>172</v>
      </c>
      <c r="D298" t="s" s="5">
        <v>33</v>
      </c>
      <c r="E298" s="108">
        <v>0.5</v>
      </c>
      <c r="F298" s="6"/>
      <c r="G298" t="str" s="109">
        <f t="shared" si="16"/>
        <v>0</v>
      </c>
      <c r="H298" s="145"/>
      <c r="I298" s="15"/>
    </row>
    <row r="299" spans="1:9" customFormat="1" x14ac:dyDescent="0.3" s="14">
      <c r="A299" s="26">
        <v>7</v>
      </c>
      <c r="B299" s="3">
        <v>118</v>
      </c>
      <c r="C299" t="s" s="4">
        <v>173</v>
      </c>
      <c r="D299" t="s" s="5">
        <v>202</v>
      </c>
      <c r="E299" s="108">
        <v>0.7</v>
      </c>
      <c r="F299" s="6"/>
      <c r="G299" t="str" s="109">
        <f t="shared" si="16"/>
        <v>0</v>
      </c>
      <c r="H299" s="145"/>
      <c r="I299" s="15"/>
    </row>
    <row r="300" spans="1:9" ht="20.4" customFormat="1" x14ac:dyDescent="0.3" s="14">
      <c r="A300" s="26">
        <v>8</v>
      </c>
      <c r="B300" s="3">
        <v>122</v>
      </c>
      <c r="C300" t="s" s="4">
        <v>178</v>
      </c>
      <c r="D300" t="s" s="5">
        <v>177</v>
      </c>
      <c r="E300" s="108">
        <v>22.14</v>
      </c>
      <c r="F300" s="6"/>
      <c r="G300" t="str" s="109">
        <f t="shared" si="16"/>
        <v>0</v>
      </c>
      <c r="H300" s="145"/>
      <c r="I300" s="15"/>
    </row>
    <row r="301" spans="1:9" customFormat="1" x14ac:dyDescent="0.3" s="14">
      <c r="A301" s="26">
        <v>9</v>
      </c>
      <c r="B301" s="3">
        <v>123</v>
      </c>
      <c r="C301" t="s" s="4">
        <v>179</v>
      </c>
      <c r="D301" t="s" s="5">
        <v>13</v>
      </c>
      <c r="E301" s="108">
        <v>0.2</v>
      </c>
      <c r="F301" s="6"/>
      <c r="G301" t="str" s="109">
        <f t="shared" si="16"/>
        <v>0</v>
      </c>
      <c r="H301" s="145"/>
      <c r="I301" s="15"/>
    </row>
    <row r="302" spans="1:9" customFormat="1" x14ac:dyDescent="0.3" s="14">
      <c r="A302" s="26">
        <v>10</v>
      </c>
      <c r="B302" s="3">
        <v>124</v>
      </c>
      <c r="C302" t="s" s="4">
        <v>180</v>
      </c>
      <c r="D302" t="s" s="5">
        <v>13</v>
      </c>
      <c r="E302" s="108">
        <v>0.25</v>
      </c>
      <c r="F302" s="6"/>
      <c r="G302" t="str" s="109">
        <f t="shared" si="16"/>
        <v>0</v>
      </c>
      <c r="H302" s="145"/>
      <c r="I302" s="15"/>
    </row>
    <row r="303" spans="1:9" customFormat="1" x14ac:dyDescent="0.3" s="14">
      <c r="A303" s="26">
        <v>11</v>
      </c>
      <c r="B303" s="3">
        <v>143</v>
      </c>
      <c r="C303" t="s" s="4">
        <v>203</v>
      </c>
      <c r="D303" t="s" s="5">
        <v>13</v>
      </c>
      <c r="E303" s="108">
        <v>0.45</v>
      </c>
      <c r="F303" s="6"/>
      <c r="G303" t="str" s="109">
        <f t="shared" si="16"/>
        <v>0</v>
      </c>
      <c r="H303" s="145"/>
      <c r="I303" s="15"/>
    </row>
    <row r="304" spans="1:9" ht="11.25" customHeight="1" customFormat="1" x14ac:dyDescent="0.3" s="14">
      <c r="A304" s="26">
        <v>12</v>
      </c>
      <c r="B304" s="3">
        <v>128</v>
      </c>
      <c r="C304" t="s" s="4">
        <v>184</v>
      </c>
      <c r="D304" t="s" s="5">
        <v>11</v>
      </c>
      <c r="E304" s="108">
        <v>0.05</v>
      </c>
      <c r="F304" s="6"/>
      <c r="G304" t="str" s="109">
        <f t="shared" si="16"/>
        <v>0</v>
      </c>
      <c r="H304" s="145"/>
      <c r="I304" s="15"/>
    </row>
    <row r="305" spans="1:9" ht="20.4" customFormat="1" x14ac:dyDescent="0.3" s="14">
      <c r="A305" s="26">
        <v>13</v>
      </c>
      <c r="B305" s="3">
        <v>129</v>
      </c>
      <c r="C305" t="s" s="4">
        <v>186</v>
      </c>
      <c r="D305" t="s" s="5">
        <v>33</v>
      </c>
      <c r="E305" s="108">
        <v>5.3</v>
      </c>
      <c r="F305" s="6"/>
      <c r="G305" t="str" s="109">
        <f t="shared" si="16"/>
        <v>0</v>
      </c>
      <c r="H305" s="145"/>
      <c r="I305" s="15"/>
    </row>
    <row r="306" spans="1:9" customFormat="1" x14ac:dyDescent="0.3" s="14">
      <c r="A306" s="26">
        <v>14</v>
      </c>
      <c r="B306" s="3">
        <v>130</v>
      </c>
      <c r="C306" t="s" s="4">
        <v>187</v>
      </c>
      <c r="D306" t="s" s="5">
        <v>33</v>
      </c>
      <c r="E306" s="108">
        <v>4.4</v>
      </c>
      <c r="F306" s="6"/>
      <c r="G306" t="str" s="109">
        <f t="shared" si="16"/>
        <v>0</v>
      </c>
      <c r="H306" s="145"/>
      <c r="I306" s="15"/>
    </row>
    <row r="307" spans="1:9" customFormat="1" x14ac:dyDescent="0.3" s="14">
      <c r="A307" s="26">
        <v>15</v>
      </c>
      <c r="B307" s="3">
        <v>144</v>
      </c>
      <c r="C307" t="s" s="4">
        <v>204</v>
      </c>
      <c r="D307" t="s" s="5">
        <v>61</v>
      </c>
      <c r="E307" s="120">
        <v>2</v>
      </c>
      <c r="F307" s="6"/>
      <c r="G307" t="str" s="109">
        <f t="shared" si="16"/>
        <v>0</v>
      </c>
      <c r="H307" s="145"/>
      <c r="I307" s="15"/>
    </row>
    <row r="308" spans="1:9" customFormat="1" x14ac:dyDescent="0.3" s="14">
      <c r="A308" s="26">
        <v>16</v>
      </c>
      <c r="B308" s="3">
        <v>131</v>
      </c>
      <c r="C308" t="s" s="4">
        <v>188</v>
      </c>
      <c r="D308" t="s" s="5">
        <v>33</v>
      </c>
      <c r="E308" s="108">
        <v>1</v>
      </c>
      <c r="F308" s="10"/>
      <c r="G308" t="str" s="109">
        <f t="shared" si="16"/>
        <v>0</v>
      </c>
      <c r="H308" s="145"/>
      <c r="I308" s="15"/>
    </row>
    <row r="309" spans="1:9" customFormat="1" x14ac:dyDescent="0.3" s="14">
      <c r="A309" s="26">
        <v>17</v>
      </c>
      <c r="B309" s="3">
        <v>132</v>
      </c>
      <c r="C309" t="s" s="4">
        <v>189</v>
      </c>
      <c r="D309" t="s" s="5">
        <v>33</v>
      </c>
      <c r="E309" s="108">
        <v>1</v>
      </c>
      <c r="F309" s="10"/>
      <c r="G309" t="str" s="109">
        <f t="shared" si="16"/>
        <v>0</v>
      </c>
      <c r="H309" s="145"/>
      <c r="I309" s="15"/>
    </row>
    <row r="310" spans="1:9" customFormat="1" x14ac:dyDescent="0.3" s="14">
      <c r="A310" s="26">
        <v>18</v>
      </c>
      <c r="B310" s="3">
        <v>133</v>
      </c>
      <c r="C310" t="s" s="4">
        <v>190</v>
      </c>
      <c r="D310" t="s" s="5">
        <v>33</v>
      </c>
      <c r="E310" s="108">
        <v>1</v>
      </c>
      <c r="F310" s="10"/>
      <c r="G310" t="str" s="109">
        <f t="shared" si="16"/>
        <v>0</v>
      </c>
      <c r="H310" s="145"/>
      <c r="I310" s="15"/>
    </row>
    <row r="311" spans="1:9" customFormat="1" x14ac:dyDescent="0.3" s="14">
      <c r="A311" s="26">
        <v>19</v>
      </c>
      <c r="B311" s="3">
        <v>134</v>
      </c>
      <c r="C311" t="s" s="4">
        <v>191</v>
      </c>
      <c r="D311" t="s" s="5">
        <v>192</v>
      </c>
      <c r="E311" s="120">
        <v>4</v>
      </c>
      <c r="F311" s="6"/>
      <c r="G311" t="str" s="109">
        <f t="shared" si="16"/>
        <v>0</v>
      </c>
      <c r="H311" s="145"/>
      <c r="I311" s="15"/>
    </row>
    <row r="312" spans="1:9" customFormat="1" x14ac:dyDescent="0.3" s="14">
      <c r="A312" s="26">
        <v>20</v>
      </c>
      <c r="B312" s="3">
        <v>145</v>
      </c>
      <c r="C312" t="s" s="4">
        <v>205</v>
      </c>
      <c r="D312" t="s" s="5">
        <v>177</v>
      </c>
      <c r="E312" s="108">
        <v>3</v>
      </c>
      <c r="F312" s="6"/>
      <c r="G312" t="str" s="109">
        <f t="shared" si="16"/>
        <v>0</v>
      </c>
      <c r="H312" s="145"/>
      <c r="I312" s="15"/>
    </row>
    <row r="313" spans="1:9" customFormat="1" x14ac:dyDescent="0.3" s="14">
      <c r="A313" s="26">
        <v>21</v>
      </c>
      <c r="B313" s="3">
        <v>146</v>
      </c>
      <c r="C313" t="s" s="4">
        <v>206</v>
      </c>
      <c r="D313" t="s" s="5">
        <v>33</v>
      </c>
      <c r="E313" s="108">
        <v>0.7</v>
      </c>
      <c r="F313" s="6"/>
      <c r="G313" t="str" s="109">
        <f t="shared" si="16"/>
        <v>0</v>
      </c>
      <c r="H313" s="145"/>
      <c r="I313" s="15"/>
    </row>
    <row r="314" spans="1:9" customFormat="1" x14ac:dyDescent="0.3" s="14">
      <c r="A314" s="26">
        <v>22</v>
      </c>
      <c r="B314" s="3">
        <v>135</v>
      </c>
      <c r="C314" t="s" s="4">
        <v>193</v>
      </c>
      <c r="D314" t="s" s="5">
        <v>13</v>
      </c>
      <c r="E314" s="108">
        <v>0.125</v>
      </c>
      <c r="F314" s="6"/>
      <c r="G314" t="str" s="109">
        <f t="shared" si="16"/>
        <v>0</v>
      </c>
      <c r="H314" s="145"/>
      <c r="I314" s="15"/>
    </row>
    <row r="315" spans="1:9" customFormat="1" x14ac:dyDescent="0.3" s="14">
      <c r="A315" s="26">
        <v>23</v>
      </c>
      <c r="B315" s="3">
        <v>136</v>
      </c>
      <c r="C315" t="s" s="4">
        <v>194</v>
      </c>
      <c r="D315" t="s" s="5">
        <v>16</v>
      </c>
      <c r="E315" s="108">
        <v>1</v>
      </c>
      <c r="F315" s="6"/>
      <c r="G315" t="str" s="109">
        <f t="shared" si="16"/>
        <v>0</v>
      </c>
      <c r="H315" s="145"/>
      <c r="I315" s="15"/>
    </row>
    <row r="316" spans="1:9" customFormat="1" x14ac:dyDescent="0.3" s="14">
      <c r="A316" s="26">
        <v>24</v>
      </c>
      <c r="B316" s="3">
        <v>66</v>
      </c>
      <c r="C316" t="s" s="4">
        <v>85</v>
      </c>
      <c r="D316" t="s" s="5">
        <v>61</v>
      </c>
      <c r="E316" s="120">
        <v>1</v>
      </c>
      <c r="F316" s="6"/>
      <c r="G316" t="str" s="109">
        <f t="shared" si="16"/>
        <v>0</v>
      </c>
      <c r="H316" s="145"/>
      <c r="I316" s="15"/>
    </row>
    <row r="317" spans="1:9" customFormat="1" x14ac:dyDescent="0.3" s="14">
      <c r="A317" s="26">
        <v>25</v>
      </c>
      <c r="B317" s="3">
        <v>147</v>
      </c>
      <c r="C317" t="s" s="4">
        <v>207</v>
      </c>
      <c r="D317" t="s" s="5">
        <v>61</v>
      </c>
      <c r="E317" s="120">
        <v>2</v>
      </c>
      <c r="F317" s="6"/>
      <c r="G317" t="str" s="109">
        <f t="shared" si="16"/>
        <v>0</v>
      </c>
      <c r="H317" s="145"/>
      <c r="I317" s="15"/>
    </row>
    <row r="318" spans="1:9" customFormat="1" x14ac:dyDescent="0.3" s="14">
      <c r="A318" s="26">
        <v>26</v>
      </c>
      <c r="B318" s="3">
        <v>50</v>
      </c>
      <c r="C318" t="s" s="4">
        <v>69</v>
      </c>
      <c r="D318" t="s" s="5">
        <v>61</v>
      </c>
      <c r="E318" s="120">
        <v>2</v>
      </c>
      <c r="F318" s="6"/>
      <c r="G318" t="str" s="109">
        <f t="shared" si="16"/>
        <v>0</v>
      </c>
      <c r="H318" s="145"/>
      <c r="I318" s="15"/>
    </row>
    <row r="319" spans="1:9" customFormat="1" x14ac:dyDescent="0.3" s="14">
      <c r="A319" s="26">
        <v>27</v>
      </c>
      <c r="B319" s="3">
        <v>55</v>
      </c>
      <c r="C319" t="s" s="4">
        <v>74</v>
      </c>
      <c r="D319" t="s" s="5">
        <v>61</v>
      </c>
      <c r="E319" s="120">
        <v>2</v>
      </c>
      <c r="F319" s="6"/>
      <c r="G319" t="str" s="109">
        <f t="shared" si="16"/>
        <v>0</v>
      </c>
      <c r="H319" s="145"/>
      <c r="I319" s="15"/>
    </row>
    <row r="320" spans="1:9" ht="11.25" customHeight="1" customFormat="1" x14ac:dyDescent="0.3" s="14">
      <c r="A320" s="26">
        <v>28</v>
      </c>
      <c r="B320" s="3">
        <v>62</v>
      </c>
      <c r="C320" t="s" s="4">
        <v>81</v>
      </c>
      <c r="D320" t="s" s="5">
        <v>61</v>
      </c>
      <c r="E320" s="120">
        <v>1</v>
      </c>
      <c r="F320" s="6"/>
      <c r="G320" t="str" s="109">
        <f t="shared" si="16"/>
        <v>0</v>
      </c>
      <c r="H320" s="145"/>
      <c r="I320" s="15"/>
    </row>
    <row r="321" spans="1:9" ht="20.4" customFormat="1" x14ac:dyDescent="0.3" s="14">
      <c r="A321" s="26">
        <v>29</v>
      </c>
      <c r="B321" s="3">
        <v>148</v>
      </c>
      <c r="C321" t="s" s="4">
        <v>208</v>
      </c>
      <c r="D321" t="s" s="5">
        <v>61</v>
      </c>
      <c r="E321" s="120">
        <v>1</v>
      </c>
      <c r="F321" s="6"/>
      <c r="G321" t="str" s="109">
        <f t="shared" si="16"/>
        <v>0</v>
      </c>
      <c r="H321" s="145"/>
      <c r="I321" s="15"/>
    </row>
    <row r="322" spans="1:9" customFormat="1" x14ac:dyDescent="0.3" s="14">
      <c r="A322" s="26">
        <v>30</v>
      </c>
      <c r="B322" s="3">
        <v>149</v>
      </c>
      <c r="C322" t="s" s="4">
        <v>209</v>
      </c>
      <c r="D322" t="s" s="5">
        <v>16</v>
      </c>
      <c r="E322" s="108">
        <v>2</v>
      </c>
      <c r="F322" s="6"/>
      <c r="G322" t="str" s="109">
        <f t="shared" si="16"/>
        <v>0</v>
      </c>
      <c r="H322" s="145"/>
      <c r="I322" s="15"/>
    </row>
    <row r="323" spans="1:9" customFormat="1" x14ac:dyDescent="0.3" s="14">
      <c r="A323" t="s" s="147">
        <v>279</v>
      </c>
      <c r="B323" s="126"/>
      <c r="C323" s="126"/>
      <c r="D323" s="126"/>
      <c r="E323" s="126"/>
      <c r="F323" s="126"/>
      <c r="G323" s="126"/>
      <c r="H323" s="145"/>
      <c r="I323" s="15"/>
    </row>
    <row r="324" spans="1:9" ht="20.4" customFormat="1" x14ac:dyDescent="0.3" s="14">
      <c r="A324" s="26">
        <v>1</v>
      </c>
      <c r="B324" s="3">
        <v>114</v>
      </c>
      <c r="C324" t="s" s="4">
        <v>169</v>
      </c>
      <c r="D324" t="s" s="5">
        <v>13</v>
      </c>
      <c r="E324" s="108">
        <v>1.9</v>
      </c>
      <c r="F324" s="6"/>
      <c r="G324" t="str" s="109">
        <f t="shared" ref="G324:G346" si="17">E324*F324</f>
        <v>0</v>
      </c>
      <c r="H324" s="145"/>
      <c r="I324" s="15"/>
    </row>
    <row r="325" spans="1:9" customFormat="1" x14ac:dyDescent="0.3" s="14">
      <c r="A325" s="26">
        <v>2</v>
      </c>
      <c r="B325" s="3">
        <v>115</v>
      </c>
      <c r="C325" t="s" s="4">
        <v>170</v>
      </c>
      <c r="D325" t="s" s="5">
        <v>13</v>
      </c>
      <c r="E325" s="108">
        <v>0.5</v>
      </c>
      <c r="F325" s="6"/>
      <c r="G325" t="str" s="109">
        <f t="shared" si="17"/>
        <v>0</v>
      </c>
      <c r="H325" s="145"/>
      <c r="I325" s="15"/>
    </row>
    <row r="326" spans="1:9" ht="20.4" customFormat="1" x14ac:dyDescent="0.3" s="14">
      <c r="A326" s="26">
        <v>3</v>
      </c>
      <c r="B326" s="3">
        <v>16</v>
      </c>
      <c r="C326" t="s" s="4">
        <v>25</v>
      </c>
      <c r="D326" t="s" s="5">
        <v>13</v>
      </c>
      <c r="E326" s="108">
        <v>2.28</v>
      </c>
      <c r="F326" s="6"/>
      <c r="G326" t="str" s="109">
        <f t="shared" si="17"/>
        <v>0</v>
      </c>
      <c r="H326" s="145"/>
      <c r="I326" s="15"/>
    </row>
    <row r="327" spans="1:9" ht="20.4" customFormat="1" x14ac:dyDescent="0.3" s="14">
      <c r="A327" s="26">
        <v>4</v>
      </c>
      <c r="B327" s="3">
        <v>22</v>
      </c>
      <c r="C327" t="s" s="4">
        <v>37</v>
      </c>
      <c r="D327" t="s" s="5">
        <v>13</v>
      </c>
      <c r="E327" s="108">
        <v>2.28</v>
      </c>
      <c r="F327" s="6"/>
      <c r="G327" t="str" s="109">
        <f t="shared" si="17"/>
        <v>0</v>
      </c>
      <c r="H327" s="145"/>
      <c r="I327" s="15"/>
    </row>
    <row r="328" spans="1:9" ht="20.4" customFormat="1" x14ac:dyDescent="0.3" s="14">
      <c r="A328" s="26">
        <v>5</v>
      </c>
      <c r="B328" s="3">
        <v>24</v>
      </c>
      <c r="C328" t="s" s="4">
        <v>39</v>
      </c>
      <c r="D328" t="s" s="5">
        <v>13</v>
      </c>
      <c r="E328" s="108">
        <v>2.4</v>
      </c>
      <c r="F328" s="6"/>
      <c r="G328" t="str" s="109">
        <f t="shared" si="17"/>
        <v>0</v>
      </c>
      <c r="H328" s="145"/>
      <c r="I328" s="15"/>
    </row>
    <row r="329" spans="1:9" ht="20.4" customFormat="1" x14ac:dyDescent="0.3" s="14">
      <c r="A329" s="26">
        <v>6</v>
      </c>
      <c r="B329" s="3">
        <v>129</v>
      </c>
      <c r="C329" t="s" s="4">
        <v>186</v>
      </c>
      <c r="D329" t="s" s="5">
        <v>33</v>
      </c>
      <c r="E329" s="108">
        <v>7.7</v>
      </c>
      <c r="F329" s="6"/>
      <c r="G329" t="str" s="109">
        <f t="shared" si="17"/>
        <v>0</v>
      </c>
      <c r="H329" s="145"/>
      <c r="I329" s="15"/>
    </row>
    <row r="330" spans="1:9" customFormat="1" x14ac:dyDescent="0.3" s="14">
      <c r="A330" s="26">
        <v>7</v>
      </c>
      <c r="B330" s="3">
        <v>130</v>
      </c>
      <c r="C330" t="s" s="4">
        <v>187</v>
      </c>
      <c r="D330" t="s" s="5">
        <v>33</v>
      </c>
      <c r="E330" s="108">
        <v>6</v>
      </c>
      <c r="F330" s="6"/>
      <c r="G330" t="str" s="109">
        <f t="shared" si="17"/>
        <v>0</v>
      </c>
      <c r="H330" s="145"/>
      <c r="I330" s="15"/>
    </row>
    <row r="331" spans="1:9" customFormat="1" x14ac:dyDescent="0.3" s="14">
      <c r="A331" s="26">
        <v>8</v>
      </c>
      <c r="B331" s="3">
        <v>150</v>
      </c>
      <c r="C331" t="s" s="4">
        <v>210</v>
      </c>
      <c r="D331" t="s" s="5">
        <v>11</v>
      </c>
      <c r="E331" s="108">
        <v>0.05</v>
      </c>
      <c r="F331" s="6"/>
      <c r="G331" t="str" s="109">
        <f t="shared" si="17"/>
        <v>0</v>
      </c>
      <c r="H331" s="145"/>
      <c r="I331" s="15"/>
    </row>
    <row r="332" spans="1:9" customFormat="1" x14ac:dyDescent="0.3" s="14">
      <c r="A332" s="26">
        <v>9</v>
      </c>
      <c r="B332" s="3">
        <v>131</v>
      </c>
      <c r="C332" t="s" s="4">
        <v>188</v>
      </c>
      <c r="D332" t="s" s="5">
        <v>33</v>
      </c>
      <c r="E332" s="108">
        <v>1</v>
      </c>
      <c r="F332" s="6"/>
      <c r="G332" t="str" s="109">
        <f t="shared" si="17"/>
        <v>0</v>
      </c>
      <c r="H332" s="145"/>
      <c r="I332" s="15"/>
    </row>
    <row r="333" spans="1:9" customFormat="1" x14ac:dyDescent="0.3" s="14">
      <c r="A333" s="26">
        <v>10</v>
      </c>
      <c r="B333" s="3">
        <v>151</v>
      </c>
      <c r="C333" t="s" s="4">
        <v>211</v>
      </c>
      <c r="D333" t="s" s="5">
        <v>33</v>
      </c>
      <c r="E333" s="108">
        <v>1</v>
      </c>
      <c r="F333" s="6"/>
      <c r="G333" t="str" s="109">
        <f t="shared" si="17"/>
        <v>0</v>
      </c>
      <c r="H333" s="145"/>
      <c r="I333" s="15"/>
    </row>
    <row r="334" spans="1:9" customFormat="1" x14ac:dyDescent="0.3" s="14">
      <c r="A334" s="26">
        <v>11</v>
      </c>
      <c r="B334" s="3">
        <v>133</v>
      </c>
      <c r="C334" t="s" s="4">
        <v>190</v>
      </c>
      <c r="D334" t="s" s="5">
        <v>33</v>
      </c>
      <c r="E334" s="108">
        <v>1</v>
      </c>
      <c r="F334" s="6"/>
      <c r="G334" t="str" s="109">
        <f t="shared" si="17"/>
        <v>0</v>
      </c>
      <c r="H334" s="145"/>
      <c r="I334" s="15"/>
    </row>
    <row r="335" spans="1:9" customFormat="1" x14ac:dyDescent="0.3" s="14">
      <c r="A335" s="26">
        <v>12</v>
      </c>
      <c r="B335" s="3">
        <v>134</v>
      </c>
      <c r="C335" t="s" s="4">
        <v>191</v>
      </c>
      <c r="D335" t="s" s="5">
        <v>61</v>
      </c>
      <c r="E335" s="120">
        <v>4</v>
      </c>
      <c r="F335" s="6"/>
      <c r="G335" t="str" s="109">
        <f t="shared" si="17"/>
        <v>0</v>
      </c>
      <c r="H335" s="145"/>
      <c r="I335" s="15"/>
    </row>
    <row r="336" spans="1:9" customFormat="1" x14ac:dyDescent="0.3" s="14">
      <c r="A336" s="26">
        <v>13</v>
      </c>
      <c r="B336" s="3">
        <v>145</v>
      </c>
      <c r="C336" t="s" s="4">
        <v>205</v>
      </c>
      <c r="D336" t="s" s="5">
        <v>177</v>
      </c>
      <c r="E336" s="108">
        <v>3</v>
      </c>
      <c r="F336" s="6"/>
      <c r="G336" t="str" s="109">
        <f t="shared" si="17"/>
        <v>0</v>
      </c>
      <c r="H336" s="145"/>
      <c r="I336" s="15"/>
    </row>
    <row r="337" spans="1:9" customFormat="1" x14ac:dyDescent="0.3" s="14">
      <c r="A337" s="26">
        <v>14</v>
      </c>
      <c r="B337" s="3">
        <v>146</v>
      </c>
      <c r="C337" t="s" s="4">
        <v>206</v>
      </c>
      <c r="D337" t="s" s="5">
        <v>33</v>
      </c>
      <c r="E337" s="108">
        <v>0.7</v>
      </c>
      <c r="F337" s="6"/>
      <c r="G337" t="str" s="109">
        <f t="shared" si="17"/>
        <v>0</v>
      </c>
      <c r="H337" s="145"/>
      <c r="I337" s="15"/>
    </row>
    <row r="338" spans="1:9" customFormat="1" x14ac:dyDescent="0.3" s="14">
      <c r="A338" s="26">
        <v>15</v>
      </c>
      <c r="B338" s="3">
        <v>152</v>
      </c>
      <c r="C338" t="s" s="4">
        <v>212</v>
      </c>
      <c r="D338" t="s" s="5">
        <v>16</v>
      </c>
      <c r="E338" s="108">
        <v>0.8</v>
      </c>
      <c r="F338" s="6"/>
      <c r="G338" t="str" s="109">
        <f t="shared" si="17"/>
        <v>0</v>
      </c>
      <c r="H338" s="145"/>
      <c r="I338" s="15"/>
    </row>
    <row r="339" spans="1:9" customFormat="1" x14ac:dyDescent="0.3" s="14">
      <c r="A339" s="26">
        <v>16</v>
      </c>
      <c r="B339" s="3">
        <v>153</v>
      </c>
      <c r="C339" t="s" s="4">
        <v>213</v>
      </c>
      <c r="D339" t="s" s="5">
        <v>61</v>
      </c>
      <c r="E339" s="120">
        <v>1</v>
      </c>
      <c r="F339" s="6"/>
      <c r="G339" t="str" s="109">
        <f t="shared" si="17"/>
        <v>0</v>
      </c>
      <c r="H339" s="145"/>
      <c r="I339" s="15"/>
    </row>
    <row r="340" spans="1:9" customFormat="1" x14ac:dyDescent="0.3" s="14">
      <c r="A340" s="26">
        <v>17</v>
      </c>
      <c r="B340" s="3">
        <v>66</v>
      </c>
      <c r="C340" t="s" s="4">
        <v>85</v>
      </c>
      <c r="D340" t="s" s="5">
        <v>61</v>
      </c>
      <c r="E340" s="120">
        <v>1</v>
      </c>
      <c r="F340" s="6"/>
      <c r="G340" t="str" s="109">
        <f t="shared" si="17"/>
        <v>0</v>
      </c>
      <c r="H340" s="145"/>
      <c r="I340" s="15"/>
    </row>
    <row r="341" spans="1:9" customFormat="1" x14ac:dyDescent="0.3" s="14">
      <c r="A341" s="26">
        <v>18</v>
      </c>
      <c r="B341" s="3">
        <v>147</v>
      </c>
      <c r="C341" t="s" s="4">
        <v>207</v>
      </c>
      <c r="D341" t="s" s="5">
        <v>61</v>
      </c>
      <c r="E341" s="120">
        <v>2</v>
      </c>
      <c r="F341" s="6"/>
      <c r="G341" t="str" s="109">
        <f t="shared" si="17"/>
        <v>0</v>
      </c>
      <c r="H341" s="145"/>
      <c r="I341" s="15"/>
    </row>
    <row r="342" spans="1:9" customFormat="1" x14ac:dyDescent="0.3" s="14">
      <c r="A342" s="26">
        <v>19</v>
      </c>
      <c r="B342" s="3">
        <v>50</v>
      </c>
      <c r="C342" t="s" s="4">
        <v>69</v>
      </c>
      <c r="D342" t="s" s="5">
        <v>61</v>
      </c>
      <c r="E342" s="120">
        <v>2</v>
      </c>
      <c r="F342" s="6"/>
      <c r="G342" t="str" s="109">
        <f t="shared" si="17"/>
        <v>0</v>
      </c>
      <c r="H342" s="145"/>
      <c r="I342" s="15"/>
    </row>
    <row r="343" spans="1:9" customFormat="1" x14ac:dyDescent="0.3" s="14">
      <c r="A343" s="26">
        <v>20</v>
      </c>
      <c r="B343" s="3">
        <v>55</v>
      </c>
      <c r="C343" t="s" s="4">
        <v>74</v>
      </c>
      <c r="D343" t="s" s="5">
        <v>61</v>
      </c>
      <c r="E343" s="120">
        <v>2</v>
      </c>
      <c r="F343" s="6"/>
      <c r="G343" t="str" s="109">
        <f t="shared" si="17"/>
        <v>0</v>
      </c>
      <c r="H343" s="145"/>
      <c r="I343" s="15"/>
    </row>
    <row r="344" spans="1:9" ht="11.25" customHeight="1" customFormat="1" x14ac:dyDescent="0.3" s="14">
      <c r="A344" s="26">
        <v>21</v>
      </c>
      <c r="B344" s="3">
        <v>62</v>
      </c>
      <c r="C344" t="s" s="4">
        <v>81</v>
      </c>
      <c r="D344" t="s" s="5">
        <v>61</v>
      </c>
      <c r="E344" s="120">
        <v>1</v>
      </c>
      <c r="F344" s="6"/>
      <c r="G344" t="str" s="109">
        <f t="shared" si="17"/>
        <v>0</v>
      </c>
      <c r="H344" s="145"/>
      <c r="I344" s="15"/>
    </row>
    <row r="345" spans="1:9" ht="20.4" customFormat="1" x14ac:dyDescent="0.3" s="14">
      <c r="A345" s="26">
        <v>22</v>
      </c>
      <c r="B345" s="3">
        <v>148</v>
      </c>
      <c r="C345" t="s" s="4">
        <v>208</v>
      </c>
      <c r="D345" t="s" s="5">
        <v>61</v>
      </c>
      <c r="E345" s="120">
        <v>1</v>
      </c>
      <c r="F345" s="6"/>
      <c r="G345" t="str" s="109">
        <f t="shared" si="17"/>
        <v>0</v>
      </c>
      <c r="H345" s="145"/>
      <c r="I345" s="15"/>
    </row>
    <row r="346" spans="1:9" customFormat="1" x14ac:dyDescent="0.3" s="14">
      <c r="A346" s="26">
        <v>23</v>
      </c>
      <c r="B346" s="3">
        <v>149</v>
      </c>
      <c r="C346" t="s" s="4">
        <v>209</v>
      </c>
      <c r="D346" t="s" s="5">
        <v>16</v>
      </c>
      <c r="E346" s="108">
        <v>2</v>
      </c>
      <c r="F346" s="6"/>
      <c r="G346" t="str" s="109">
        <f t="shared" si="17"/>
        <v>0</v>
      </c>
      <c r="H346" s="145"/>
      <c r="I346" s="15"/>
    </row>
    <row r="347" spans="1:9" customFormat="1" x14ac:dyDescent="0.3" s="14">
      <c r="A347" t="s" s="147">
        <v>280</v>
      </c>
      <c r="B347" s="126"/>
      <c r="C347" s="126"/>
      <c r="D347" s="126"/>
      <c r="E347" s="126"/>
      <c r="F347" s="126"/>
      <c r="G347" s="126"/>
      <c r="H347" s="145"/>
      <c r="I347" s="15"/>
    </row>
    <row r="348" spans="1:9" ht="20.4" customFormat="1" x14ac:dyDescent="0.3" s="14">
      <c r="A348" s="26">
        <v>1</v>
      </c>
      <c r="B348" s="3">
        <v>114</v>
      </c>
      <c r="C348" t="s" s="4">
        <v>169</v>
      </c>
      <c r="D348" t="s" s="5">
        <v>13</v>
      </c>
      <c r="E348" s="108">
        <v>9.1</v>
      </c>
      <c r="F348" s="6"/>
      <c r="G348" t="str" s="109">
        <f t="shared" ref="G348:G377" si="18">E348*F348</f>
        <v>0</v>
      </c>
      <c r="H348" s="145"/>
      <c r="I348" s="15"/>
    </row>
    <row r="349" spans="1:9" customFormat="1" x14ac:dyDescent="0.3" s="14">
      <c r="A349" s="26">
        <v>2</v>
      </c>
      <c r="B349" s="3">
        <v>115</v>
      </c>
      <c r="C349" t="s" s="4">
        <v>170</v>
      </c>
      <c r="D349" t="s" s="5">
        <v>13</v>
      </c>
      <c r="E349" s="108">
        <v>2.3</v>
      </c>
      <c r="F349" s="6"/>
      <c r="G349" t="str" s="109">
        <f t="shared" si="18"/>
        <v>0</v>
      </c>
      <c r="H349" s="145"/>
      <c r="I349" s="15"/>
    </row>
    <row r="350" spans="1:9" customFormat="1" x14ac:dyDescent="0.3" s="14">
      <c r="A350" s="26">
        <v>3</v>
      </c>
      <c r="B350" s="3">
        <v>116</v>
      </c>
      <c r="C350" t="s" s="4">
        <v>171</v>
      </c>
      <c r="D350" t="s" s="5">
        <v>13</v>
      </c>
      <c r="E350" s="108">
        <v>3.8</v>
      </c>
      <c r="F350" s="6"/>
      <c r="G350" t="str" s="109">
        <f t="shared" si="18"/>
        <v>0</v>
      </c>
      <c r="H350" s="145"/>
      <c r="I350" s="15"/>
    </row>
    <row r="351" spans="1:9" ht="20.4" customFormat="1" x14ac:dyDescent="0.3" s="14">
      <c r="A351" s="26">
        <v>4</v>
      </c>
      <c r="B351" s="3">
        <v>22</v>
      </c>
      <c r="C351" t="s" s="4">
        <v>37</v>
      </c>
      <c r="D351" t="s" s="5">
        <v>13</v>
      </c>
      <c r="E351" s="108">
        <v>9.9</v>
      </c>
      <c r="F351" s="6"/>
      <c r="G351" t="str" s="109">
        <f t="shared" si="18"/>
        <v>0</v>
      </c>
      <c r="H351" s="145"/>
      <c r="I351" s="15"/>
    </row>
    <row r="352" spans="1:9" customFormat="1" x14ac:dyDescent="0.3" s="14">
      <c r="A352" s="26">
        <v>5</v>
      </c>
      <c r="B352" s="3">
        <v>23</v>
      </c>
      <c r="C352" t="s" s="4">
        <v>38</v>
      </c>
      <c r="D352" t="s" s="5">
        <v>13</v>
      </c>
      <c r="E352" s="108">
        <v>1.5</v>
      </c>
      <c r="F352" s="6"/>
      <c r="G352" t="str" s="109">
        <f t="shared" si="18"/>
        <v>0</v>
      </c>
      <c r="H352" s="145"/>
      <c r="I352" s="15"/>
    </row>
    <row r="353" spans="1:9" ht="20.4" customFormat="1" x14ac:dyDescent="0.3" s="14">
      <c r="A353" s="26">
        <v>6</v>
      </c>
      <c r="B353" s="3">
        <v>24</v>
      </c>
      <c r="C353" t="s" s="4">
        <v>39</v>
      </c>
      <c r="D353" t="s" s="5">
        <v>13</v>
      </c>
      <c r="E353" s="108">
        <v>7.6</v>
      </c>
      <c r="F353" s="6"/>
      <c r="G353" t="str" s="109">
        <f t="shared" si="18"/>
        <v>0</v>
      </c>
      <c r="H353" s="145"/>
      <c r="I353" s="15"/>
    </row>
    <row r="354" spans="1:9" customFormat="1" x14ac:dyDescent="0.3" s="14">
      <c r="A354" s="26">
        <v>7</v>
      </c>
      <c r="B354" s="3">
        <v>117</v>
      </c>
      <c r="C354" t="s" s="4">
        <v>172</v>
      </c>
      <c r="D354" t="s" s="5">
        <v>33</v>
      </c>
      <c r="E354" s="108">
        <v>0.5</v>
      </c>
      <c r="F354" s="6"/>
      <c r="G354" t="str" s="109">
        <f t="shared" si="18"/>
        <v>0</v>
      </c>
      <c r="H354" s="145"/>
      <c r="I354" s="15"/>
    </row>
    <row r="355" spans="1:9" customFormat="1" x14ac:dyDescent="0.3" s="14">
      <c r="A355" s="26">
        <v>8</v>
      </c>
      <c r="B355" s="3">
        <v>118</v>
      </c>
      <c r="C355" t="s" s="4">
        <v>173</v>
      </c>
      <c r="D355" t="s" s="5">
        <v>33</v>
      </c>
      <c r="E355" s="108">
        <v>0.9</v>
      </c>
      <c r="F355" s="6"/>
      <c r="G355" t="str" s="109">
        <f t="shared" si="18"/>
        <v>0</v>
      </c>
      <c r="H355" s="145"/>
      <c r="I355" s="15"/>
    </row>
    <row r="356" spans="1:9" customFormat="1" x14ac:dyDescent="0.3" s="14">
      <c r="A356" s="26">
        <v>9</v>
      </c>
      <c r="B356" s="3">
        <v>120</v>
      </c>
      <c r="C356" t="s" s="4">
        <v>175</v>
      </c>
      <c r="D356" t="s" s="5">
        <v>33</v>
      </c>
      <c r="E356" s="108">
        <v>0.54</v>
      </c>
      <c r="F356" s="6"/>
      <c r="G356" t="str" s="109">
        <f t="shared" si="18"/>
        <v>0</v>
      </c>
      <c r="H356" s="145"/>
      <c r="I356" s="15"/>
    </row>
    <row r="357" spans="1:9" ht="20.4" customFormat="1" x14ac:dyDescent="0.3" s="14">
      <c r="A357" s="26">
        <v>10</v>
      </c>
      <c r="B357" s="3">
        <v>122</v>
      </c>
      <c r="C357" t="s" s="4">
        <v>178</v>
      </c>
      <c r="D357" t="s" s="5">
        <v>177</v>
      </c>
      <c r="E357" s="108">
        <v>23.96</v>
      </c>
      <c r="F357" s="6"/>
      <c r="G357" t="str" s="109">
        <f t="shared" si="18"/>
        <v>0</v>
      </c>
      <c r="H357" s="145"/>
      <c r="I357" s="15"/>
    </row>
    <row r="358" spans="1:9" customFormat="1" x14ac:dyDescent="0.3" s="14">
      <c r="A358" s="26">
        <v>11</v>
      </c>
      <c r="B358" s="3">
        <v>123</v>
      </c>
      <c r="C358" t="s" s="4">
        <v>179</v>
      </c>
      <c r="D358" t="s" s="5">
        <v>13</v>
      </c>
      <c r="E358" s="108">
        <v>0.2</v>
      </c>
      <c r="F358" s="6"/>
      <c r="G358" t="str" s="109">
        <f t="shared" si="18"/>
        <v>0</v>
      </c>
      <c r="H358" s="145"/>
      <c r="I358" s="15"/>
    </row>
    <row r="359" spans="1:9" customFormat="1" x14ac:dyDescent="0.3" s="14">
      <c r="A359" s="26">
        <v>12</v>
      </c>
      <c r="B359" s="3">
        <v>124</v>
      </c>
      <c r="C359" t="s" s="4">
        <v>180</v>
      </c>
      <c r="D359" t="s" s="5">
        <v>13</v>
      </c>
      <c r="E359" s="108">
        <v>0.41</v>
      </c>
      <c r="F359" s="6"/>
      <c r="G359" t="str" s="109">
        <f t="shared" si="18"/>
        <v>0</v>
      </c>
      <c r="H359" s="145"/>
      <c r="I359" s="15"/>
    </row>
    <row r="360" spans="1:9" customFormat="1" x14ac:dyDescent="0.3" s="14">
      <c r="A360" s="26">
        <v>13</v>
      </c>
      <c r="B360" s="3">
        <v>126</v>
      </c>
      <c r="C360" t="s" s="4">
        <v>182</v>
      </c>
      <c r="D360" t="s" s="5">
        <v>13</v>
      </c>
      <c r="E360" s="108">
        <v>0.09</v>
      </c>
      <c r="F360" s="6"/>
      <c r="G360" t="str" s="109">
        <f t="shared" si="18"/>
        <v>0</v>
      </c>
      <c r="H360" s="145"/>
      <c r="I360" s="15"/>
    </row>
    <row r="361" spans="1:9" customFormat="1" x14ac:dyDescent="0.3" s="14">
      <c r="A361" s="26">
        <v>14</v>
      </c>
      <c r="B361" s="3">
        <v>143</v>
      </c>
      <c r="C361" t="s" s="4">
        <v>203</v>
      </c>
      <c r="D361" t="s" s="5">
        <v>13</v>
      </c>
      <c r="E361" s="108">
        <v>0.7</v>
      </c>
      <c r="F361" s="6"/>
      <c r="G361" t="str" s="109">
        <f t="shared" si="18"/>
        <v>0</v>
      </c>
      <c r="H361" s="145"/>
      <c r="I361" s="15"/>
    </row>
    <row r="362" spans="1:9" ht="11.25" customHeight="1" customFormat="1" x14ac:dyDescent="0.3" s="14">
      <c r="A362" s="26">
        <v>15</v>
      </c>
      <c r="B362" s="3">
        <v>128</v>
      </c>
      <c r="C362" t="s" s="4">
        <v>184</v>
      </c>
      <c r="D362" t="s" s="5">
        <v>11</v>
      </c>
      <c r="E362" s="108">
        <v>0.25</v>
      </c>
      <c r="F362" s="6"/>
      <c r="G362" t="str" s="109">
        <f t="shared" si="18"/>
        <v>0</v>
      </c>
      <c r="H362" s="145"/>
      <c r="I362" s="15"/>
    </row>
    <row r="363" spans="1:9" ht="20.4" customFormat="1" x14ac:dyDescent="0.3" s="14">
      <c r="A363" s="26">
        <v>16</v>
      </c>
      <c r="B363" s="3">
        <v>129</v>
      </c>
      <c r="C363" t="s" s="4">
        <v>186</v>
      </c>
      <c r="D363" t="s" s="5">
        <v>33</v>
      </c>
      <c r="E363" s="108">
        <v>9</v>
      </c>
      <c r="F363" s="6"/>
      <c r="G363" t="str" s="109">
        <f t="shared" si="18"/>
        <v>0</v>
      </c>
      <c r="H363" s="145"/>
      <c r="I363" s="15"/>
    </row>
    <row r="364" spans="1:9" customFormat="1" x14ac:dyDescent="0.3" s="14">
      <c r="A364" s="26">
        <v>17</v>
      </c>
      <c r="B364" s="3">
        <v>130</v>
      </c>
      <c r="C364" t="s" s="4">
        <v>187</v>
      </c>
      <c r="D364" t="s" s="5">
        <v>33</v>
      </c>
      <c r="E364" s="108">
        <v>7.5</v>
      </c>
      <c r="F364" s="6"/>
      <c r="G364" t="str" s="109">
        <f t="shared" si="18"/>
        <v>0</v>
      </c>
      <c r="H364" s="145"/>
      <c r="I364" s="15"/>
    </row>
    <row r="365" spans="1:9" customFormat="1" x14ac:dyDescent="0.3" s="14">
      <c r="A365" s="26">
        <v>18</v>
      </c>
      <c r="B365" s="3">
        <v>144</v>
      </c>
      <c r="C365" t="s" s="4">
        <v>204</v>
      </c>
      <c r="D365" t="s" s="5">
        <v>61</v>
      </c>
      <c r="E365" s="120">
        <v>4</v>
      </c>
      <c r="F365" s="6"/>
      <c r="G365" t="str" s="109">
        <f t="shared" si="18"/>
        <v>0</v>
      </c>
      <c r="H365" s="145"/>
      <c r="I365" s="15"/>
    </row>
    <row r="366" spans="1:9" customFormat="1" x14ac:dyDescent="0.3" s="14">
      <c r="A366" s="26">
        <v>19</v>
      </c>
      <c r="B366" s="3">
        <v>131</v>
      </c>
      <c r="C366" t="s" s="4">
        <v>188</v>
      </c>
      <c r="D366" t="s" s="5">
        <v>33</v>
      </c>
      <c r="E366" s="108">
        <v>1</v>
      </c>
      <c r="F366" s="6"/>
      <c r="G366" t="str" s="109">
        <f t="shared" si="18"/>
        <v>0</v>
      </c>
      <c r="H366" s="145"/>
      <c r="I366" s="15"/>
    </row>
    <row r="367" spans="1:9" customFormat="1" x14ac:dyDescent="0.3" s="14">
      <c r="A367" s="26">
        <v>20</v>
      </c>
      <c r="B367" s="3">
        <v>134</v>
      </c>
      <c r="C367" t="s" s="4">
        <v>191</v>
      </c>
      <c r="D367" t="s" s="5">
        <v>61</v>
      </c>
      <c r="E367" s="120">
        <v>6</v>
      </c>
      <c r="F367" s="6"/>
      <c r="G367" t="str" s="109">
        <f t="shared" si="18"/>
        <v>0</v>
      </c>
      <c r="H367" s="145"/>
      <c r="I367" s="15"/>
    </row>
    <row r="368" spans="1:9" customFormat="1" x14ac:dyDescent="0.3" s="14">
      <c r="A368" s="26">
        <v>21</v>
      </c>
      <c r="B368" s="3">
        <v>154</v>
      </c>
      <c r="C368" t="s" s="4">
        <v>214</v>
      </c>
      <c r="D368" t="s" s="5">
        <v>61</v>
      </c>
      <c r="E368" s="120">
        <v>1</v>
      </c>
      <c r="F368" s="6"/>
      <c r="G368" t="str" s="109">
        <f t="shared" si="18"/>
        <v>0</v>
      </c>
      <c r="H368" s="145"/>
      <c r="I368" s="15"/>
    </row>
    <row r="369" spans="1:9" customFormat="1" x14ac:dyDescent="0.3" s="14">
      <c r="A369" s="26">
        <v>22</v>
      </c>
      <c r="B369" s="3">
        <v>155</v>
      </c>
      <c r="C369" t="s" s="4">
        <v>215</v>
      </c>
      <c r="D369" t="s" s="5">
        <v>61</v>
      </c>
      <c r="E369" s="120">
        <v>1</v>
      </c>
      <c r="F369" s="6"/>
      <c r="G369" t="str" s="109">
        <f t="shared" si="18"/>
        <v>0</v>
      </c>
      <c r="H369" s="145"/>
      <c r="I369" s="15"/>
    </row>
    <row r="370" spans="1:9" customFormat="1" x14ac:dyDescent="0.3" s="14">
      <c r="A370" s="26">
        <v>23</v>
      </c>
      <c r="B370" s="3">
        <v>156</v>
      </c>
      <c r="C370" t="s" s="4">
        <v>216</v>
      </c>
      <c r="D370" t="s" s="5">
        <v>16</v>
      </c>
      <c r="E370" s="108">
        <v>2</v>
      </c>
      <c r="F370" s="6"/>
      <c r="G370" t="str" s="109">
        <f t="shared" si="18"/>
        <v>0</v>
      </c>
      <c r="H370" s="145"/>
      <c r="I370" s="15"/>
    </row>
    <row r="371" spans="1:9" customFormat="1" x14ac:dyDescent="0.3" s="14">
      <c r="A371" s="26">
        <v>24</v>
      </c>
      <c r="B371" s="3">
        <v>63</v>
      </c>
      <c r="C371" t="s" s="4">
        <v>82</v>
      </c>
      <c r="D371" t="s" s="5">
        <v>61</v>
      </c>
      <c r="E371" s="120">
        <v>1</v>
      </c>
      <c r="F371" s="6"/>
      <c r="G371" t="str" s="109">
        <f t="shared" si="18"/>
        <v>0</v>
      </c>
      <c r="H371" s="145"/>
      <c r="I371" s="15"/>
    </row>
    <row r="372" spans="1:9" customFormat="1" x14ac:dyDescent="0.3" s="14">
      <c r="A372" s="26">
        <v>25</v>
      </c>
      <c r="B372" s="3">
        <v>157</v>
      </c>
      <c r="C372" t="s" s="4">
        <v>217</v>
      </c>
      <c r="D372" t="s" s="5">
        <v>61</v>
      </c>
      <c r="E372" s="120">
        <v>2</v>
      </c>
      <c r="F372" s="6"/>
      <c r="G372" t="str" s="109">
        <f t="shared" si="18"/>
        <v>0</v>
      </c>
      <c r="H372" s="145"/>
      <c r="I372" s="15"/>
    </row>
    <row r="373" spans="1:9" customFormat="1" x14ac:dyDescent="0.3" s="14">
      <c r="A373" s="26">
        <v>26</v>
      </c>
      <c r="B373" s="3">
        <v>158</v>
      </c>
      <c r="C373" t="s" s="4">
        <v>218</v>
      </c>
      <c r="D373" t="s" s="5">
        <v>61</v>
      </c>
      <c r="E373" s="120">
        <v>2</v>
      </c>
      <c r="F373" s="6"/>
      <c r="G373" t="str" s="109">
        <f t="shared" si="18"/>
        <v>0</v>
      </c>
      <c r="H373" s="145"/>
      <c r="I373" s="15"/>
    </row>
    <row r="374" spans="1:9" customFormat="1" x14ac:dyDescent="0.3" s="14">
      <c r="A374" s="26">
        <v>27</v>
      </c>
      <c r="B374" s="3">
        <v>159</v>
      </c>
      <c r="C374" t="s" s="4">
        <v>219</v>
      </c>
      <c r="D374" t="s" s="5">
        <v>61</v>
      </c>
      <c r="E374" s="120">
        <v>1</v>
      </c>
      <c r="F374" s="6"/>
      <c r="G374" t="str" s="109">
        <f t="shared" si="18"/>
        <v>0</v>
      </c>
      <c r="H374" s="145"/>
      <c r="I374" s="15"/>
    </row>
    <row r="375" spans="1:9" customFormat="1" x14ac:dyDescent="0.3" s="14">
      <c r="A375" s="26">
        <v>28</v>
      </c>
      <c r="B375" s="3">
        <v>160</v>
      </c>
      <c r="C375" t="s" s="4">
        <v>220</v>
      </c>
      <c r="D375" t="s" s="5">
        <v>61</v>
      </c>
      <c r="E375" s="120">
        <v>1</v>
      </c>
      <c r="F375" s="6"/>
      <c r="G375" t="str" s="109">
        <f t="shared" si="18"/>
        <v>0</v>
      </c>
      <c r="H375" s="145"/>
      <c r="I375" s="15"/>
    </row>
    <row r="376" spans="1:9" customFormat="1" x14ac:dyDescent="0.3" s="14">
      <c r="A376" s="26">
        <v>29</v>
      </c>
      <c r="B376" s="3">
        <v>141</v>
      </c>
      <c r="C376" t="s" s="4">
        <v>199</v>
      </c>
      <c r="D376" t="s" s="5">
        <v>61</v>
      </c>
      <c r="E376" s="120">
        <v>2</v>
      </c>
      <c r="F376" s="6"/>
      <c r="G376" t="str" s="109">
        <f t="shared" si="18"/>
        <v>0</v>
      </c>
      <c r="H376" s="145"/>
      <c r="I376" s="15"/>
    </row>
    <row r="377" spans="1:9" customFormat="1" x14ac:dyDescent="0.3" s="14">
      <c r="A377" s="26">
        <v>30</v>
      </c>
      <c r="B377" s="3">
        <v>161</v>
      </c>
      <c r="C377" t="s" s="4">
        <v>221</v>
      </c>
      <c r="D377" t="s" s="5">
        <v>16</v>
      </c>
      <c r="E377" s="108">
        <v>1</v>
      </c>
      <c r="F377" s="6"/>
      <c r="G377" t="str" s="109">
        <f t="shared" si="18"/>
        <v>0</v>
      </c>
      <c r="H377" s="145"/>
      <c r="I377" s="15"/>
    </row>
    <row r="378" spans="1:9" customFormat="1" x14ac:dyDescent="0.3" s="14">
      <c r="A378" t="s" s="147">
        <v>281</v>
      </c>
      <c r="B378" s="126"/>
      <c r="C378" s="126"/>
      <c r="D378" s="126"/>
      <c r="E378" s="126"/>
      <c r="F378" s="126"/>
      <c r="G378" s="126"/>
      <c r="H378" s="145"/>
      <c r="I378" s="15"/>
    </row>
    <row r="379" spans="1:9" customFormat="1" x14ac:dyDescent="0.3" s="14">
      <c r="A379" s="26">
        <v>1</v>
      </c>
      <c r="B379" s="3">
        <v>162</v>
      </c>
      <c r="C379" t="s" s="4">
        <v>222</v>
      </c>
      <c r="D379" t="s" s="5">
        <v>223</v>
      </c>
      <c r="E379" s="108">
        <v>0.228</v>
      </c>
      <c r="F379" s="6"/>
      <c r="G379" t="str" s="109">
        <f t="shared" ref="G379:G391" si="19">E379*F379</f>
        <v>0</v>
      </c>
      <c r="H379" s="145"/>
      <c r="I379" s="15"/>
    </row>
    <row r="380" spans="1:9" customFormat="1" x14ac:dyDescent="0.3" s="14">
      <c r="A380" s="26">
        <v>2</v>
      </c>
      <c r="B380" s="3">
        <v>163</v>
      </c>
      <c r="C380" t="s" s="4">
        <v>224</v>
      </c>
      <c r="D380" t="s" s="5">
        <v>177</v>
      </c>
      <c r="E380" s="108">
        <v>63.2</v>
      </c>
      <c r="F380" s="6"/>
      <c r="G380" t="str" s="109">
        <f t="shared" si="19"/>
        <v>0</v>
      </c>
      <c r="H380" s="145"/>
      <c r="I380" s="15"/>
    </row>
    <row r="381" spans="1:9" customFormat="1" x14ac:dyDescent="0.3" s="14">
      <c r="A381" s="26">
        <v>3</v>
      </c>
      <c r="B381" s="3">
        <v>164</v>
      </c>
      <c r="C381" t="s" s="4">
        <v>225</v>
      </c>
      <c r="D381" t="s" s="5">
        <v>177</v>
      </c>
      <c r="E381" s="108">
        <v>24.89</v>
      </c>
      <c r="F381" s="6"/>
      <c r="G381" t="str" s="109">
        <f t="shared" si="19"/>
        <v>0</v>
      </c>
      <c r="H381" s="145"/>
      <c r="I381" s="15"/>
    </row>
    <row r="382" spans="1:9" ht="20.4" customFormat="1" x14ac:dyDescent="0.3" s="14">
      <c r="A382" s="26">
        <v>4</v>
      </c>
      <c r="B382" s="3">
        <v>165</v>
      </c>
      <c r="C382" t="s" s="4">
        <v>226</v>
      </c>
      <c r="D382" t="s" s="5">
        <v>13</v>
      </c>
      <c r="E382" s="108">
        <v>60.3</v>
      </c>
      <c r="F382" s="6"/>
      <c r="G382" t="str" s="109">
        <f t="shared" si="19"/>
        <v>0</v>
      </c>
      <c r="H382" s="145"/>
      <c r="I382" s="15"/>
    </row>
    <row r="383" spans="1:9" customFormat="1" x14ac:dyDescent="0.3" s="14">
      <c r="A383" s="26">
        <v>5</v>
      </c>
      <c r="B383" s="3">
        <v>166</v>
      </c>
      <c r="C383" t="s" s="4">
        <v>227</v>
      </c>
      <c r="D383" t="s" s="5">
        <v>13</v>
      </c>
      <c r="E383" s="108">
        <v>10.6</v>
      </c>
      <c r="F383" s="6"/>
      <c r="G383" t="str" s="109">
        <f t="shared" si="19"/>
        <v>0</v>
      </c>
      <c r="H383" s="145"/>
      <c r="I383" s="15"/>
    </row>
    <row r="384" spans="1:9" customFormat="1" x14ac:dyDescent="0.3" s="14">
      <c r="A384" s="26">
        <v>6</v>
      </c>
      <c r="B384" s="3">
        <v>167</v>
      </c>
      <c r="C384" t="s" s="4">
        <v>228</v>
      </c>
      <c r="D384" t="s" s="5">
        <v>33</v>
      </c>
      <c r="E384" s="108">
        <v>29.5</v>
      </c>
      <c r="F384" s="6"/>
      <c r="G384" t="str" s="109">
        <f t="shared" si="19"/>
        <v>0</v>
      </c>
      <c r="H384" s="145"/>
      <c r="I384" s="15"/>
    </row>
    <row r="385" spans="1:9" customFormat="1" x14ac:dyDescent="0.3" s="14">
      <c r="A385" s="26">
        <v>7</v>
      </c>
      <c r="B385" s="3">
        <v>168</v>
      </c>
      <c r="C385" t="s" s="4">
        <v>229</v>
      </c>
      <c r="D385" t="s" s="5">
        <v>13</v>
      </c>
      <c r="E385" s="108">
        <v>12.6</v>
      </c>
      <c r="F385" s="6"/>
      <c r="G385" t="str" s="109">
        <f t="shared" si="19"/>
        <v>0</v>
      </c>
      <c r="H385" s="145"/>
      <c r="I385" s="15"/>
    </row>
    <row r="386" spans="1:9" ht="20.4" customFormat="1" x14ac:dyDescent="0.3" s="14">
      <c r="A386" s="26">
        <v>8</v>
      </c>
      <c r="B386" s="3">
        <v>169</v>
      </c>
      <c r="C386" t="s" s="4">
        <v>230</v>
      </c>
      <c r="D386" t="s" s="5">
        <v>177</v>
      </c>
      <c r="E386" s="108">
        <v>317</v>
      </c>
      <c r="F386" s="6"/>
      <c r="G386" t="str" s="109">
        <f t="shared" si="19"/>
        <v>0</v>
      </c>
      <c r="H386" s="145"/>
      <c r="I386" s="15"/>
    </row>
    <row r="387" spans="1:9" customFormat="1" x14ac:dyDescent="0.3" s="14">
      <c r="A387" s="26">
        <v>9</v>
      </c>
      <c r="B387" s="3">
        <v>170</v>
      </c>
      <c r="C387" t="s" s="4">
        <v>231</v>
      </c>
      <c r="D387" t="s" s="5">
        <v>13</v>
      </c>
      <c r="E387" s="108">
        <v>3.9</v>
      </c>
      <c r="F387" s="6"/>
      <c r="G387" t="str" s="109">
        <f t="shared" si="19"/>
        <v>0</v>
      </c>
      <c r="H387" s="145"/>
      <c r="I387" s="15"/>
    </row>
    <row r="388" spans="1:9" customFormat="1" x14ac:dyDescent="0.3" s="14">
      <c r="A388" s="26">
        <v>10</v>
      </c>
      <c r="B388" s="3">
        <v>171</v>
      </c>
      <c r="C388" t="s" s="4">
        <v>232</v>
      </c>
      <c r="D388" t="s" s="5">
        <v>13</v>
      </c>
      <c r="E388" s="108">
        <v>20.6</v>
      </c>
      <c r="F388" s="6"/>
      <c r="G388" t="str" s="109">
        <f t="shared" si="19"/>
        <v>0</v>
      </c>
      <c r="H388" s="145"/>
      <c r="I388" s="15"/>
    </row>
    <row r="389" spans="1:9" customFormat="1" x14ac:dyDescent="0.3" s="14">
      <c r="A389" s="26">
        <v>11</v>
      </c>
      <c r="B389" s="3">
        <v>172</v>
      </c>
      <c r="C389" t="s" s="4">
        <v>233</v>
      </c>
      <c r="D389" t="s" s="5">
        <v>33</v>
      </c>
      <c r="E389" s="108">
        <v>54</v>
      </c>
      <c r="F389" s="6"/>
      <c r="G389" t="str" s="109">
        <f t="shared" si="19"/>
        <v>0</v>
      </c>
      <c r="H389" s="145"/>
      <c r="I389" s="15"/>
    </row>
    <row r="390" spans="1:9" customFormat="1" x14ac:dyDescent="0.3" s="14">
      <c r="A390" s="26">
        <v>12</v>
      </c>
      <c r="B390" s="3">
        <v>173</v>
      </c>
      <c r="C390" t="s" s="4">
        <v>234</v>
      </c>
      <c r="D390" t="s" s="5">
        <v>13</v>
      </c>
      <c r="E390" s="108">
        <v>360</v>
      </c>
      <c r="F390" s="6"/>
      <c r="G390" t="str" s="109">
        <f t="shared" si="19"/>
        <v>0</v>
      </c>
      <c r="H390" s="145"/>
      <c r="I390" s="15"/>
    </row>
    <row r="391" spans="1:9" customFormat="1" x14ac:dyDescent="0.3" s="14">
      <c r="A391" s="26">
        <v>13</v>
      </c>
      <c r="B391" s="3">
        <v>174</v>
      </c>
      <c r="C391" t="s" s="4">
        <v>235</v>
      </c>
      <c r="D391" t="s" s="5">
        <v>13</v>
      </c>
      <c r="E391" s="108">
        <v>360</v>
      </c>
      <c r="F391" s="6"/>
      <c r="G391" t="str" s="109">
        <f t="shared" si="19"/>
        <v>0</v>
      </c>
      <c r="H391" s="145"/>
      <c r="I391" s="15"/>
    </row>
    <row r="392" spans="1:9" customFormat="1" x14ac:dyDescent="0.3" s="14">
      <c r="A392" t="s" s="147">
        <v>282</v>
      </c>
      <c r="B392" s="126"/>
      <c r="C392" s="126"/>
      <c r="D392" s="126"/>
      <c r="E392" s="126"/>
      <c r="F392" s="126"/>
      <c r="G392" s="126"/>
      <c r="H392" s="145"/>
      <c r="I392" s="15"/>
    </row>
    <row r="393" spans="1:9" customFormat="1" x14ac:dyDescent="0.3" s="14">
      <c r="A393" s="26">
        <v>1</v>
      </c>
      <c r="B393" s="3">
        <v>175</v>
      </c>
      <c r="C393" t="s" s="4">
        <v>236</v>
      </c>
      <c r="D393" t="s" s="5">
        <v>237</v>
      </c>
      <c r="E393" s="127">
        <v>0.2</v>
      </c>
      <c r="F393" s="6"/>
      <c r="G393" t="str" s="109">
        <f t="shared" ref="G393:G404" si="20">E393*F393</f>
        <v>0</v>
      </c>
      <c r="H393" s="145"/>
      <c r="I393" s="15"/>
    </row>
    <row r="394" spans="1:9" customFormat="1" x14ac:dyDescent="0.3" s="14">
      <c r="A394" s="26">
        <v>2</v>
      </c>
      <c r="B394" s="3">
        <v>176</v>
      </c>
      <c r="C394" t="s" s="4">
        <v>238</v>
      </c>
      <c r="D394" t="s" s="5">
        <v>13</v>
      </c>
      <c r="E394" s="108">
        <v>10</v>
      </c>
      <c r="F394" s="6"/>
      <c r="G394" t="str" s="109">
        <f t="shared" si="20"/>
        <v>0</v>
      </c>
      <c r="H394" s="145"/>
      <c r="I394" s="15"/>
    </row>
    <row r="395" spans="1:9" customFormat="1" x14ac:dyDescent="0.3" s="14">
      <c r="A395" s="26">
        <v>3</v>
      </c>
      <c r="B395" s="3">
        <v>177</v>
      </c>
      <c r="C395" t="s" s="4">
        <v>239</v>
      </c>
      <c r="D395" t="s" s="5">
        <v>13</v>
      </c>
      <c r="E395" s="108">
        <v>10</v>
      </c>
      <c r="F395" s="6"/>
      <c r="G395" t="str" s="109">
        <f t="shared" si="20"/>
        <v>0</v>
      </c>
      <c r="H395" s="145"/>
      <c r="I395" s="15"/>
    </row>
    <row r="396" spans="1:9" customFormat="1" x14ac:dyDescent="0.3" s="14">
      <c r="A396" s="26">
        <v>4</v>
      </c>
      <c r="B396" s="3">
        <v>178</v>
      </c>
      <c r="C396" t="s" s="4">
        <v>240</v>
      </c>
      <c r="D396" t="s" s="5">
        <v>13</v>
      </c>
      <c r="E396" s="108">
        <v>10</v>
      </c>
      <c r="F396" s="6"/>
      <c r="G396" t="str" s="109">
        <f t="shared" si="20"/>
        <v>0</v>
      </c>
      <c r="H396" s="145"/>
      <c r="I396" s="15"/>
    </row>
    <row r="397" spans="1:9" customFormat="1" x14ac:dyDescent="0.3" s="14">
      <c r="A397" s="26">
        <v>5</v>
      </c>
      <c r="B397" s="3">
        <v>179</v>
      </c>
      <c r="C397" t="s" s="4">
        <v>241</v>
      </c>
      <c r="D397" t="s" s="5">
        <v>13</v>
      </c>
      <c r="E397" s="108">
        <v>97.1</v>
      </c>
      <c r="F397" s="6"/>
      <c r="G397" t="str" s="109">
        <f t="shared" si="20"/>
        <v>0</v>
      </c>
      <c r="H397" s="145"/>
      <c r="I397" s="15"/>
    </row>
    <row r="398" spans="1:9" customFormat="1" x14ac:dyDescent="0.3" s="14">
      <c r="A398" s="26">
        <v>6</v>
      </c>
      <c r="B398" s="3">
        <v>23</v>
      </c>
      <c r="C398" t="s" s="4">
        <v>38</v>
      </c>
      <c r="D398" t="s" s="5">
        <v>13</v>
      </c>
      <c r="E398" s="108">
        <v>15.9</v>
      </c>
      <c r="F398" s="6"/>
      <c r="G398" t="str" s="109">
        <f t="shared" si="20"/>
        <v>0</v>
      </c>
      <c r="H398" s="145"/>
      <c r="I398" s="15"/>
    </row>
    <row r="399" spans="1:9" customFormat="1" x14ac:dyDescent="0.3" s="14">
      <c r="A399" s="26">
        <v>7</v>
      </c>
      <c r="B399" s="3">
        <v>167</v>
      </c>
      <c r="C399" t="s" s="4">
        <v>228</v>
      </c>
      <c r="D399" t="s" s="5">
        <v>33</v>
      </c>
      <c r="E399" s="108">
        <v>43.7</v>
      </c>
      <c r="F399" s="6"/>
      <c r="G399" t="str" s="109">
        <f t="shared" si="20"/>
        <v>0</v>
      </c>
      <c r="H399" s="145"/>
      <c r="I399" s="15"/>
    </row>
    <row r="400" spans="1:9" customFormat="1" x14ac:dyDescent="0.3" s="14">
      <c r="A400" s="26">
        <v>8</v>
      </c>
      <c r="B400" s="3">
        <v>168</v>
      </c>
      <c r="C400" t="s" s="4">
        <v>229</v>
      </c>
      <c r="D400" t="s" s="5">
        <v>13</v>
      </c>
      <c r="E400" s="108">
        <v>24</v>
      </c>
      <c r="F400" s="6"/>
      <c r="G400" t="str" s="109">
        <f t="shared" si="20"/>
        <v>0</v>
      </c>
      <c r="H400" s="145"/>
      <c r="I400" s="15"/>
    </row>
    <row r="401" spans="1:9" ht="20.4" customFormat="1" x14ac:dyDescent="0.3" s="14">
      <c r="A401" s="26">
        <v>9</v>
      </c>
      <c r="B401" s="3">
        <v>169</v>
      </c>
      <c r="C401" t="s" s="4">
        <v>230</v>
      </c>
      <c r="D401" t="s" s="5">
        <v>177</v>
      </c>
      <c r="E401" s="108">
        <v>533</v>
      </c>
      <c r="F401" s="6"/>
      <c r="G401" t="str" s="109">
        <f t="shared" si="20"/>
        <v>0</v>
      </c>
      <c r="H401" s="145"/>
      <c r="I401" s="15"/>
    </row>
    <row r="402" spans="1:9" customFormat="1" x14ac:dyDescent="0.3" s="14">
      <c r="A402" s="26">
        <v>10</v>
      </c>
      <c r="B402" s="3">
        <v>170</v>
      </c>
      <c r="C402" t="s" s="4">
        <v>231</v>
      </c>
      <c r="D402" t="s" s="5">
        <v>13</v>
      </c>
      <c r="E402" s="108">
        <v>5.8</v>
      </c>
      <c r="F402" s="6"/>
      <c r="G402" t="str" s="109">
        <f t="shared" si="20"/>
        <v>0</v>
      </c>
      <c r="H402" s="145"/>
      <c r="I402" s="15"/>
    </row>
    <row r="403" spans="1:9" customFormat="1" x14ac:dyDescent="0.3" s="14">
      <c r="A403" s="26">
        <v>11</v>
      </c>
      <c r="B403" s="3">
        <v>171</v>
      </c>
      <c r="C403" t="s" s="4">
        <v>232</v>
      </c>
      <c r="D403" t="s" s="5">
        <v>13</v>
      </c>
      <c r="E403" s="108">
        <v>30.8</v>
      </c>
      <c r="F403" s="6"/>
      <c r="G403" t="str" s="109">
        <f t="shared" si="20"/>
        <v>0</v>
      </c>
      <c r="H403" s="145"/>
      <c r="I403" s="15"/>
    </row>
    <row r="404" spans="1:9" customFormat="1" x14ac:dyDescent="0.3" s="14">
      <c r="A404" s="26">
        <v>12</v>
      </c>
      <c r="B404" s="3">
        <v>172</v>
      </c>
      <c r="C404" t="s" s="4">
        <v>233</v>
      </c>
      <c r="D404" t="s" s="5">
        <v>33</v>
      </c>
      <c r="E404" s="108">
        <v>81</v>
      </c>
      <c r="F404" s="6"/>
      <c r="G404" t="str" s="109">
        <f t="shared" si="20"/>
        <v>0</v>
      </c>
      <c r="H404" s="145"/>
      <c r="I404" s="15"/>
    </row>
    <row r="405" spans="1:9" customFormat="1" x14ac:dyDescent="0.3" s="14">
      <c r="A405" t="s" s="147">
        <v>283</v>
      </c>
      <c r="B405" s="126"/>
      <c r="C405" s="126"/>
      <c r="D405" s="126"/>
      <c r="E405" s="126"/>
      <c r="F405" s="126"/>
      <c r="G405" s="126"/>
      <c r="H405" s="145"/>
      <c r="I405" s="15"/>
    </row>
    <row r="406" spans="1:9" ht="20.4" customFormat="1" x14ac:dyDescent="0.3" s="14">
      <c r="A406" s="26">
        <v>1</v>
      </c>
      <c r="B406" s="3">
        <v>165</v>
      </c>
      <c r="C406" t="s" s="4">
        <v>226</v>
      </c>
      <c r="D406" t="s" s="5">
        <v>13</v>
      </c>
      <c r="E406" s="108">
        <v>1.8</v>
      </c>
      <c r="F406" s="6"/>
      <c r="G406" t="str" s="109">
        <f>E406*F406</f>
        <v>0</v>
      </c>
      <c r="H406" s="145"/>
      <c r="I406" s="15"/>
    </row>
    <row r="407" spans="1:9" customFormat="1" x14ac:dyDescent="0.3" s="14">
      <c r="A407" s="26">
        <v>2</v>
      </c>
      <c r="B407" s="3">
        <v>23</v>
      </c>
      <c r="C407" t="s" s="4">
        <v>38</v>
      </c>
      <c r="D407" t="s" s="5">
        <v>13</v>
      </c>
      <c r="E407" s="108">
        <v>0.9</v>
      </c>
      <c r="F407" s="6"/>
      <c r="G407" t="str" s="109">
        <f>E407*F407</f>
        <v>0</v>
      </c>
      <c r="H407" s="145"/>
      <c r="I407" s="15"/>
    </row>
    <row r="408" spans="1:9" customFormat="1" x14ac:dyDescent="0.3" s="14">
      <c r="A408" s="26">
        <v>3</v>
      </c>
      <c r="B408" s="3">
        <v>180</v>
      </c>
      <c r="C408" t="s" s="4">
        <v>242</v>
      </c>
      <c r="D408" t="s" s="5">
        <v>33</v>
      </c>
      <c r="E408" s="108">
        <v>4.6</v>
      </c>
      <c r="F408" s="6"/>
      <c r="G408" t="str" s="109">
        <f>E408*F408</f>
        <v>0</v>
      </c>
      <c r="H408" s="145"/>
      <c r="I408" s="15"/>
    </row>
    <row r="409" spans="1:9" customFormat="1" x14ac:dyDescent="0.3" s="14">
      <c r="A409" s="26">
        <v>4</v>
      </c>
      <c r="B409" s="3">
        <v>168</v>
      </c>
      <c r="C409" t="s" s="4">
        <v>229</v>
      </c>
      <c r="D409" t="s" s="5">
        <v>13</v>
      </c>
      <c r="E409" s="108">
        <v>0.8</v>
      </c>
      <c r="F409" s="6"/>
      <c r="G409" t="str" s="109">
        <f>E409*F409</f>
        <v>0</v>
      </c>
      <c r="H409" s="145"/>
      <c r="I409" s="15"/>
    </row>
    <row r="410" spans="1:9" customFormat="1" x14ac:dyDescent="0.3" s="14">
      <c r="A410" s="26">
        <v>5</v>
      </c>
      <c r="B410" s="3">
        <v>181</v>
      </c>
      <c r="C410" t="s" s="4">
        <v>243</v>
      </c>
      <c r="D410" t="s" s="5">
        <v>177</v>
      </c>
      <c r="E410" s="108">
        <v>0.5</v>
      </c>
      <c r="F410" s="6"/>
      <c r="G410" t="str" s="109">
        <f>E410*F410</f>
        <v>0</v>
      </c>
      <c r="H410" s="145"/>
      <c r="I410" s="15"/>
    </row>
    <row r="411" spans="1:9" customFormat="1" x14ac:dyDescent="0.3" s="14">
      <c r="A411" t="s" s="147">
        <v>284</v>
      </c>
      <c r="B411" s="126"/>
      <c r="C411" s="126"/>
      <c r="D411" s="126"/>
      <c r="E411" s="126"/>
      <c r="F411" s="126"/>
      <c r="G411" s="126"/>
      <c r="H411" s="145"/>
      <c r="I411" s="15"/>
    </row>
    <row r="412" spans="1:9" ht="20.4" customFormat="1" x14ac:dyDescent="0.3" s="14">
      <c r="A412" s="26">
        <v>1</v>
      </c>
      <c r="B412" s="3">
        <v>114</v>
      </c>
      <c r="C412" t="s" s="4">
        <v>169</v>
      </c>
      <c r="D412" t="s" s="5">
        <v>13</v>
      </c>
      <c r="E412" s="108">
        <v>51.2</v>
      </c>
      <c r="F412" s="6"/>
      <c r="G412" t="str" s="109">
        <f t="shared" ref="G412:G420" si="21">E412*F412</f>
        <v>0</v>
      </c>
      <c r="H412" s="145"/>
      <c r="I412" s="15"/>
    </row>
    <row r="413" spans="1:9" ht="20.4" customFormat="1" x14ac:dyDescent="0.3" s="14">
      <c r="A413" s="26">
        <v>2</v>
      </c>
      <c r="B413" s="3">
        <v>182</v>
      </c>
      <c r="C413" t="s" s="4">
        <v>244</v>
      </c>
      <c r="D413" t="s" s="5">
        <v>13</v>
      </c>
      <c r="E413" s="108">
        <v>12.8</v>
      </c>
      <c r="F413" s="6"/>
      <c r="G413" t="str" s="109">
        <f t="shared" si="21"/>
        <v>0</v>
      </c>
      <c r="H413" s="145"/>
      <c r="I413" s="15"/>
    </row>
    <row r="414" spans="1:9" ht="20.4" customFormat="1" x14ac:dyDescent="0.3" s="14">
      <c r="A414" s="26">
        <v>3</v>
      </c>
      <c r="B414" s="3">
        <v>22</v>
      </c>
      <c r="C414" t="s" s="4">
        <v>37</v>
      </c>
      <c r="D414" t="s" s="5">
        <v>13</v>
      </c>
      <c r="E414" s="108">
        <v>46.7</v>
      </c>
      <c r="F414" s="6"/>
      <c r="G414" t="str" s="109">
        <f t="shared" si="21"/>
        <v>0</v>
      </c>
      <c r="H414" s="145"/>
      <c r="I414" s="15"/>
    </row>
    <row r="415" spans="1:9" customFormat="1" x14ac:dyDescent="0.3" s="14">
      <c r="A415" s="26">
        <v>4</v>
      </c>
      <c r="B415" s="3">
        <v>23</v>
      </c>
      <c r="C415" t="s" s="4">
        <v>38</v>
      </c>
      <c r="D415" t="s" s="5">
        <v>13</v>
      </c>
      <c r="E415" s="108">
        <v>11.7</v>
      </c>
      <c r="F415" s="6"/>
      <c r="G415" t="str" s="109">
        <f t="shared" si="21"/>
        <v>0</v>
      </c>
      <c r="H415" s="145"/>
      <c r="I415" s="15"/>
    </row>
    <row r="416" spans="1:9" ht="20.4" customFormat="1" x14ac:dyDescent="0.3" s="14">
      <c r="A416" s="26">
        <v>5</v>
      </c>
      <c r="B416" s="3">
        <v>183</v>
      </c>
      <c r="C416" t="s" s="4">
        <v>245</v>
      </c>
      <c r="D416" t="s" s="5">
        <v>13</v>
      </c>
      <c r="E416" s="108">
        <v>3.8</v>
      </c>
      <c r="F416" s="6"/>
      <c r="G416" t="str" s="109">
        <f t="shared" si="21"/>
        <v>0</v>
      </c>
      <c r="H416" s="145"/>
      <c r="I416" s="15"/>
    </row>
    <row r="417" spans="1:9" ht="20.4" customFormat="1" x14ac:dyDescent="0.3" s="14">
      <c r="A417" s="26">
        <v>6</v>
      </c>
      <c r="B417" s="3">
        <v>184</v>
      </c>
      <c r="C417" t="s" s="4">
        <v>246</v>
      </c>
      <c r="D417" t="s" s="5">
        <v>13</v>
      </c>
      <c r="E417" s="108">
        <v>0.8</v>
      </c>
      <c r="F417" s="6"/>
      <c r="G417" t="str" s="109">
        <f t="shared" si="21"/>
        <v>0</v>
      </c>
      <c r="H417" s="145"/>
      <c r="I417" s="15"/>
    </row>
    <row r="418" spans="1:9" ht="20.4" customFormat="1" x14ac:dyDescent="0.3" s="14">
      <c r="A418" s="26">
        <v>7</v>
      </c>
      <c r="B418" s="3">
        <v>24</v>
      </c>
      <c r="C418" t="s" s="4">
        <v>39</v>
      </c>
      <c r="D418" t="s" s="5">
        <v>13</v>
      </c>
      <c r="E418" s="108">
        <v>4.6</v>
      </c>
      <c r="F418" s="6"/>
      <c r="G418" t="str" s="109">
        <f t="shared" si="21"/>
        <v>0</v>
      </c>
      <c r="H418" s="145"/>
      <c r="I418" s="15"/>
    </row>
    <row r="419" spans="1:9" ht="20.4" customFormat="1" x14ac:dyDescent="0.3" s="14">
      <c r="A419" s="26">
        <v>8</v>
      </c>
      <c r="B419" s="3">
        <v>185</v>
      </c>
      <c r="C419" t="s" s="4">
        <v>247</v>
      </c>
      <c r="D419" t="s" s="5">
        <v>16</v>
      </c>
      <c r="E419" s="108">
        <v>15</v>
      </c>
      <c r="F419" s="6"/>
      <c r="G419" t="str" s="109">
        <f t="shared" si="21"/>
        <v>0</v>
      </c>
      <c r="H419" s="145"/>
      <c r="I419" s="15"/>
    </row>
    <row r="420" spans="1:9" customFormat="1" x14ac:dyDescent="0.3" s="14">
      <c r="A420" s="26">
        <v>9</v>
      </c>
      <c r="B420" s="3">
        <v>41</v>
      </c>
      <c r="C420" t="s" s="4">
        <v>59</v>
      </c>
      <c r="D420" t="s" s="5">
        <v>16</v>
      </c>
      <c r="E420" s="108">
        <v>15</v>
      </c>
      <c r="F420" s="6"/>
      <c r="G420" t="str" s="109">
        <f t="shared" si="21"/>
        <v>0</v>
      </c>
      <c r="H420" s="145"/>
      <c r="I420" s="15"/>
    </row>
    <row r="421" spans="1:9" ht="15.6" customFormat="1" x14ac:dyDescent="0.3" s="14">
      <c r="A421" t="s" s="141">
        <v>28</v>
      </c>
      <c r="B421" s="106">
        <v>17</v>
      </c>
      <c r="C421" t="s" s="110">
        <v>29</v>
      </c>
      <c r="D421" s="110"/>
      <c r="E421" s="110"/>
      <c r="F421" s="110"/>
      <c r="G421" s="110"/>
      <c r="H421" s="145"/>
      <c r="I421" s="15"/>
    </row>
    <row r="422" spans="1:9" customFormat="1" x14ac:dyDescent="0.3" s="22">
      <c r="A422" t="s" s="148">
        <v>285</v>
      </c>
      <c r="B422" s="128"/>
      <c r="C422" s="128"/>
      <c r="D422" s="128"/>
      <c r="E422" s="128"/>
      <c r="F422" s="128"/>
      <c r="G422" s="128"/>
      <c r="H422" s="143"/>
      <c r="I422" s="23"/>
    </row>
    <row r="423" spans="1:9" ht="20.4" customFormat="1" x14ac:dyDescent="0.3" s="22">
      <c r="A423" s="28">
        <v>1</v>
      </c>
      <c r="B423" s="7">
        <v>129</v>
      </c>
      <c r="C423" t="s" s="8">
        <v>186</v>
      </c>
      <c r="D423" t="s" s="9">
        <v>33</v>
      </c>
      <c r="E423" s="111">
        <v>37</v>
      </c>
      <c r="F423" s="6"/>
      <c r="G423" t="str" s="112">
        <f t="shared" ref="G423:G428" si="22">E423*F423</f>
        <v>0</v>
      </c>
      <c r="H423" s="143"/>
      <c r="I423" s="23"/>
    </row>
    <row r="424" spans="1:9" customFormat="1" x14ac:dyDescent="0.3" s="22">
      <c r="A424" s="28">
        <v>2</v>
      </c>
      <c r="B424" s="7">
        <v>130</v>
      </c>
      <c r="C424" t="s" s="8">
        <v>187</v>
      </c>
      <c r="D424" t="s" s="9">
        <v>33</v>
      </c>
      <c r="E424" s="111">
        <v>38.5</v>
      </c>
      <c r="F424" s="6"/>
      <c r="G424" t="str" s="112">
        <f t="shared" si="22"/>
        <v>0</v>
      </c>
      <c r="H424" s="143"/>
      <c r="I424" s="23"/>
    </row>
    <row r="425" spans="1:9" customFormat="1" x14ac:dyDescent="0.3" s="22">
      <c r="A425" s="28">
        <v>3</v>
      </c>
      <c r="B425" s="7">
        <v>134</v>
      </c>
      <c r="C425" t="s" s="8">
        <v>191</v>
      </c>
      <c r="D425" t="s" s="9">
        <v>61</v>
      </c>
      <c r="E425" s="121">
        <v>12</v>
      </c>
      <c r="F425" s="6"/>
      <c r="G425" t="str" s="112">
        <f t="shared" si="22"/>
        <v>0</v>
      </c>
      <c r="H425" s="143"/>
      <c r="I425" s="23"/>
    </row>
    <row r="426" spans="1:9" customFormat="1" x14ac:dyDescent="0.3" s="22">
      <c r="A426" s="28">
        <v>4</v>
      </c>
      <c r="B426" s="7">
        <v>46</v>
      </c>
      <c r="C426" t="s" s="8">
        <v>65</v>
      </c>
      <c r="D426" t="s" s="9">
        <v>61</v>
      </c>
      <c r="E426" s="121">
        <v>2</v>
      </c>
      <c r="F426" s="6"/>
      <c r="G426" t="str" s="112">
        <f t="shared" si="22"/>
        <v>0</v>
      </c>
      <c r="H426" s="143"/>
      <c r="I426" s="23"/>
    </row>
    <row r="427" spans="1:9" customFormat="1" x14ac:dyDescent="0.3" s="22">
      <c r="A427" s="28">
        <v>5</v>
      </c>
      <c r="B427" s="7">
        <v>51</v>
      </c>
      <c r="C427" t="s" s="8">
        <v>70</v>
      </c>
      <c r="D427" t="s" s="9">
        <v>61</v>
      </c>
      <c r="E427" s="121">
        <v>4</v>
      </c>
      <c r="F427" s="6"/>
      <c r="G427" t="str" s="112">
        <f t="shared" si="22"/>
        <v>0</v>
      </c>
      <c r="H427" s="143"/>
      <c r="I427" s="23"/>
    </row>
    <row r="428" spans="1:9" customFormat="1" x14ac:dyDescent="0.3" s="22">
      <c r="A428" s="28">
        <v>6</v>
      </c>
      <c r="B428" s="7">
        <v>142</v>
      </c>
      <c r="C428" t="s" s="8">
        <v>201</v>
      </c>
      <c r="D428" t="s" s="9">
        <v>61</v>
      </c>
      <c r="E428" s="121">
        <v>1</v>
      </c>
      <c r="F428" s="6"/>
      <c r="G428" t="str" s="112">
        <f t="shared" si="22"/>
        <v>0</v>
      </c>
      <c r="H428" s="143"/>
      <c r="I428" s="23"/>
    </row>
    <row r="429" spans="1:9" customFormat="1" x14ac:dyDescent="0.3" s="22">
      <c r="A429" t="s" s="148">
        <v>286</v>
      </c>
      <c r="B429" s="128"/>
      <c r="C429" s="128"/>
      <c r="D429" s="128"/>
      <c r="E429" s="128"/>
      <c r="F429" s="128"/>
      <c r="G429" s="128"/>
      <c r="H429" s="143"/>
      <c r="I429" s="23"/>
    </row>
    <row r="430" spans="1:9" ht="20.4" customFormat="1" x14ac:dyDescent="0.3" s="22">
      <c r="A430" s="28">
        <v>1</v>
      </c>
      <c r="B430" s="7">
        <v>114</v>
      </c>
      <c r="C430" t="s" s="8">
        <v>169</v>
      </c>
      <c r="D430" t="s" s="9">
        <v>13</v>
      </c>
      <c r="E430" s="111">
        <v>4.4</v>
      </c>
      <c r="F430" s="6"/>
      <c r="G430" t="str" s="112">
        <f t="shared" ref="G430:G459" si="23">E430*F430</f>
        <v>0</v>
      </c>
      <c r="H430" s="143"/>
      <c r="I430" s="23"/>
    </row>
    <row r="431" spans="1:9" customFormat="1" x14ac:dyDescent="0.3" s="22">
      <c r="A431" s="28">
        <v>2</v>
      </c>
      <c r="B431" s="7">
        <v>115</v>
      </c>
      <c r="C431" t="s" s="8">
        <v>170</v>
      </c>
      <c r="D431" t="s" s="9">
        <v>13</v>
      </c>
      <c r="E431" s="111">
        <v>1.1</v>
      </c>
      <c r="F431" s="6"/>
      <c r="G431" t="str" s="112">
        <f t="shared" si="23"/>
        <v>0</v>
      </c>
      <c r="H431" s="143"/>
      <c r="I431" s="23"/>
    </row>
    <row r="432" spans="1:9" customFormat="1" x14ac:dyDescent="0.3" s="22">
      <c r="A432" s="28">
        <v>3</v>
      </c>
      <c r="B432" s="7">
        <v>116</v>
      </c>
      <c r="C432" t="s" s="8">
        <v>171</v>
      </c>
      <c r="D432" t="s" s="9">
        <v>13</v>
      </c>
      <c r="E432" s="111">
        <v>1.68</v>
      </c>
      <c r="F432" s="6"/>
      <c r="G432" t="str" s="112">
        <f t="shared" si="23"/>
        <v>0</v>
      </c>
      <c r="H432" s="143"/>
      <c r="I432" s="23"/>
    </row>
    <row r="433" spans="1:9" ht="20.4" customFormat="1" x14ac:dyDescent="0.3" s="22">
      <c r="A433" s="28">
        <v>4</v>
      </c>
      <c r="B433" s="7">
        <v>22</v>
      </c>
      <c r="C433" t="s" s="8">
        <v>37</v>
      </c>
      <c r="D433" t="s" s="9">
        <v>13</v>
      </c>
      <c r="E433" s="111">
        <v>0.96</v>
      </c>
      <c r="F433" s="6"/>
      <c r="G433" t="str" s="112">
        <f t="shared" si="23"/>
        <v>0</v>
      </c>
      <c r="H433" s="143"/>
      <c r="I433" s="23"/>
    </row>
    <row r="434" spans="1:9" ht="20.4" customFormat="1" x14ac:dyDescent="0.3" s="22">
      <c r="A434" s="28">
        <v>5</v>
      </c>
      <c r="B434" s="7">
        <v>24</v>
      </c>
      <c r="C434" t="s" s="8">
        <v>39</v>
      </c>
      <c r="D434" t="s" s="9">
        <v>13</v>
      </c>
      <c r="E434" s="111">
        <v>4</v>
      </c>
      <c r="F434" s="6"/>
      <c r="G434" t="str" s="112">
        <f t="shared" si="23"/>
        <v>0</v>
      </c>
      <c r="H434" s="143"/>
      <c r="I434" s="23"/>
    </row>
    <row r="435" spans="1:9" customFormat="1" x14ac:dyDescent="0.3" s="22">
      <c r="A435" s="28">
        <v>6</v>
      </c>
      <c r="B435" s="7">
        <v>117</v>
      </c>
      <c r="C435" t="s" s="8">
        <v>172</v>
      </c>
      <c r="D435" t="s" s="9">
        <v>33</v>
      </c>
      <c r="E435" s="111">
        <v>0.5</v>
      </c>
      <c r="F435" s="6"/>
      <c r="G435" t="str" s="112">
        <f t="shared" si="23"/>
        <v>0</v>
      </c>
      <c r="H435" s="143"/>
      <c r="I435" s="23"/>
    </row>
    <row r="436" spans="1:9" customFormat="1" x14ac:dyDescent="0.3" s="22">
      <c r="A436" s="28">
        <v>7</v>
      </c>
      <c r="B436" s="7">
        <v>118</v>
      </c>
      <c r="C436" t="s" s="8">
        <v>173</v>
      </c>
      <c r="D436" t="s" s="9">
        <v>33</v>
      </c>
      <c r="E436" s="111">
        <v>0.7</v>
      </c>
      <c r="F436" s="6"/>
      <c r="G436" t="str" s="112">
        <f t="shared" si="23"/>
        <v>0</v>
      </c>
      <c r="H436" s="143"/>
      <c r="I436" s="23"/>
    </row>
    <row r="437" spans="1:9" ht="20.4" customFormat="1" x14ac:dyDescent="0.3" s="22">
      <c r="A437" s="28">
        <v>8</v>
      </c>
      <c r="B437" s="7">
        <v>122</v>
      </c>
      <c r="C437" t="s" s="8">
        <v>178</v>
      </c>
      <c r="D437" t="s" s="9">
        <v>177</v>
      </c>
      <c r="E437" s="111">
        <v>22.14</v>
      </c>
      <c r="F437" s="6"/>
      <c r="G437" t="str" s="112">
        <f t="shared" si="23"/>
        <v>0</v>
      </c>
      <c r="H437" s="143"/>
      <c r="I437" s="23"/>
    </row>
    <row r="438" spans="1:9" customFormat="1" x14ac:dyDescent="0.3" s="22">
      <c r="A438" s="28">
        <v>9</v>
      </c>
      <c r="B438" s="7">
        <v>123</v>
      </c>
      <c r="C438" t="s" s="8">
        <v>179</v>
      </c>
      <c r="D438" t="s" s="9">
        <v>13</v>
      </c>
      <c r="E438" s="111">
        <v>0.2</v>
      </c>
      <c r="F438" s="6"/>
      <c r="G438" t="str" s="112">
        <f t="shared" si="23"/>
        <v>0</v>
      </c>
      <c r="H438" s="143"/>
      <c r="I438" s="23"/>
    </row>
    <row r="439" spans="1:9" customFormat="1" x14ac:dyDescent="0.3" s="22">
      <c r="A439" s="28">
        <v>10</v>
      </c>
      <c r="B439" s="7">
        <v>124</v>
      </c>
      <c r="C439" t="s" s="8">
        <v>180</v>
      </c>
      <c r="D439" t="s" s="9">
        <v>13</v>
      </c>
      <c r="E439" s="111">
        <v>0.25</v>
      </c>
      <c r="F439" s="6"/>
      <c r="G439" t="str" s="112">
        <f t="shared" si="23"/>
        <v>0</v>
      </c>
      <c r="H439" s="143"/>
      <c r="I439" s="23"/>
    </row>
    <row r="440" spans="1:9" customFormat="1" x14ac:dyDescent="0.3" s="22">
      <c r="A440" s="28">
        <v>11</v>
      </c>
      <c r="B440" s="7">
        <v>143</v>
      </c>
      <c r="C440" t="s" s="8">
        <v>203</v>
      </c>
      <c r="D440" t="s" s="9">
        <v>13</v>
      </c>
      <c r="E440" s="111">
        <v>0.45</v>
      </c>
      <c r="F440" s="6"/>
      <c r="G440" t="str" s="112">
        <f t="shared" si="23"/>
        <v>0</v>
      </c>
      <c r="H440" s="143"/>
      <c r="I440" s="23"/>
    </row>
    <row r="441" spans="1:9" customFormat="1" x14ac:dyDescent="0.3" s="22">
      <c r="A441" s="28">
        <v>12</v>
      </c>
      <c r="B441" s="7">
        <v>128</v>
      </c>
      <c r="C441" t="s" s="8">
        <v>184</v>
      </c>
      <c r="D441" t="s" s="9">
        <v>11</v>
      </c>
      <c r="E441" s="111">
        <v>0.05</v>
      </c>
      <c r="F441" s="6"/>
      <c r="G441" t="str" s="112">
        <f t="shared" si="23"/>
        <v>0</v>
      </c>
      <c r="H441" s="143"/>
      <c r="I441" s="23"/>
    </row>
    <row r="442" spans="1:9" ht="20.4" customFormat="1" x14ac:dyDescent="0.3" s="22">
      <c r="A442" s="28">
        <v>13</v>
      </c>
      <c r="B442" s="7">
        <v>129</v>
      </c>
      <c r="C442" t="s" s="8">
        <v>186</v>
      </c>
      <c r="D442" t="s" s="9">
        <v>33</v>
      </c>
      <c r="E442" s="111">
        <v>5.3</v>
      </c>
      <c r="F442" s="6"/>
      <c r="G442" t="str" s="112">
        <f t="shared" si="23"/>
        <v>0</v>
      </c>
      <c r="H442" s="143"/>
      <c r="I442" s="23"/>
    </row>
    <row r="443" spans="1:9" customFormat="1" x14ac:dyDescent="0.3" s="22">
      <c r="A443" s="28">
        <v>14</v>
      </c>
      <c r="B443" s="7">
        <v>130</v>
      </c>
      <c r="C443" t="s" s="8">
        <v>187</v>
      </c>
      <c r="D443" t="s" s="9">
        <v>33</v>
      </c>
      <c r="E443" s="111">
        <v>4.4</v>
      </c>
      <c r="F443" s="6"/>
      <c r="G443" t="str" s="112">
        <f t="shared" si="23"/>
        <v>0</v>
      </c>
      <c r="H443" s="143"/>
      <c r="I443" s="23"/>
    </row>
    <row r="444" spans="1:9" customFormat="1" x14ac:dyDescent="0.3" s="22">
      <c r="A444" s="28">
        <v>15</v>
      </c>
      <c r="B444" s="7">
        <v>144</v>
      </c>
      <c r="C444" t="s" s="8">
        <v>204</v>
      </c>
      <c r="D444" t="s" s="9">
        <v>61</v>
      </c>
      <c r="E444" s="111">
        <v>2</v>
      </c>
      <c r="F444" s="6"/>
      <c r="G444" t="str" s="112">
        <f t="shared" si="23"/>
        <v>0</v>
      </c>
      <c r="H444" s="143"/>
      <c r="I444" s="23"/>
    </row>
    <row r="445" spans="1:9" customFormat="1" x14ac:dyDescent="0.3" s="22">
      <c r="A445" s="28">
        <v>16</v>
      </c>
      <c r="B445" s="7">
        <v>131</v>
      </c>
      <c r="C445" t="s" s="8">
        <v>188</v>
      </c>
      <c r="D445" t="s" s="9">
        <v>33</v>
      </c>
      <c r="E445" s="111">
        <v>1</v>
      </c>
      <c r="F445" s="6"/>
      <c r="G445" t="str" s="112">
        <f t="shared" si="23"/>
        <v>0</v>
      </c>
      <c r="H445" s="143"/>
      <c r="I445" s="23"/>
    </row>
    <row r="446" spans="1:9" customFormat="1" x14ac:dyDescent="0.3" s="22">
      <c r="A446" s="28">
        <v>17</v>
      </c>
      <c r="B446" s="7">
        <v>132</v>
      </c>
      <c r="C446" t="s" s="8">
        <v>189</v>
      </c>
      <c r="D446" t="s" s="9">
        <v>33</v>
      </c>
      <c r="E446" s="111">
        <v>1</v>
      </c>
      <c r="F446" s="6"/>
      <c r="G446" t="str" s="112">
        <f t="shared" si="23"/>
        <v>0</v>
      </c>
      <c r="H446" s="143"/>
      <c r="I446" s="23"/>
    </row>
    <row r="447" spans="1:9" customFormat="1" x14ac:dyDescent="0.3" s="22">
      <c r="A447" s="28">
        <v>18</v>
      </c>
      <c r="B447" s="7">
        <v>133</v>
      </c>
      <c r="C447" t="s" s="8">
        <v>190</v>
      </c>
      <c r="D447" t="s" s="9">
        <v>33</v>
      </c>
      <c r="E447" s="111">
        <v>1</v>
      </c>
      <c r="F447" s="6"/>
      <c r="G447" t="str" s="112">
        <f t="shared" si="23"/>
        <v>0</v>
      </c>
      <c r="H447" s="143"/>
      <c r="I447" s="23"/>
    </row>
    <row r="448" spans="1:9" customFormat="1" x14ac:dyDescent="0.3" s="22">
      <c r="A448" s="28">
        <v>19</v>
      </c>
      <c r="B448" s="7">
        <v>134</v>
      </c>
      <c r="C448" t="s" s="8">
        <v>191</v>
      </c>
      <c r="D448" t="s" s="9">
        <v>61</v>
      </c>
      <c r="E448" s="111">
        <v>4</v>
      </c>
      <c r="F448" s="6"/>
      <c r="G448" t="str" s="112">
        <f t="shared" si="23"/>
        <v>0</v>
      </c>
      <c r="H448" s="143"/>
      <c r="I448" s="23"/>
    </row>
    <row r="449" spans="1:9" customFormat="1" x14ac:dyDescent="0.3" s="22">
      <c r="A449" s="28">
        <v>20</v>
      </c>
      <c r="B449" s="7">
        <v>145</v>
      </c>
      <c r="C449" t="s" s="8">
        <v>205</v>
      </c>
      <c r="D449" t="s" s="9">
        <v>177</v>
      </c>
      <c r="E449" s="111">
        <v>3</v>
      </c>
      <c r="F449" s="6"/>
      <c r="G449" t="str" s="112">
        <f t="shared" si="23"/>
        <v>0</v>
      </c>
      <c r="H449" s="143"/>
      <c r="I449" s="23"/>
    </row>
    <row r="450" spans="1:9" customFormat="1" x14ac:dyDescent="0.3" s="22">
      <c r="A450" s="28">
        <v>21</v>
      </c>
      <c r="B450" s="7">
        <v>146</v>
      </c>
      <c r="C450" t="s" s="8">
        <v>206</v>
      </c>
      <c r="D450" t="s" s="9">
        <v>202</v>
      </c>
      <c r="E450" s="111">
        <v>0.7</v>
      </c>
      <c r="F450" s="6"/>
      <c r="G450" t="str" s="112">
        <f t="shared" si="23"/>
        <v>0</v>
      </c>
      <c r="H450" s="143"/>
      <c r="I450" s="23"/>
    </row>
    <row r="451" spans="1:9" customFormat="1" x14ac:dyDescent="0.3" s="22">
      <c r="A451" s="28">
        <v>22</v>
      </c>
      <c r="B451" s="7">
        <v>135</v>
      </c>
      <c r="C451" t="s" s="8">
        <v>193</v>
      </c>
      <c r="D451" t="s" s="9">
        <v>13</v>
      </c>
      <c r="E451" s="111">
        <v>0.125</v>
      </c>
      <c r="F451" s="6"/>
      <c r="G451" t="str" s="112">
        <f t="shared" si="23"/>
        <v>0</v>
      </c>
      <c r="H451" s="143"/>
      <c r="I451" s="23"/>
    </row>
    <row r="452" spans="1:9" customFormat="1" x14ac:dyDescent="0.3" s="22">
      <c r="A452" s="28">
        <v>23</v>
      </c>
      <c r="B452" s="7">
        <v>136</v>
      </c>
      <c r="C452" t="s" s="8">
        <v>194</v>
      </c>
      <c r="D452" t="s" s="9">
        <v>16</v>
      </c>
      <c r="E452" s="111">
        <v>1</v>
      </c>
      <c r="F452" s="6"/>
      <c r="G452" t="str" s="112">
        <f t="shared" si="23"/>
        <v>0</v>
      </c>
      <c r="H452" s="143"/>
      <c r="I452" s="23"/>
    </row>
    <row r="453" spans="1:9" customFormat="1" x14ac:dyDescent="0.3" s="22">
      <c r="A453" s="28">
        <v>24</v>
      </c>
      <c r="B453" s="7">
        <v>66</v>
      </c>
      <c r="C453" t="s" s="8">
        <v>85</v>
      </c>
      <c r="D453" t="s" s="9">
        <v>61</v>
      </c>
      <c r="E453" s="121">
        <v>1</v>
      </c>
      <c r="F453" s="6"/>
      <c r="G453" t="str" s="112">
        <f t="shared" si="23"/>
        <v>0</v>
      </c>
      <c r="H453" s="143"/>
      <c r="I453" s="23"/>
    </row>
    <row r="454" spans="1:9" customFormat="1" x14ac:dyDescent="0.3" s="22">
      <c r="A454" s="28">
        <v>25</v>
      </c>
      <c r="B454" s="7">
        <v>147</v>
      </c>
      <c r="C454" t="s" s="8">
        <v>207</v>
      </c>
      <c r="D454" t="s" s="9">
        <v>61</v>
      </c>
      <c r="E454" s="121">
        <v>2</v>
      </c>
      <c r="F454" s="6"/>
      <c r="G454" t="str" s="112">
        <f t="shared" si="23"/>
        <v>0</v>
      </c>
      <c r="H454" s="143"/>
      <c r="I454" s="23"/>
    </row>
    <row r="455" spans="1:9" customFormat="1" x14ac:dyDescent="0.3" s="22">
      <c r="A455" s="28">
        <v>26</v>
      </c>
      <c r="B455" s="7">
        <v>50</v>
      </c>
      <c r="C455" t="s" s="8">
        <v>69</v>
      </c>
      <c r="D455" t="s" s="9">
        <v>61</v>
      </c>
      <c r="E455" s="121">
        <v>2</v>
      </c>
      <c r="F455" s="6"/>
      <c r="G455" t="str" s="112">
        <f t="shared" si="23"/>
        <v>0</v>
      </c>
      <c r="H455" s="143"/>
      <c r="I455" s="23"/>
    </row>
    <row r="456" spans="1:9" customFormat="1" x14ac:dyDescent="0.3" s="22">
      <c r="A456" s="28">
        <v>27</v>
      </c>
      <c r="B456" s="7">
        <v>55</v>
      </c>
      <c r="C456" t="s" s="8">
        <v>74</v>
      </c>
      <c r="D456" t="s" s="9">
        <v>61</v>
      </c>
      <c r="E456" s="121">
        <v>2</v>
      </c>
      <c r="F456" s="6"/>
      <c r="G456" t="str" s="112">
        <f t="shared" si="23"/>
        <v>0</v>
      </c>
      <c r="H456" s="143"/>
      <c r="I456" s="23"/>
    </row>
    <row r="457" spans="1:9" customFormat="1" x14ac:dyDescent="0.3" s="22">
      <c r="A457" s="28">
        <v>28</v>
      </c>
      <c r="B457" s="7">
        <v>62</v>
      </c>
      <c r="C457" t="s" s="8">
        <v>81</v>
      </c>
      <c r="D457" t="s" s="9">
        <v>61</v>
      </c>
      <c r="E457" s="121">
        <v>1</v>
      </c>
      <c r="F457" s="6"/>
      <c r="G457" t="str" s="112">
        <f t="shared" si="23"/>
        <v>0</v>
      </c>
      <c r="H457" s="143"/>
      <c r="I457" s="23"/>
    </row>
    <row r="458" spans="1:9" ht="20.4" customFormat="1" x14ac:dyDescent="0.3" s="22">
      <c r="A458" s="28">
        <v>29</v>
      </c>
      <c r="B458" s="7">
        <v>148</v>
      </c>
      <c r="C458" t="s" s="8">
        <v>208</v>
      </c>
      <c r="D458" t="s" s="9">
        <v>61</v>
      </c>
      <c r="E458" s="121">
        <v>1</v>
      </c>
      <c r="F458" s="6"/>
      <c r="G458" t="str" s="112">
        <f t="shared" si="23"/>
        <v>0</v>
      </c>
      <c r="H458" s="143"/>
      <c r="I458" s="23"/>
    </row>
    <row r="459" spans="1:9" customFormat="1" x14ac:dyDescent="0.3" s="22">
      <c r="A459" s="28">
        <v>30</v>
      </c>
      <c r="B459" s="7">
        <v>149</v>
      </c>
      <c r="C459" t="s" s="8">
        <v>209</v>
      </c>
      <c r="D459" t="s" s="9">
        <v>16</v>
      </c>
      <c r="E459" s="111">
        <v>2</v>
      </c>
      <c r="F459" s="6"/>
      <c r="G459" t="str" s="112">
        <f t="shared" si="23"/>
        <v>0</v>
      </c>
      <c r="H459" s="143"/>
      <c r="I459" s="23"/>
    </row>
    <row r="460" spans="1:9" customFormat="1" x14ac:dyDescent="0.3" s="22">
      <c r="A460" t="s" s="148">
        <v>287</v>
      </c>
      <c r="B460" s="128"/>
      <c r="C460" s="128"/>
      <c r="D460" s="128"/>
      <c r="E460" s="128"/>
      <c r="F460" s="128"/>
      <c r="G460" s="128"/>
      <c r="H460" s="143"/>
      <c r="I460" s="23"/>
    </row>
    <row r="461" spans="1:9" ht="20.4" customFormat="1" x14ac:dyDescent="0.3" s="22">
      <c r="A461" s="28">
        <v>1</v>
      </c>
      <c r="B461" s="7">
        <v>114</v>
      </c>
      <c r="C461" t="s" s="8">
        <v>169</v>
      </c>
      <c r="D461" t="s" s="9">
        <v>13</v>
      </c>
      <c r="E461" s="111">
        <v>1.9</v>
      </c>
      <c r="F461" s="6"/>
      <c r="G461" t="str" s="112">
        <f t="shared" ref="G461:G483" si="24">E461*F461</f>
        <v>0</v>
      </c>
      <c r="H461" s="143"/>
      <c r="I461" s="23"/>
    </row>
    <row r="462" spans="1:9" customFormat="1" x14ac:dyDescent="0.3" s="22">
      <c r="A462" s="28">
        <v>2</v>
      </c>
      <c r="B462" s="7">
        <v>115</v>
      </c>
      <c r="C462" t="s" s="8">
        <v>170</v>
      </c>
      <c r="D462" t="s" s="9">
        <v>13</v>
      </c>
      <c r="E462" s="111">
        <v>0.5</v>
      </c>
      <c r="F462" s="6"/>
      <c r="G462" t="str" s="112">
        <f t="shared" si="24"/>
        <v>0</v>
      </c>
      <c r="H462" s="143"/>
      <c r="I462" s="23"/>
    </row>
    <row r="463" spans="1:9" ht="20.4" customFormat="1" x14ac:dyDescent="0.3" s="22">
      <c r="A463" s="28">
        <v>3</v>
      </c>
      <c r="B463" s="7">
        <v>16</v>
      </c>
      <c r="C463" t="s" s="8">
        <v>25</v>
      </c>
      <c r="D463" t="s" s="9">
        <v>13</v>
      </c>
      <c r="E463" s="111">
        <v>2.28</v>
      </c>
      <c r="F463" s="6"/>
      <c r="G463" t="str" s="112">
        <f t="shared" si="24"/>
        <v>0</v>
      </c>
      <c r="H463" s="143"/>
      <c r="I463" s="23"/>
    </row>
    <row r="464" spans="1:9" ht="20.4" customFormat="1" x14ac:dyDescent="0.3" s="22">
      <c r="A464" s="28">
        <v>4</v>
      </c>
      <c r="B464" s="7">
        <v>22</v>
      </c>
      <c r="C464" t="s" s="8">
        <v>37</v>
      </c>
      <c r="D464" t="s" s="9">
        <v>13</v>
      </c>
      <c r="E464" s="111">
        <v>2.28</v>
      </c>
      <c r="F464" s="6"/>
      <c r="G464" t="str" s="112">
        <f t="shared" si="24"/>
        <v>0</v>
      </c>
      <c r="H464" s="143"/>
      <c r="I464" s="23"/>
    </row>
    <row r="465" spans="1:9" ht="20.4" customFormat="1" x14ac:dyDescent="0.3" s="22">
      <c r="A465" s="28">
        <v>5</v>
      </c>
      <c r="B465" s="7">
        <v>24</v>
      </c>
      <c r="C465" t="s" s="8">
        <v>39</v>
      </c>
      <c r="D465" t="s" s="9">
        <v>13</v>
      </c>
      <c r="E465" s="111">
        <v>2.4</v>
      </c>
      <c r="F465" s="6"/>
      <c r="G465" t="str" s="112">
        <f t="shared" si="24"/>
        <v>0</v>
      </c>
      <c r="H465" s="143"/>
      <c r="I465" s="23"/>
    </row>
    <row r="466" spans="1:9" ht="20.4" customFormat="1" x14ac:dyDescent="0.3" s="22">
      <c r="A466" s="28">
        <v>6</v>
      </c>
      <c r="B466" s="7">
        <v>129</v>
      </c>
      <c r="C466" t="s" s="8">
        <v>186</v>
      </c>
      <c r="D466" t="s" s="9">
        <v>33</v>
      </c>
      <c r="E466" s="111">
        <v>7.7</v>
      </c>
      <c r="F466" s="6"/>
      <c r="G466" t="str" s="112">
        <f t="shared" si="24"/>
        <v>0</v>
      </c>
      <c r="H466" s="143"/>
      <c r="I466" s="23"/>
    </row>
    <row r="467" spans="1:9" customFormat="1" x14ac:dyDescent="0.3" s="22">
      <c r="A467" s="28">
        <v>7</v>
      </c>
      <c r="B467" s="7">
        <v>130</v>
      </c>
      <c r="C467" t="s" s="8">
        <v>187</v>
      </c>
      <c r="D467" t="s" s="9">
        <v>33</v>
      </c>
      <c r="E467" s="111">
        <v>6</v>
      </c>
      <c r="F467" s="6"/>
      <c r="G467" t="str" s="112">
        <f t="shared" si="24"/>
        <v>0</v>
      </c>
      <c r="H467" s="143"/>
      <c r="I467" s="23"/>
    </row>
    <row r="468" spans="1:9" customFormat="1" x14ac:dyDescent="0.3" s="22">
      <c r="A468" s="28">
        <v>8</v>
      </c>
      <c r="B468" s="7">
        <v>150</v>
      </c>
      <c r="C468" t="s" s="8">
        <v>210</v>
      </c>
      <c r="D468" t="s" s="9">
        <v>11</v>
      </c>
      <c r="E468" s="111">
        <v>0.05</v>
      </c>
      <c r="F468" s="6"/>
      <c r="G468" t="str" s="112">
        <f t="shared" si="24"/>
        <v>0</v>
      </c>
      <c r="H468" s="143"/>
      <c r="I468" s="23"/>
    </row>
    <row r="469" spans="1:9" customFormat="1" x14ac:dyDescent="0.3" s="22">
      <c r="A469" s="28">
        <v>9</v>
      </c>
      <c r="B469" s="7">
        <v>131</v>
      </c>
      <c r="C469" t="s" s="8">
        <v>188</v>
      </c>
      <c r="D469" t="s" s="9">
        <v>33</v>
      </c>
      <c r="E469" s="111">
        <v>1</v>
      </c>
      <c r="F469" s="6"/>
      <c r="G469" t="str" s="112">
        <f t="shared" si="24"/>
        <v>0</v>
      </c>
      <c r="H469" s="143"/>
      <c r="I469" s="23"/>
    </row>
    <row r="470" spans="1:9" customFormat="1" x14ac:dyDescent="0.3" s="22">
      <c r="A470" s="28">
        <v>10</v>
      </c>
      <c r="B470" s="7">
        <v>151</v>
      </c>
      <c r="C470" t="s" s="8">
        <v>211</v>
      </c>
      <c r="D470" t="s" s="9">
        <v>33</v>
      </c>
      <c r="E470" s="111">
        <v>1</v>
      </c>
      <c r="F470" s="6"/>
      <c r="G470" t="str" s="112">
        <f t="shared" si="24"/>
        <v>0</v>
      </c>
      <c r="H470" s="143"/>
      <c r="I470" s="23"/>
    </row>
    <row r="471" spans="1:9" customFormat="1" x14ac:dyDescent="0.3" s="22">
      <c r="A471" s="28">
        <v>11</v>
      </c>
      <c r="B471" s="7">
        <v>133</v>
      </c>
      <c r="C471" t="s" s="8">
        <v>190</v>
      </c>
      <c r="D471" t="s" s="9">
        <v>33</v>
      </c>
      <c r="E471" s="111">
        <v>1</v>
      </c>
      <c r="F471" s="6"/>
      <c r="G471" t="str" s="112">
        <f t="shared" si="24"/>
        <v>0</v>
      </c>
      <c r="H471" s="143"/>
      <c r="I471" s="23"/>
    </row>
    <row r="472" spans="1:9" customFormat="1" x14ac:dyDescent="0.3" s="22">
      <c r="A472" s="28">
        <v>12</v>
      </c>
      <c r="B472" s="7">
        <v>134</v>
      </c>
      <c r="C472" t="s" s="8">
        <v>191</v>
      </c>
      <c r="D472" t="s" s="9">
        <v>61</v>
      </c>
      <c r="E472" s="111">
        <v>4</v>
      </c>
      <c r="F472" s="6"/>
      <c r="G472" t="str" s="112">
        <f t="shared" si="24"/>
        <v>0</v>
      </c>
      <c r="H472" s="143"/>
      <c r="I472" s="23"/>
    </row>
    <row r="473" spans="1:9" customFormat="1" x14ac:dyDescent="0.3" s="22">
      <c r="A473" s="28">
        <v>13</v>
      </c>
      <c r="B473" s="7">
        <v>145</v>
      </c>
      <c r="C473" t="s" s="8">
        <v>205</v>
      </c>
      <c r="D473" t="s" s="9">
        <v>177</v>
      </c>
      <c r="E473" s="111">
        <v>3</v>
      </c>
      <c r="F473" s="6"/>
      <c r="G473" t="str" s="112">
        <f t="shared" si="24"/>
        <v>0</v>
      </c>
      <c r="H473" s="143"/>
      <c r="I473" s="23"/>
    </row>
    <row r="474" spans="1:9" customFormat="1" x14ac:dyDescent="0.3" s="22">
      <c r="A474" s="28">
        <v>14</v>
      </c>
      <c r="B474" s="7">
        <v>146</v>
      </c>
      <c r="C474" t="s" s="8">
        <v>206</v>
      </c>
      <c r="D474" t="s" s="9">
        <v>202</v>
      </c>
      <c r="E474" s="111">
        <v>0.7</v>
      </c>
      <c r="F474" s="6"/>
      <c r="G474" t="str" s="112">
        <f t="shared" si="24"/>
        <v>0</v>
      </c>
      <c r="H474" s="143"/>
      <c r="I474" s="23"/>
    </row>
    <row r="475" spans="1:9" customFormat="1" x14ac:dyDescent="0.3" s="22">
      <c r="A475" s="28">
        <v>15</v>
      </c>
      <c r="B475" s="7">
        <v>152</v>
      </c>
      <c r="C475" t="s" s="8">
        <v>212</v>
      </c>
      <c r="D475" t="s" s="9">
        <v>16</v>
      </c>
      <c r="E475" s="111">
        <v>0.8</v>
      </c>
      <c r="F475" s="6"/>
      <c r="G475" t="str" s="112">
        <f t="shared" si="24"/>
        <v>0</v>
      </c>
      <c r="H475" s="143"/>
      <c r="I475" s="23"/>
    </row>
    <row r="476" spans="1:9" customFormat="1" x14ac:dyDescent="0.3" s="22">
      <c r="A476" s="28">
        <v>16</v>
      </c>
      <c r="B476" s="7">
        <v>153</v>
      </c>
      <c r="C476" t="s" s="8">
        <v>213</v>
      </c>
      <c r="D476" t="s" s="9">
        <v>61</v>
      </c>
      <c r="E476" s="121">
        <v>1</v>
      </c>
      <c r="F476" s="6"/>
      <c r="G476" t="str" s="112">
        <f t="shared" si="24"/>
        <v>0</v>
      </c>
      <c r="H476" s="143"/>
      <c r="I476" s="23"/>
    </row>
    <row r="477" spans="1:9" customFormat="1" x14ac:dyDescent="0.3" s="22">
      <c r="A477" s="28">
        <v>17</v>
      </c>
      <c r="B477" s="7">
        <v>66</v>
      </c>
      <c r="C477" t="s" s="8">
        <v>85</v>
      </c>
      <c r="D477" t="s" s="9">
        <v>61</v>
      </c>
      <c r="E477" s="121">
        <v>1</v>
      </c>
      <c r="F477" s="6"/>
      <c r="G477" t="str" s="112">
        <f t="shared" si="24"/>
        <v>0</v>
      </c>
      <c r="H477" s="143"/>
      <c r="I477" s="23"/>
    </row>
    <row r="478" spans="1:9" customFormat="1" x14ac:dyDescent="0.3" s="22">
      <c r="A478" s="28">
        <v>18</v>
      </c>
      <c r="B478" s="7">
        <v>147</v>
      </c>
      <c r="C478" t="s" s="8">
        <v>207</v>
      </c>
      <c r="D478" t="s" s="9">
        <v>61</v>
      </c>
      <c r="E478" s="121">
        <v>2</v>
      </c>
      <c r="F478" s="6"/>
      <c r="G478" t="str" s="112">
        <f t="shared" si="24"/>
        <v>0</v>
      </c>
      <c r="H478" s="143"/>
      <c r="I478" s="23"/>
    </row>
    <row r="479" spans="1:9" customFormat="1" x14ac:dyDescent="0.3" s="22">
      <c r="A479" s="28">
        <v>19</v>
      </c>
      <c r="B479" s="7">
        <v>50</v>
      </c>
      <c r="C479" t="s" s="8">
        <v>69</v>
      </c>
      <c r="D479" t="s" s="9">
        <v>61</v>
      </c>
      <c r="E479" s="121">
        <v>2</v>
      </c>
      <c r="F479" s="6"/>
      <c r="G479" t="str" s="112">
        <f t="shared" si="24"/>
        <v>0</v>
      </c>
      <c r="H479" s="143"/>
      <c r="I479" s="23"/>
    </row>
    <row r="480" spans="1:9" customFormat="1" x14ac:dyDescent="0.3" s="22">
      <c r="A480" s="28">
        <v>20</v>
      </c>
      <c r="B480" s="7">
        <v>55</v>
      </c>
      <c r="C480" t="s" s="8">
        <v>74</v>
      </c>
      <c r="D480" t="s" s="9">
        <v>61</v>
      </c>
      <c r="E480" s="121">
        <v>2</v>
      </c>
      <c r="F480" s="6"/>
      <c r="G480" t="str" s="112">
        <f t="shared" si="24"/>
        <v>0</v>
      </c>
      <c r="H480" s="143"/>
      <c r="I480" s="23"/>
    </row>
    <row r="481" spans="1:9" customFormat="1" x14ac:dyDescent="0.3" s="22">
      <c r="A481" s="28">
        <v>21</v>
      </c>
      <c r="B481" s="7">
        <v>62</v>
      </c>
      <c r="C481" t="s" s="8">
        <v>81</v>
      </c>
      <c r="D481" t="s" s="9">
        <v>61</v>
      </c>
      <c r="E481" s="121">
        <v>1</v>
      </c>
      <c r="F481" s="6"/>
      <c r="G481" t="str" s="112">
        <f t="shared" si="24"/>
        <v>0</v>
      </c>
      <c r="H481" s="143"/>
      <c r="I481" s="23"/>
    </row>
    <row r="482" spans="1:9" ht="20.4" customFormat="1" x14ac:dyDescent="0.3" s="22">
      <c r="A482" s="28">
        <v>22</v>
      </c>
      <c r="B482" s="7">
        <v>148</v>
      </c>
      <c r="C482" t="s" s="8">
        <v>208</v>
      </c>
      <c r="D482" t="s" s="9">
        <v>61</v>
      </c>
      <c r="E482" s="121">
        <v>1</v>
      </c>
      <c r="F482" s="6"/>
      <c r="G482" t="str" s="112">
        <f t="shared" si="24"/>
        <v>0</v>
      </c>
      <c r="H482" s="143"/>
      <c r="I482" s="23"/>
    </row>
    <row r="483" spans="1:9" customFormat="1" x14ac:dyDescent="0.3" s="22">
      <c r="A483" s="28">
        <v>23</v>
      </c>
      <c r="B483" s="7">
        <v>149</v>
      </c>
      <c r="C483" t="s" s="8">
        <v>209</v>
      </c>
      <c r="D483" t="s" s="9">
        <v>16</v>
      </c>
      <c r="E483" s="111">
        <v>2</v>
      </c>
      <c r="F483" s="6"/>
      <c r="G483" t="str" s="112">
        <f t="shared" si="24"/>
        <v>0</v>
      </c>
      <c r="H483" s="143"/>
      <c r="I483" s="23"/>
    </row>
    <row r="484" spans="1:9" customFormat="1" x14ac:dyDescent="0.3" s="22">
      <c r="A484" t="s" s="148">
        <v>288</v>
      </c>
      <c r="B484" s="128"/>
      <c r="C484" s="128"/>
      <c r="D484" s="128"/>
      <c r="E484" s="128"/>
      <c r="F484" s="128"/>
      <c r="G484" s="128"/>
      <c r="H484" s="143"/>
      <c r="I484" s="23"/>
    </row>
    <row r="485" spans="1:9" ht="20.4" customFormat="1" x14ac:dyDescent="0.3" s="22">
      <c r="A485" s="28">
        <v>1</v>
      </c>
      <c r="B485" s="7">
        <v>114</v>
      </c>
      <c r="C485" t="s" s="8">
        <v>169</v>
      </c>
      <c r="D485" t="s" s="9">
        <v>13</v>
      </c>
      <c r="E485" s="111">
        <v>9.1</v>
      </c>
      <c r="F485" s="6"/>
      <c r="G485" t="str" s="112">
        <f t="shared" ref="G485:G514" si="25">E485*F485</f>
        <v>0</v>
      </c>
      <c r="H485" s="143"/>
      <c r="I485" s="23"/>
    </row>
    <row r="486" spans="1:9" customFormat="1" x14ac:dyDescent="0.3" s="22">
      <c r="A486" s="28">
        <v>2</v>
      </c>
      <c r="B486" s="7">
        <v>115</v>
      </c>
      <c r="C486" t="s" s="8">
        <v>170</v>
      </c>
      <c r="D486" t="s" s="9">
        <v>13</v>
      </c>
      <c r="E486" s="111">
        <v>2.3</v>
      </c>
      <c r="F486" s="6"/>
      <c r="G486" t="str" s="112">
        <f t="shared" si="25"/>
        <v>0</v>
      </c>
      <c r="H486" s="143"/>
      <c r="I486" s="23"/>
    </row>
    <row r="487" spans="1:9" customFormat="1" x14ac:dyDescent="0.3" s="22">
      <c r="A487" s="28">
        <v>3</v>
      </c>
      <c r="B487" s="7">
        <v>116</v>
      </c>
      <c r="C487" t="s" s="8">
        <v>171</v>
      </c>
      <c r="D487" t="s" s="9">
        <v>13</v>
      </c>
      <c r="E487" s="111">
        <v>3.8</v>
      </c>
      <c r="F487" s="6"/>
      <c r="G487" t="str" s="112">
        <f t="shared" si="25"/>
        <v>0</v>
      </c>
      <c r="H487" s="143"/>
      <c r="I487" s="23"/>
    </row>
    <row r="488" spans="1:9" ht="20.4" customFormat="1" x14ac:dyDescent="0.3" s="22">
      <c r="A488" s="28">
        <v>4</v>
      </c>
      <c r="B488" s="7">
        <v>22</v>
      </c>
      <c r="C488" t="s" s="8">
        <v>37</v>
      </c>
      <c r="D488" t="s" s="9">
        <v>13</v>
      </c>
      <c r="E488" s="111">
        <v>9.9</v>
      </c>
      <c r="F488" s="6"/>
      <c r="G488" t="str" s="112">
        <f t="shared" si="25"/>
        <v>0</v>
      </c>
      <c r="H488" s="143"/>
      <c r="I488" s="23"/>
    </row>
    <row r="489" spans="1:9" customFormat="1" x14ac:dyDescent="0.3" s="22">
      <c r="A489" s="28">
        <v>5</v>
      </c>
      <c r="B489" s="7">
        <v>23</v>
      </c>
      <c r="C489" t="s" s="8">
        <v>38</v>
      </c>
      <c r="D489" t="s" s="9">
        <v>13</v>
      </c>
      <c r="E489" s="111">
        <v>1.5</v>
      </c>
      <c r="F489" s="6"/>
      <c r="G489" t="str" s="112">
        <f t="shared" si="25"/>
        <v>0</v>
      </c>
      <c r="H489" s="143"/>
      <c r="I489" s="23"/>
    </row>
    <row r="490" spans="1:9" ht="20.4" customFormat="1" x14ac:dyDescent="0.3" s="22">
      <c r="A490" s="28">
        <v>6</v>
      </c>
      <c r="B490" s="7">
        <v>24</v>
      </c>
      <c r="C490" t="s" s="8">
        <v>39</v>
      </c>
      <c r="D490" t="s" s="9">
        <v>13</v>
      </c>
      <c r="E490" s="111">
        <v>7.6</v>
      </c>
      <c r="F490" s="6"/>
      <c r="G490" t="str" s="112">
        <f t="shared" si="25"/>
        <v>0</v>
      </c>
      <c r="H490" s="143"/>
      <c r="I490" s="23"/>
    </row>
    <row r="491" spans="1:9" customFormat="1" x14ac:dyDescent="0.3" s="22">
      <c r="A491" s="28">
        <v>7</v>
      </c>
      <c r="B491" s="7">
        <v>117</v>
      </c>
      <c r="C491" t="s" s="8">
        <v>172</v>
      </c>
      <c r="D491" t="s" s="9">
        <v>33</v>
      </c>
      <c r="E491" s="111">
        <v>0.5</v>
      </c>
      <c r="F491" s="6"/>
      <c r="G491" t="str" s="112">
        <f t="shared" si="25"/>
        <v>0</v>
      </c>
      <c r="H491" s="143"/>
      <c r="I491" s="23"/>
    </row>
    <row r="492" spans="1:9" customFormat="1" x14ac:dyDescent="0.3" s="22">
      <c r="A492" s="28">
        <v>8</v>
      </c>
      <c r="B492" s="7">
        <v>118</v>
      </c>
      <c r="C492" t="s" s="8">
        <v>173</v>
      </c>
      <c r="D492" t="s" s="9">
        <v>33</v>
      </c>
      <c r="E492" s="111">
        <v>0.9</v>
      </c>
      <c r="F492" s="6"/>
      <c r="G492" t="str" s="112">
        <f t="shared" si="25"/>
        <v>0</v>
      </c>
      <c r="H492" s="143"/>
      <c r="I492" s="23"/>
    </row>
    <row r="493" spans="1:9" customFormat="1" x14ac:dyDescent="0.3" s="22">
      <c r="A493" s="28">
        <v>9</v>
      </c>
      <c r="B493" s="7">
        <v>120</v>
      </c>
      <c r="C493" t="s" s="8">
        <v>175</v>
      </c>
      <c r="D493" t="s" s="9">
        <v>33</v>
      </c>
      <c r="E493" s="111">
        <v>0.54</v>
      </c>
      <c r="F493" s="6"/>
      <c r="G493" t="str" s="112">
        <f t="shared" si="25"/>
        <v>0</v>
      </c>
      <c r="H493" s="143"/>
      <c r="I493" s="23"/>
    </row>
    <row r="494" spans="1:9" ht="20.4" customFormat="1" x14ac:dyDescent="0.3" s="22">
      <c r="A494" s="28">
        <v>10</v>
      </c>
      <c r="B494" s="7">
        <v>122</v>
      </c>
      <c r="C494" t="s" s="8">
        <v>178</v>
      </c>
      <c r="D494" t="s" s="9">
        <v>177</v>
      </c>
      <c r="E494" s="111">
        <v>23.96</v>
      </c>
      <c r="F494" s="6"/>
      <c r="G494" t="str" s="112">
        <f t="shared" si="25"/>
        <v>0</v>
      </c>
      <c r="H494" s="143"/>
      <c r="I494" s="23"/>
    </row>
    <row r="495" spans="1:9" customFormat="1" x14ac:dyDescent="0.3" s="22">
      <c r="A495" s="28">
        <v>11</v>
      </c>
      <c r="B495" s="7">
        <v>123</v>
      </c>
      <c r="C495" t="s" s="8">
        <v>179</v>
      </c>
      <c r="D495" t="s" s="9">
        <v>13</v>
      </c>
      <c r="E495" s="111">
        <v>0.2</v>
      </c>
      <c r="F495" s="6"/>
      <c r="G495" t="str" s="112">
        <f t="shared" si="25"/>
        <v>0</v>
      </c>
      <c r="H495" s="143"/>
      <c r="I495" s="23"/>
    </row>
    <row r="496" spans="1:9" customFormat="1" x14ac:dyDescent="0.3" s="22">
      <c r="A496" s="28">
        <v>12</v>
      </c>
      <c r="B496" s="7">
        <v>124</v>
      </c>
      <c r="C496" t="s" s="8">
        <v>180</v>
      </c>
      <c r="D496" t="s" s="9">
        <v>13</v>
      </c>
      <c r="E496" s="111">
        <v>0.41</v>
      </c>
      <c r="F496" s="6"/>
      <c r="G496" t="str" s="112">
        <f t="shared" si="25"/>
        <v>0</v>
      </c>
      <c r="H496" s="143"/>
      <c r="I496" s="23"/>
    </row>
    <row r="497" spans="1:9" customFormat="1" x14ac:dyDescent="0.3" s="22">
      <c r="A497" s="28">
        <v>13</v>
      </c>
      <c r="B497" s="7">
        <v>126</v>
      </c>
      <c r="C497" t="s" s="8">
        <v>182</v>
      </c>
      <c r="D497" t="s" s="9">
        <v>13</v>
      </c>
      <c r="E497" s="111">
        <v>0.09</v>
      </c>
      <c r="F497" s="6"/>
      <c r="G497" t="str" s="112">
        <f t="shared" si="25"/>
        <v>0</v>
      </c>
      <c r="H497" s="143"/>
      <c r="I497" s="23"/>
    </row>
    <row r="498" spans="1:9" customFormat="1" x14ac:dyDescent="0.3" s="22">
      <c r="A498" s="28">
        <v>14</v>
      </c>
      <c r="B498" s="7">
        <v>143</v>
      </c>
      <c r="C498" t="s" s="8">
        <v>203</v>
      </c>
      <c r="D498" t="s" s="9">
        <v>13</v>
      </c>
      <c r="E498" s="111">
        <v>0.7</v>
      </c>
      <c r="F498" s="6"/>
      <c r="G498" t="str" s="112">
        <f t="shared" si="25"/>
        <v>0</v>
      </c>
      <c r="H498" s="143"/>
      <c r="I498" s="23"/>
    </row>
    <row r="499" spans="1:9" customFormat="1" x14ac:dyDescent="0.3" s="22">
      <c r="A499" s="28">
        <v>15</v>
      </c>
      <c r="B499" s="7">
        <v>128</v>
      </c>
      <c r="C499" t="s" s="8">
        <v>184</v>
      </c>
      <c r="D499" t="s" s="9">
        <v>11</v>
      </c>
      <c r="E499" s="111">
        <v>0.25</v>
      </c>
      <c r="F499" s="6"/>
      <c r="G499" t="str" s="112">
        <f t="shared" si="25"/>
        <v>0</v>
      </c>
      <c r="H499" s="143"/>
      <c r="I499" s="23"/>
    </row>
    <row r="500" spans="1:9" ht="20.4" customFormat="1" x14ac:dyDescent="0.3" s="22">
      <c r="A500" s="28">
        <v>16</v>
      </c>
      <c r="B500" s="7">
        <v>129</v>
      </c>
      <c r="C500" t="s" s="8">
        <v>186</v>
      </c>
      <c r="D500" t="s" s="9">
        <v>33</v>
      </c>
      <c r="E500" s="111">
        <v>9</v>
      </c>
      <c r="F500" s="6"/>
      <c r="G500" t="str" s="112">
        <f t="shared" si="25"/>
        <v>0</v>
      </c>
      <c r="H500" s="143"/>
      <c r="I500" s="23"/>
    </row>
    <row r="501" spans="1:9" customFormat="1" x14ac:dyDescent="0.3" s="22">
      <c r="A501" s="28">
        <v>17</v>
      </c>
      <c r="B501" s="7">
        <v>130</v>
      </c>
      <c r="C501" t="s" s="8">
        <v>187</v>
      </c>
      <c r="D501" t="s" s="9">
        <v>33</v>
      </c>
      <c r="E501" s="111">
        <v>7.5</v>
      </c>
      <c r="F501" s="6"/>
      <c r="G501" t="str" s="112">
        <f t="shared" si="25"/>
        <v>0</v>
      </c>
      <c r="H501" s="143"/>
      <c r="I501" s="23"/>
    </row>
    <row r="502" spans="1:9" customFormat="1" x14ac:dyDescent="0.3" s="22">
      <c r="A502" s="28">
        <v>18</v>
      </c>
      <c r="B502" s="7">
        <v>144</v>
      </c>
      <c r="C502" t="s" s="8">
        <v>204</v>
      </c>
      <c r="D502" t="s" s="9">
        <v>61</v>
      </c>
      <c r="E502" s="121">
        <v>4</v>
      </c>
      <c r="F502" s="6"/>
      <c r="G502" t="str" s="112">
        <f t="shared" si="25"/>
        <v>0</v>
      </c>
      <c r="H502" s="143"/>
      <c r="I502" s="23"/>
    </row>
    <row r="503" spans="1:9" customFormat="1" x14ac:dyDescent="0.3" s="22">
      <c r="A503" s="28">
        <v>19</v>
      </c>
      <c r="B503" s="7">
        <v>131</v>
      </c>
      <c r="C503" t="s" s="8">
        <v>188</v>
      </c>
      <c r="D503" t="s" s="9">
        <v>33</v>
      </c>
      <c r="E503" s="111">
        <v>1</v>
      </c>
      <c r="F503" s="6"/>
      <c r="G503" t="str" s="112">
        <f t="shared" si="25"/>
        <v>0</v>
      </c>
      <c r="H503" s="143"/>
      <c r="I503" s="23"/>
    </row>
    <row r="504" spans="1:9" customFormat="1" x14ac:dyDescent="0.3" s="22">
      <c r="A504" s="28">
        <v>20</v>
      </c>
      <c r="B504" s="7">
        <v>134</v>
      </c>
      <c r="C504" t="s" s="8">
        <v>191</v>
      </c>
      <c r="D504" t="s" s="9">
        <v>61</v>
      </c>
      <c r="E504" s="121">
        <v>6</v>
      </c>
      <c r="F504" s="6"/>
      <c r="G504" t="str" s="112">
        <f t="shared" si="25"/>
        <v>0</v>
      </c>
      <c r="H504" s="143"/>
      <c r="I504" s="23"/>
    </row>
    <row r="505" spans="1:9" customFormat="1" x14ac:dyDescent="0.3" s="22">
      <c r="A505" s="28">
        <v>21</v>
      </c>
      <c r="B505" s="7">
        <v>154</v>
      </c>
      <c r="C505" t="s" s="8">
        <v>214</v>
      </c>
      <c r="D505" t="s" s="9">
        <v>61</v>
      </c>
      <c r="E505" s="121">
        <v>1</v>
      </c>
      <c r="F505" s="6"/>
      <c r="G505" t="str" s="112">
        <f t="shared" si="25"/>
        <v>0</v>
      </c>
      <c r="H505" s="143"/>
      <c r="I505" s="23"/>
    </row>
    <row r="506" spans="1:9" customFormat="1" x14ac:dyDescent="0.3" s="22">
      <c r="A506" s="28">
        <v>22</v>
      </c>
      <c r="B506" s="7">
        <v>155</v>
      </c>
      <c r="C506" t="s" s="8">
        <v>215</v>
      </c>
      <c r="D506" t="s" s="9">
        <v>61</v>
      </c>
      <c r="E506" s="121">
        <v>1</v>
      </c>
      <c r="F506" s="6"/>
      <c r="G506" t="str" s="112">
        <f t="shared" si="25"/>
        <v>0</v>
      </c>
      <c r="H506" s="143"/>
      <c r="I506" s="23"/>
    </row>
    <row r="507" spans="1:9" customFormat="1" x14ac:dyDescent="0.3" s="22">
      <c r="A507" s="28">
        <v>23</v>
      </c>
      <c r="B507" s="7">
        <v>156</v>
      </c>
      <c r="C507" t="s" s="8">
        <v>216</v>
      </c>
      <c r="D507" t="s" s="9">
        <v>16</v>
      </c>
      <c r="E507" s="111">
        <v>2</v>
      </c>
      <c r="F507" s="6"/>
      <c r="G507" t="str" s="112">
        <f t="shared" si="25"/>
        <v>0</v>
      </c>
      <c r="H507" s="143"/>
      <c r="I507" s="23"/>
    </row>
    <row r="508" spans="1:9" customFormat="1" x14ac:dyDescent="0.3" s="22">
      <c r="A508" s="28">
        <v>24</v>
      </c>
      <c r="B508" s="7">
        <v>186</v>
      </c>
      <c r="C508" t="s" s="8">
        <v>249</v>
      </c>
      <c r="D508" t="s" s="9">
        <v>61</v>
      </c>
      <c r="E508" s="121">
        <v>1</v>
      </c>
      <c r="F508" s="6"/>
      <c r="G508" t="str" s="112">
        <f t="shared" si="25"/>
        <v>0</v>
      </c>
      <c r="H508" s="143"/>
      <c r="I508" s="23"/>
    </row>
    <row r="509" spans="1:9" customFormat="1" x14ac:dyDescent="0.3" s="22">
      <c r="A509" s="28">
        <v>25</v>
      </c>
      <c r="B509" s="7">
        <v>187</v>
      </c>
      <c r="C509" t="s" s="8">
        <v>250</v>
      </c>
      <c r="D509" t="s" s="9">
        <v>61</v>
      </c>
      <c r="E509" s="121">
        <v>2</v>
      </c>
      <c r="F509" s="6"/>
      <c r="G509" t="str" s="112">
        <f t="shared" si="25"/>
        <v>0</v>
      </c>
      <c r="H509" s="143"/>
      <c r="I509" s="23"/>
    </row>
    <row r="510" spans="1:9" customFormat="1" x14ac:dyDescent="0.3" s="22">
      <c r="A510" s="28">
        <v>26</v>
      </c>
      <c r="B510" s="7">
        <v>188</v>
      </c>
      <c r="C510" t="s" s="8">
        <v>251</v>
      </c>
      <c r="D510" t="s" s="9">
        <v>61</v>
      </c>
      <c r="E510" s="121">
        <v>2</v>
      </c>
      <c r="F510" s="6"/>
      <c r="G510" t="str" s="112">
        <f t="shared" si="25"/>
        <v>0</v>
      </c>
      <c r="H510" s="143"/>
      <c r="I510" s="23"/>
    </row>
    <row r="511" spans="1:9" customFormat="1" x14ac:dyDescent="0.3" s="22">
      <c r="A511" s="28">
        <v>27</v>
      </c>
      <c r="B511" s="7">
        <v>189</v>
      </c>
      <c r="C511" t="s" s="8">
        <v>252</v>
      </c>
      <c r="D511" t="s" s="9">
        <v>61</v>
      </c>
      <c r="E511" s="121">
        <v>1</v>
      </c>
      <c r="F511" s="6"/>
      <c r="G511" t="str" s="112">
        <f t="shared" si="25"/>
        <v>0</v>
      </c>
      <c r="H511" s="143"/>
      <c r="I511" s="23"/>
    </row>
    <row r="512" spans="1:9" customFormat="1" x14ac:dyDescent="0.3" s="22">
      <c r="A512" s="28">
        <v>28</v>
      </c>
      <c r="B512" s="7">
        <v>190</v>
      </c>
      <c r="C512" t="s" s="8">
        <v>253</v>
      </c>
      <c r="D512" t="s" s="9">
        <v>61</v>
      </c>
      <c r="E512" s="121">
        <v>1</v>
      </c>
      <c r="F512" s="6"/>
      <c r="G512" t="str" s="112">
        <f t="shared" si="25"/>
        <v>0</v>
      </c>
      <c r="H512" s="143"/>
      <c r="I512" s="23"/>
    </row>
    <row r="513" spans="1:9" customFormat="1" x14ac:dyDescent="0.3" s="22">
      <c r="A513" s="28">
        <v>29</v>
      </c>
      <c r="B513" s="7">
        <v>141</v>
      </c>
      <c r="C513" t="s" s="8">
        <v>199</v>
      </c>
      <c r="D513" t="s" s="9">
        <v>61</v>
      </c>
      <c r="E513" s="121">
        <v>2</v>
      </c>
      <c r="F513" s="6"/>
      <c r="G513" t="str" s="112">
        <f t="shared" si="25"/>
        <v>0</v>
      </c>
      <c r="H513" s="143"/>
      <c r="I513" s="23"/>
    </row>
    <row r="514" spans="1:9" customFormat="1" x14ac:dyDescent="0.3" s="22">
      <c r="A514" s="28">
        <v>30</v>
      </c>
      <c r="B514" s="7">
        <v>191</v>
      </c>
      <c r="C514" t="s" s="8">
        <v>254</v>
      </c>
      <c r="D514" t="s" s="9">
        <v>16</v>
      </c>
      <c r="E514" s="111">
        <v>1</v>
      </c>
      <c r="F514" s="6"/>
      <c r="G514" t="str" s="112">
        <f t="shared" si="25"/>
        <v>0</v>
      </c>
      <c r="H514" s="143"/>
      <c r="I514" s="23"/>
    </row>
    <row r="515" spans="1:9" customFormat="1" x14ac:dyDescent="0.3" s="22">
      <c r="A515" t="s" s="148">
        <v>289</v>
      </c>
      <c r="B515" s="128"/>
      <c r="C515" s="128"/>
      <c r="D515" s="128"/>
      <c r="E515" s="128"/>
      <c r="F515" s="128"/>
      <c r="G515" s="128"/>
      <c r="H515" s="143"/>
      <c r="I515" s="23"/>
    </row>
    <row r="516" spans="1:9" ht="20.4" customFormat="1" x14ac:dyDescent="0.3" s="22">
      <c r="A516" s="28">
        <v>1</v>
      </c>
      <c r="B516" s="7">
        <v>114</v>
      </c>
      <c r="C516" t="s" s="8">
        <v>169</v>
      </c>
      <c r="D516" t="s" s="9">
        <v>13</v>
      </c>
      <c r="E516" s="111">
        <v>9.1</v>
      </c>
      <c r="F516" s="6"/>
      <c r="G516" t="str" s="112">
        <f t="shared" ref="G516:G545" si="26">E516*F516</f>
        <v>0</v>
      </c>
      <c r="H516" s="143"/>
      <c r="I516" s="23"/>
    </row>
    <row r="517" spans="1:9" customFormat="1" x14ac:dyDescent="0.3" s="22">
      <c r="A517" s="28">
        <v>2</v>
      </c>
      <c r="B517" s="7">
        <v>115</v>
      </c>
      <c r="C517" t="s" s="8">
        <v>170</v>
      </c>
      <c r="D517" t="s" s="9">
        <v>13</v>
      </c>
      <c r="E517" s="111">
        <v>2.3</v>
      </c>
      <c r="F517" s="6"/>
      <c r="G517" t="str" s="112">
        <f t="shared" si="26"/>
        <v>0</v>
      </c>
      <c r="H517" s="143"/>
      <c r="I517" s="23"/>
    </row>
    <row r="518" spans="1:9" customFormat="1" x14ac:dyDescent="0.3" s="22">
      <c r="A518" s="28">
        <v>3</v>
      </c>
      <c r="B518" s="7">
        <v>116</v>
      </c>
      <c r="C518" t="s" s="8">
        <v>171</v>
      </c>
      <c r="D518" t="s" s="9">
        <v>13</v>
      </c>
      <c r="E518" s="111">
        <v>3.8</v>
      </c>
      <c r="F518" s="6"/>
      <c r="G518" t="str" s="112">
        <f t="shared" si="26"/>
        <v>0</v>
      </c>
      <c r="H518" s="143"/>
      <c r="I518" s="23"/>
    </row>
    <row r="519" spans="1:9" ht="20.4" customFormat="1" x14ac:dyDescent="0.3" s="22">
      <c r="A519" s="28">
        <v>4</v>
      </c>
      <c r="B519" s="7">
        <v>22</v>
      </c>
      <c r="C519" t="s" s="8">
        <v>37</v>
      </c>
      <c r="D519" t="s" s="9">
        <v>13</v>
      </c>
      <c r="E519" s="111">
        <v>9.9</v>
      </c>
      <c r="F519" s="6"/>
      <c r="G519" t="str" s="112">
        <f t="shared" si="26"/>
        <v>0</v>
      </c>
      <c r="H519" s="143"/>
      <c r="I519" s="23"/>
    </row>
    <row r="520" spans="1:9" customFormat="1" x14ac:dyDescent="0.3" s="22">
      <c r="A520" s="28">
        <v>5</v>
      </c>
      <c r="B520" s="7">
        <v>23</v>
      </c>
      <c r="C520" t="s" s="8">
        <v>38</v>
      </c>
      <c r="D520" t="s" s="9">
        <v>13</v>
      </c>
      <c r="E520" s="111">
        <v>1.5</v>
      </c>
      <c r="F520" s="6"/>
      <c r="G520" t="str" s="112">
        <f t="shared" si="26"/>
        <v>0</v>
      </c>
      <c r="H520" s="143"/>
      <c r="I520" s="23"/>
    </row>
    <row r="521" spans="1:9" ht="20.4" customFormat="1" x14ac:dyDescent="0.3" s="22">
      <c r="A521" s="28">
        <v>6</v>
      </c>
      <c r="B521" s="7">
        <v>24</v>
      </c>
      <c r="C521" t="s" s="8">
        <v>39</v>
      </c>
      <c r="D521" t="s" s="9">
        <v>13</v>
      </c>
      <c r="E521" s="111">
        <v>7.6</v>
      </c>
      <c r="F521" s="6"/>
      <c r="G521" t="str" s="112">
        <f t="shared" si="26"/>
        <v>0</v>
      </c>
      <c r="H521" s="143"/>
      <c r="I521" s="23"/>
    </row>
    <row r="522" spans="1:9" customFormat="1" x14ac:dyDescent="0.3" s="22">
      <c r="A522" s="28">
        <v>7</v>
      </c>
      <c r="B522" s="7">
        <v>117</v>
      </c>
      <c r="C522" t="s" s="8">
        <v>172</v>
      </c>
      <c r="D522" t="s" s="9">
        <v>33</v>
      </c>
      <c r="E522" s="111">
        <v>0.5</v>
      </c>
      <c r="F522" s="6"/>
      <c r="G522" t="str" s="112">
        <f t="shared" si="26"/>
        <v>0</v>
      </c>
      <c r="H522" s="143"/>
      <c r="I522" s="23"/>
    </row>
    <row r="523" spans="1:9" customFormat="1" x14ac:dyDescent="0.3" s="22">
      <c r="A523" s="28">
        <v>8</v>
      </c>
      <c r="B523" s="7">
        <v>118</v>
      </c>
      <c r="C523" t="s" s="8">
        <v>173</v>
      </c>
      <c r="D523" t="s" s="9">
        <v>33</v>
      </c>
      <c r="E523" s="111">
        <v>0.9</v>
      </c>
      <c r="F523" s="6"/>
      <c r="G523" t="str" s="112">
        <f t="shared" si="26"/>
        <v>0</v>
      </c>
      <c r="H523" s="143"/>
      <c r="I523" s="23"/>
    </row>
    <row r="524" spans="1:9" customFormat="1" x14ac:dyDescent="0.3" s="22">
      <c r="A524" s="28">
        <v>9</v>
      </c>
      <c r="B524" s="7">
        <v>120</v>
      </c>
      <c r="C524" t="s" s="8">
        <v>175</v>
      </c>
      <c r="D524" t="s" s="9">
        <v>33</v>
      </c>
      <c r="E524" s="111">
        <v>0.54</v>
      </c>
      <c r="F524" s="6"/>
      <c r="G524" t="str" s="112">
        <f t="shared" si="26"/>
        <v>0</v>
      </c>
      <c r="H524" s="143"/>
      <c r="I524" s="23"/>
    </row>
    <row r="525" spans="1:9" ht="20.4" customFormat="1" x14ac:dyDescent="0.3" s="22">
      <c r="A525" s="28">
        <v>10</v>
      </c>
      <c r="B525" s="7">
        <v>122</v>
      </c>
      <c r="C525" t="s" s="8">
        <v>178</v>
      </c>
      <c r="D525" t="s" s="9">
        <v>177</v>
      </c>
      <c r="E525" s="111">
        <v>23.96</v>
      </c>
      <c r="F525" s="6"/>
      <c r="G525" t="str" s="112">
        <f t="shared" si="26"/>
        <v>0</v>
      </c>
      <c r="H525" s="143"/>
      <c r="I525" s="23"/>
    </row>
    <row r="526" spans="1:9" customFormat="1" x14ac:dyDescent="0.3" s="22">
      <c r="A526" s="28">
        <v>11</v>
      </c>
      <c r="B526" s="7">
        <v>123</v>
      </c>
      <c r="C526" t="s" s="8">
        <v>179</v>
      </c>
      <c r="D526" t="s" s="9">
        <v>13</v>
      </c>
      <c r="E526" s="111">
        <v>0.2</v>
      </c>
      <c r="F526" s="6"/>
      <c r="G526" t="str" s="112">
        <f t="shared" si="26"/>
        <v>0</v>
      </c>
      <c r="H526" s="143"/>
      <c r="I526" s="23"/>
    </row>
    <row r="527" spans="1:9" customFormat="1" x14ac:dyDescent="0.3" s="22">
      <c r="A527" s="28">
        <v>12</v>
      </c>
      <c r="B527" s="7">
        <v>124</v>
      </c>
      <c r="C527" t="s" s="8">
        <v>180</v>
      </c>
      <c r="D527" t="s" s="9">
        <v>13</v>
      </c>
      <c r="E527" s="111">
        <v>0.41</v>
      </c>
      <c r="F527" s="6"/>
      <c r="G527" t="str" s="112">
        <f t="shared" si="26"/>
        <v>0</v>
      </c>
      <c r="H527" s="143"/>
      <c r="I527" s="23"/>
    </row>
    <row r="528" spans="1:9" customFormat="1" x14ac:dyDescent="0.3" s="22">
      <c r="A528" s="28">
        <v>13</v>
      </c>
      <c r="B528" s="7">
        <v>126</v>
      </c>
      <c r="C528" t="s" s="8">
        <v>182</v>
      </c>
      <c r="D528" t="s" s="9">
        <v>13</v>
      </c>
      <c r="E528" s="111">
        <v>0.09</v>
      </c>
      <c r="F528" s="6"/>
      <c r="G528" t="str" s="112">
        <f t="shared" si="26"/>
        <v>0</v>
      </c>
      <c r="H528" s="143"/>
      <c r="I528" s="23"/>
    </row>
    <row r="529" spans="1:9" customFormat="1" x14ac:dyDescent="0.3" s="22">
      <c r="A529" s="28">
        <v>14</v>
      </c>
      <c r="B529" s="7">
        <v>143</v>
      </c>
      <c r="C529" t="s" s="8">
        <v>203</v>
      </c>
      <c r="D529" t="s" s="9">
        <v>13</v>
      </c>
      <c r="E529" s="111">
        <v>0.7</v>
      </c>
      <c r="F529" s="6"/>
      <c r="G529" t="str" s="112">
        <f t="shared" si="26"/>
        <v>0</v>
      </c>
      <c r="H529" s="143"/>
      <c r="I529" s="23"/>
    </row>
    <row r="530" spans="1:9" customFormat="1" x14ac:dyDescent="0.3" s="22">
      <c r="A530" s="28">
        <v>15</v>
      </c>
      <c r="B530" s="7">
        <v>128</v>
      </c>
      <c r="C530" t="s" s="8">
        <v>184</v>
      </c>
      <c r="D530" t="s" s="9">
        <v>11</v>
      </c>
      <c r="E530" s="111">
        <v>0.25</v>
      </c>
      <c r="F530" s="6"/>
      <c r="G530" t="str" s="112">
        <f t="shared" si="26"/>
        <v>0</v>
      </c>
      <c r="H530" s="143"/>
      <c r="I530" s="23"/>
    </row>
    <row r="531" spans="1:9" ht="20.4" customFormat="1" x14ac:dyDescent="0.3" s="22">
      <c r="A531" s="28">
        <v>16</v>
      </c>
      <c r="B531" s="7">
        <v>129</v>
      </c>
      <c r="C531" t="s" s="8">
        <v>186</v>
      </c>
      <c r="D531" t="s" s="9">
        <v>33</v>
      </c>
      <c r="E531" s="111">
        <v>9</v>
      </c>
      <c r="F531" s="6"/>
      <c r="G531" t="str" s="112">
        <f t="shared" si="26"/>
        <v>0</v>
      </c>
      <c r="H531" s="143"/>
      <c r="I531" s="23"/>
    </row>
    <row r="532" spans="1:9" customFormat="1" x14ac:dyDescent="0.3" s="22">
      <c r="A532" s="28">
        <v>17</v>
      </c>
      <c r="B532" s="7">
        <v>130</v>
      </c>
      <c r="C532" t="s" s="8">
        <v>187</v>
      </c>
      <c r="D532" t="s" s="9">
        <v>33</v>
      </c>
      <c r="E532" s="111">
        <v>7.5</v>
      </c>
      <c r="F532" s="6"/>
      <c r="G532" t="str" s="112">
        <f t="shared" si="26"/>
        <v>0</v>
      </c>
      <c r="H532" s="143"/>
      <c r="I532" s="23"/>
    </row>
    <row r="533" spans="1:9" customFormat="1" x14ac:dyDescent="0.3" s="22">
      <c r="A533" s="28">
        <v>18</v>
      </c>
      <c r="B533" s="7">
        <v>144</v>
      </c>
      <c r="C533" t="s" s="8">
        <v>204</v>
      </c>
      <c r="D533" t="s" s="9">
        <v>61</v>
      </c>
      <c r="E533" s="121">
        <v>4</v>
      </c>
      <c r="F533" s="6"/>
      <c r="G533" t="str" s="112">
        <f t="shared" si="26"/>
        <v>0</v>
      </c>
      <c r="H533" s="143"/>
      <c r="I533" s="23"/>
    </row>
    <row r="534" spans="1:9" customFormat="1" x14ac:dyDescent="0.3" s="22">
      <c r="A534" s="28">
        <v>19</v>
      </c>
      <c r="B534" s="7">
        <v>131</v>
      </c>
      <c r="C534" t="s" s="8">
        <v>188</v>
      </c>
      <c r="D534" t="s" s="9">
        <v>33</v>
      </c>
      <c r="E534" s="111">
        <v>1</v>
      </c>
      <c r="F534" s="6"/>
      <c r="G534" t="str" s="112">
        <f t="shared" si="26"/>
        <v>0</v>
      </c>
      <c r="H534" s="143"/>
      <c r="I534" s="23"/>
    </row>
    <row r="535" spans="1:9" customFormat="1" x14ac:dyDescent="0.3" s="22">
      <c r="A535" s="28">
        <v>20</v>
      </c>
      <c r="B535" s="7">
        <v>134</v>
      </c>
      <c r="C535" t="s" s="8">
        <v>191</v>
      </c>
      <c r="D535" t="s" s="9">
        <v>61</v>
      </c>
      <c r="E535" s="121">
        <v>6</v>
      </c>
      <c r="F535" s="6"/>
      <c r="G535" t="str" s="112">
        <f t="shared" si="26"/>
        <v>0</v>
      </c>
      <c r="H535" s="143"/>
      <c r="I535" s="23"/>
    </row>
    <row r="536" spans="1:9" customFormat="1" x14ac:dyDescent="0.3" s="22">
      <c r="A536" s="28">
        <v>21</v>
      </c>
      <c r="B536" s="7">
        <v>154</v>
      </c>
      <c r="C536" t="s" s="8">
        <v>214</v>
      </c>
      <c r="D536" t="s" s="9">
        <v>61</v>
      </c>
      <c r="E536" s="121">
        <v>1</v>
      </c>
      <c r="F536" s="6"/>
      <c r="G536" t="str" s="112">
        <f t="shared" si="26"/>
        <v>0</v>
      </c>
      <c r="H536" s="143"/>
      <c r="I536" s="23"/>
    </row>
    <row r="537" spans="1:9" customFormat="1" x14ac:dyDescent="0.3" s="22">
      <c r="A537" s="28">
        <v>22</v>
      </c>
      <c r="B537" s="7">
        <v>155</v>
      </c>
      <c r="C537" t="s" s="8">
        <v>215</v>
      </c>
      <c r="D537" t="s" s="9">
        <v>61</v>
      </c>
      <c r="E537" s="121">
        <v>1</v>
      </c>
      <c r="F537" s="6"/>
      <c r="G537" t="str" s="112">
        <f t="shared" si="26"/>
        <v>0</v>
      </c>
      <c r="H537" s="143"/>
      <c r="I537" s="23"/>
    </row>
    <row r="538" spans="1:9" customFormat="1" x14ac:dyDescent="0.3" s="22">
      <c r="A538" s="28">
        <v>23</v>
      </c>
      <c r="B538" s="7">
        <v>156</v>
      </c>
      <c r="C538" t="s" s="8">
        <v>216</v>
      </c>
      <c r="D538" t="s" s="9">
        <v>16</v>
      </c>
      <c r="E538" s="111">
        <v>2</v>
      </c>
      <c r="F538" s="6"/>
      <c r="G538" t="str" s="112">
        <f t="shared" si="26"/>
        <v>0</v>
      </c>
      <c r="H538" s="143"/>
      <c r="I538" s="23"/>
    </row>
    <row r="539" spans="1:9" customFormat="1" x14ac:dyDescent="0.3" s="22">
      <c r="A539" s="28">
        <v>24</v>
      </c>
      <c r="B539" s="7">
        <v>63</v>
      </c>
      <c r="C539" t="s" s="8">
        <v>82</v>
      </c>
      <c r="D539" t="s" s="9">
        <v>61</v>
      </c>
      <c r="E539" s="121">
        <v>1</v>
      </c>
      <c r="F539" s="6"/>
      <c r="G539" t="str" s="112">
        <f t="shared" si="26"/>
        <v>0</v>
      </c>
      <c r="H539" s="143"/>
      <c r="I539" s="23"/>
    </row>
    <row r="540" spans="1:9" customFormat="1" x14ac:dyDescent="0.3" s="22">
      <c r="A540" s="28">
        <v>25</v>
      </c>
      <c r="B540" s="7">
        <v>157</v>
      </c>
      <c r="C540" t="s" s="8">
        <v>217</v>
      </c>
      <c r="D540" t="s" s="9">
        <v>61</v>
      </c>
      <c r="E540" s="121">
        <v>2</v>
      </c>
      <c r="F540" s="6"/>
      <c r="G540" t="str" s="112">
        <f t="shared" si="26"/>
        <v>0</v>
      </c>
      <c r="H540" s="143"/>
      <c r="I540" s="23"/>
    </row>
    <row r="541" spans="1:9" customFormat="1" x14ac:dyDescent="0.3" s="22">
      <c r="A541" s="28">
        <v>26</v>
      </c>
      <c r="B541" s="7">
        <v>158</v>
      </c>
      <c r="C541" t="s" s="8">
        <v>218</v>
      </c>
      <c r="D541" t="s" s="9">
        <v>61</v>
      </c>
      <c r="E541" s="121">
        <v>2</v>
      </c>
      <c r="F541" s="6"/>
      <c r="G541" t="str" s="112">
        <f t="shared" si="26"/>
        <v>0</v>
      </c>
      <c r="H541" s="143"/>
      <c r="I541" s="23"/>
    </row>
    <row r="542" spans="1:9" customFormat="1" x14ac:dyDescent="0.3" s="22">
      <c r="A542" s="28">
        <v>27</v>
      </c>
      <c r="B542" s="7">
        <v>159</v>
      </c>
      <c r="C542" t="s" s="8">
        <v>219</v>
      </c>
      <c r="D542" t="s" s="9">
        <v>61</v>
      </c>
      <c r="E542" s="121">
        <v>1</v>
      </c>
      <c r="F542" s="6"/>
      <c r="G542" t="str" s="112">
        <f t="shared" si="26"/>
        <v>0</v>
      </c>
      <c r="H542" s="143"/>
      <c r="I542" s="23"/>
    </row>
    <row r="543" spans="1:9" customFormat="1" x14ac:dyDescent="0.3" s="22">
      <c r="A543" s="28">
        <v>28</v>
      </c>
      <c r="B543" s="7">
        <v>160</v>
      </c>
      <c r="C543" t="s" s="8">
        <v>220</v>
      </c>
      <c r="D543" t="s" s="9">
        <v>61</v>
      </c>
      <c r="E543" s="121">
        <v>1</v>
      </c>
      <c r="F543" s="6"/>
      <c r="G543" t="str" s="112">
        <f t="shared" si="26"/>
        <v>0</v>
      </c>
      <c r="H543" s="143"/>
      <c r="I543" s="23"/>
    </row>
    <row r="544" spans="1:9" customFormat="1" x14ac:dyDescent="0.3" s="22">
      <c r="A544" s="28">
        <v>29</v>
      </c>
      <c r="B544" s="7">
        <v>141</v>
      </c>
      <c r="C544" t="s" s="8">
        <v>199</v>
      </c>
      <c r="D544" t="s" s="9">
        <v>61</v>
      </c>
      <c r="E544" s="121">
        <v>2</v>
      </c>
      <c r="F544" s="6"/>
      <c r="G544" t="str" s="112">
        <f t="shared" si="26"/>
        <v>0</v>
      </c>
      <c r="H544" s="143"/>
      <c r="I544" s="23"/>
    </row>
    <row r="545" spans="1:9" customFormat="1" x14ac:dyDescent="0.3" s="22">
      <c r="A545" s="28">
        <v>30</v>
      </c>
      <c r="B545" s="7">
        <v>161</v>
      </c>
      <c r="C545" t="s" s="8">
        <v>221</v>
      </c>
      <c r="D545" t="s" s="9">
        <v>16</v>
      </c>
      <c r="E545" s="111">
        <v>1</v>
      </c>
      <c r="F545" s="6"/>
      <c r="G545" t="str" s="112">
        <f t="shared" si="26"/>
        <v>0</v>
      </c>
      <c r="H545" s="143"/>
      <c r="I545" s="23"/>
    </row>
    <row r="546" spans="1:9" customFormat="1" x14ac:dyDescent="0.3" s="22">
      <c r="A546" t="s" s="148">
        <v>290</v>
      </c>
      <c r="B546" s="128"/>
      <c r="C546" s="128"/>
      <c r="D546" s="128"/>
      <c r="E546" s="128"/>
      <c r="F546" s="128"/>
      <c r="G546" s="128"/>
      <c r="H546" s="143"/>
      <c r="I546" s="23"/>
    </row>
    <row r="547" spans="1:9" customFormat="1" x14ac:dyDescent="0.3" s="22">
      <c r="A547" s="28">
        <v>1</v>
      </c>
      <c r="B547" s="7">
        <v>162</v>
      </c>
      <c r="C547" t="s" s="8">
        <v>222</v>
      </c>
      <c r="D547" t="s" s="9">
        <v>223</v>
      </c>
      <c r="E547" s="111">
        <v>0.228</v>
      </c>
      <c r="F547" s="6"/>
      <c r="G547" t="str" s="112">
        <f t="shared" ref="G547:G559" si="27">E547*F547</f>
        <v>0</v>
      </c>
      <c r="H547" s="143"/>
      <c r="I547" s="23"/>
    </row>
    <row r="548" spans="1:9" customFormat="1" x14ac:dyDescent="0.3" s="22">
      <c r="A548" s="28">
        <v>2</v>
      </c>
      <c r="B548" s="7">
        <v>192</v>
      </c>
      <c r="C548" t="s" s="8">
        <v>255</v>
      </c>
      <c r="D548" t="s" s="9">
        <v>177</v>
      </c>
      <c r="E548" s="111">
        <v>63.2</v>
      </c>
      <c r="F548" s="6"/>
      <c r="G548" t="str" s="112">
        <f t="shared" si="27"/>
        <v>0</v>
      </c>
      <c r="H548" s="143"/>
      <c r="I548" s="23"/>
    </row>
    <row r="549" spans="1:9" customFormat="1" x14ac:dyDescent="0.3" s="22">
      <c r="A549" s="28">
        <v>3</v>
      </c>
      <c r="B549" s="7">
        <v>164</v>
      </c>
      <c r="C549" t="s" s="8">
        <v>225</v>
      </c>
      <c r="D549" t="s" s="9">
        <v>177</v>
      </c>
      <c r="E549" s="111">
        <v>24.89</v>
      </c>
      <c r="F549" s="6"/>
      <c r="G549" t="str" s="112">
        <f t="shared" si="27"/>
        <v>0</v>
      </c>
      <c r="H549" s="143"/>
      <c r="I549" s="23"/>
    </row>
    <row r="550" spans="1:9" ht="20.4" customFormat="1" x14ac:dyDescent="0.3" s="22">
      <c r="A550" s="28">
        <v>4</v>
      </c>
      <c r="B550" s="7">
        <v>165</v>
      </c>
      <c r="C550" t="s" s="8">
        <v>226</v>
      </c>
      <c r="D550" t="s" s="9">
        <v>13</v>
      </c>
      <c r="E550" s="111">
        <v>60.3</v>
      </c>
      <c r="F550" s="6"/>
      <c r="G550" t="str" s="112">
        <f t="shared" si="27"/>
        <v>0</v>
      </c>
      <c r="H550" s="143"/>
      <c r="I550" s="23"/>
    </row>
    <row r="551" spans="1:9" customFormat="1" x14ac:dyDescent="0.3" s="22">
      <c r="A551" s="28">
        <v>5</v>
      </c>
      <c r="B551" s="7">
        <v>166</v>
      </c>
      <c r="C551" t="s" s="8">
        <v>227</v>
      </c>
      <c r="D551" t="s" s="9">
        <v>13</v>
      </c>
      <c r="E551" s="111">
        <v>10.6</v>
      </c>
      <c r="F551" s="6"/>
      <c r="G551" t="str" s="112">
        <f t="shared" si="27"/>
        <v>0</v>
      </c>
      <c r="H551" s="143"/>
      <c r="I551" s="23"/>
    </row>
    <row r="552" spans="1:9" customFormat="1" x14ac:dyDescent="0.3" s="22">
      <c r="A552" s="28">
        <v>6</v>
      </c>
      <c r="B552" s="7">
        <v>167</v>
      </c>
      <c r="C552" t="s" s="8">
        <v>228</v>
      </c>
      <c r="D552" t="s" s="9">
        <v>33</v>
      </c>
      <c r="E552" s="111">
        <v>29.5</v>
      </c>
      <c r="F552" s="6"/>
      <c r="G552" t="str" s="112">
        <f t="shared" si="27"/>
        <v>0</v>
      </c>
      <c r="H552" s="143"/>
      <c r="I552" s="23"/>
    </row>
    <row r="553" spans="1:9" customFormat="1" x14ac:dyDescent="0.3" s="22">
      <c r="A553" s="28">
        <v>7</v>
      </c>
      <c r="B553" s="7">
        <v>168</v>
      </c>
      <c r="C553" t="s" s="8">
        <v>229</v>
      </c>
      <c r="D553" t="s" s="9">
        <v>13</v>
      </c>
      <c r="E553" s="111">
        <v>12.6</v>
      </c>
      <c r="F553" s="6"/>
      <c r="G553" t="str" s="112">
        <f t="shared" si="27"/>
        <v>0</v>
      </c>
      <c r="H553" s="143"/>
      <c r="I553" s="23"/>
    </row>
    <row r="554" spans="1:9" ht="20.4" customFormat="1" x14ac:dyDescent="0.3" s="22">
      <c r="A554" s="28">
        <v>8</v>
      </c>
      <c r="B554" s="7">
        <v>169</v>
      </c>
      <c r="C554" t="s" s="8">
        <v>230</v>
      </c>
      <c r="D554" t="s" s="9">
        <v>177</v>
      </c>
      <c r="E554" s="111">
        <v>317</v>
      </c>
      <c r="F554" s="6"/>
      <c r="G554" t="str" s="112">
        <f t="shared" si="27"/>
        <v>0</v>
      </c>
      <c r="H554" s="143"/>
      <c r="I554" s="23"/>
    </row>
    <row r="555" spans="1:9" customFormat="1" x14ac:dyDescent="0.3" s="22">
      <c r="A555" s="28">
        <v>9</v>
      </c>
      <c r="B555" s="7">
        <v>170</v>
      </c>
      <c r="C555" t="s" s="8">
        <v>231</v>
      </c>
      <c r="D555" t="s" s="9">
        <v>13</v>
      </c>
      <c r="E555" s="111">
        <v>3.9</v>
      </c>
      <c r="F555" s="6"/>
      <c r="G555" t="str" s="112">
        <f t="shared" si="27"/>
        <v>0</v>
      </c>
      <c r="H555" s="143"/>
      <c r="I555" s="23"/>
    </row>
    <row r="556" spans="1:9" customFormat="1" x14ac:dyDescent="0.3" s="22">
      <c r="A556" s="28">
        <v>10</v>
      </c>
      <c r="B556" s="7">
        <v>171</v>
      </c>
      <c r="C556" t="s" s="8">
        <v>232</v>
      </c>
      <c r="D556" t="s" s="9">
        <v>13</v>
      </c>
      <c r="E556" s="111">
        <v>20.6</v>
      </c>
      <c r="F556" s="6"/>
      <c r="G556" t="str" s="112">
        <f t="shared" si="27"/>
        <v>0</v>
      </c>
      <c r="H556" s="143"/>
      <c r="I556" s="23"/>
    </row>
    <row r="557" spans="1:9" customFormat="1" x14ac:dyDescent="0.3" s="22">
      <c r="A557" s="28">
        <v>11</v>
      </c>
      <c r="B557" s="7">
        <v>172</v>
      </c>
      <c r="C557" t="s" s="8">
        <v>233</v>
      </c>
      <c r="D557" t="s" s="9">
        <v>33</v>
      </c>
      <c r="E557" s="111">
        <v>54</v>
      </c>
      <c r="F557" s="6"/>
      <c r="G557" t="str" s="112">
        <f t="shared" si="27"/>
        <v>0</v>
      </c>
      <c r="H557" s="143"/>
      <c r="I557" s="23"/>
    </row>
    <row r="558" spans="1:9" customFormat="1" x14ac:dyDescent="0.3" s="22">
      <c r="A558" s="28">
        <v>12</v>
      </c>
      <c r="B558" s="7">
        <v>173</v>
      </c>
      <c r="C558" t="s" s="8">
        <v>234</v>
      </c>
      <c r="D558" t="s" s="9">
        <v>13</v>
      </c>
      <c r="E558" s="111">
        <v>360</v>
      </c>
      <c r="F558" s="6"/>
      <c r="G558" t="str" s="112">
        <f t="shared" si="27"/>
        <v>0</v>
      </c>
      <c r="H558" s="143"/>
      <c r="I558" s="23"/>
    </row>
    <row r="559" spans="1:9" customFormat="1" x14ac:dyDescent="0.3" s="22">
      <c r="A559" s="28">
        <v>13</v>
      </c>
      <c r="B559" s="7">
        <v>174</v>
      </c>
      <c r="C559" t="s" s="8">
        <v>235</v>
      </c>
      <c r="D559" t="s" s="9">
        <v>13</v>
      </c>
      <c r="E559" s="111">
        <v>360</v>
      </c>
      <c r="F559" s="6"/>
      <c r="G559" t="str" s="112">
        <f t="shared" si="27"/>
        <v>0</v>
      </c>
      <c r="H559" s="143"/>
      <c r="I559" s="23"/>
    </row>
    <row r="560" spans="1:9" customFormat="1" x14ac:dyDescent="0.3" s="22">
      <c r="A560" t="s" s="148">
        <v>291</v>
      </c>
      <c r="B560" s="128"/>
      <c r="C560" s="128"/>
      <c r="D560" s="128"/>
      <c r="E560" s="128"/>
      <c r="F560" s="128"/>
      <c r="G560" s="128"/>
      <c r="H560" s="143"/>
      <c r="I560" s="23"/>
    </row>
    <row r="561" spans="1:9" customFormat="1" x14ac:dyDescent="0.3" s="22">
      <c r="A561" s="28">
        <v>1</v>
      </c>
      <c r="B561" s="7">
        <v>175</v>
      </c>
      <c r="C561" t="s" s="8">
        <v>236</v>
      </c>
      <c r="D561" t="s" s="9">
        <v>237</v>
      </c>
      <c r="E561" s="111">
        <v>0.2</v>
      </c>
      <c r="F561" s="6"/>
      <c r="G561" t="str" s="112">
        <f t="shared" ref="G561:G573" si="28">E561*F561</f>
        <v>0</v>
      </c>
      <c r="H561" s="143"/>
      <c r="I561" s="23"/>
    </row>
    <row r="562" spans="1:9" customFormat="1" x14ac:dyDescent="0.3" s="22">
      <c r="A562" s="28">
        <v>2</v>
      </c>
      <c r="B562" s="7">
        <v>176</v>
      </c>
      <c r="C562" t="s" s="8">
        <v>238</v>
      </c>
      <c r="D562" t="s" s="9">
        <v>13</v>
      </c>
      <c r="E562" s="111">
        <v>10</v>
      </c>
      <c r="F562" s="6"/>
      <c r="G562" t="str" s="112">
        <f t="shared" si="28"/>
        <v>0</v>
      </c>
      <c r="H562" s="143"/>
      <c r="I562" s="23"/>
    </row>
    <row r="563" spans="1:9" customFormat="1" x14ac:dyDescent="0.3" s="22">
      <c r="A563" s="28">
        <v>3</v>
      </c>
      <c r="B563" s="7">
        <v>177</v>
      </c>
      <c r="C563" t="s" s="8">
        <v>239</v>
      </c>
      <c r="D563" t="s" s="9">
        <v>13</v>
      </c>
      <c r="E563" s="111">
        <v>10</v>
      </c>
      <c r="F563" s="6"/>
      <c r="G563" t="str" s="112">
        <f t="shared" si="28"/>
        <v>0</v>
      </c>
      <c r="H563" s="143"/>
      <c r="I563" s="23"/>
    </row>
    <row r="564" spans="1:9" customFormat="1" x14ac:dyDescent="0.3" s="22">
      <c r="A564" s="28">
        <v>4</v>
      </c>
      <c r="B564" s="7">
        <v>193</v>
      </c>
      <c r="C564" t="s" s="8">
        <v>256</v>
      </c>
      <c r="D564" t="s" s="9">
        <v>13</v>
      </c>
      <c r="E564" s="111">
        <v>10</v>
      </c>
      <c r="F564" s="6"/>
      <c r="G564" t="str" s="112">
        <f t="shared" si="28"/>
        <v>0</v>
      </c>
      <c r="H564" s="143"/>
      <c r="I564" s="23"/>
    </row>
    <row r="565" spans="1:9" customFormat="1" x14ac:dyDescent="0.3" s="22">
      <c r="A565" s="28">
        <v>5</v>
      </c>
      <c r="B565" s="7">
        <v>173</v>
      </c>
      <c r="C565" t="s" s="8">
        <v>234</v>
      </c>
      <c r="D565" t="s" s="9">
        <v>13</v>
      </c>
      <c r="E565" s="111">
        <v>360</v>
      </c>
      <c r="F565" s="6"/>
      <c r="G565" t="str" s="112">
        <f t="shared" si="28"/>
        <v>0</v>
      </c>
      <c r="H565" s="143"/>
      <c r="I565" s="23"/>
    </row>
    <row r="566" spans="1:9" customFormat="1" x14ac:dyDescent="0.3" s="22">
      <c r="A566" s="28">
        <v>6</v>
      </c>
      <c r="B566" s="7">
        <v>174</v>
      </c>
      <c r="C566" t="s" s="8">
        <v>235</v>
      </c>
      <c r="D566" t="s" s="9">
        <v>13</v>
      </c>
      <c r="E566" s="111">
        <v>360</v>
      </c>
      <c r="F566" s="6"/>
      <c r="G566" t="str" s="112">
        <f t="shared" si="28"/>
        <v>0</v>
      </c>
      <c r="H566" s="143"/>
      <c r="I566" s="23"/>
    </row>
    <row r="567" spans="1:9" customFormat="1" x14ac:dyDescent="0.3" s="22">
      <c r="A567" s="28">
        <v>7</v>
      </c>
      <c r="B567" s="7">
        <v>194</v>
      </c>
      <c r="C567" t="s" s="8">
        <v>257</v>
      </c>
      <c r="D567" t="s" s="9">
        <v>13</v>
      </c>
      <c r="E567" s="111">
        <v>10</v>
      </c>
      <c r="F567" s="6"/>
      <c r="G567" t="str" s="112">
        <f t="shared" si="28"/>
        <v>0</v>
      </c>
      <c r="H567" s="143"/>
      <c r="I567" s="23"/>
    </row>
    <row r="568" spans="1:9" customFormat="1" x14ac:dyDescent="0.3" s="22">
      <c r="A568" s="28">
        <v>8</v>
      </c>
      <c r="B568" s="7">
        <v>195</v>
      </c>
      <c r="C568" t="s" s="8">
        <v>258</v>
      </c>
      <c r="D568" t="s" s="9">
        <v>33</v>
      </c>
      <c r="E568" s="111">
        <v>12</v>
      </c>
      <c r="F568" s="6"/>
      <c r="G568" t="str" s="112">
        <f t="shared" si="28"/>
        <v>0</v>
      </c>
      <c r="H568" s="143"/>
      <c r="I568" s="23"/>
    </row>
    <row r="569" spans="1:9" customFormat="1" x14ac:dyDescent="0.3" s="22">
      <c r="A569" s="28">
        <v>9</v>
      </c>
      <c r="B569" s="7">
        <v>196</v>
      </c>
      <c r="C569" t="s" s="8">
        <v>259</v>
      </c>
      <c r="D569" t="s" s="9">
        <v>33</v>
      </c>
      <c r="E569" s="111">
        <v>12</v>
      </c>
      <c r="F569" s="6"/>
      <c r="G569" t="str" s="112">
        <f t="shared" si="28"/>
        <v>0</v>
      </c>
      <c r="H569" s="143"/>
      <c r="I569" s="23"/>
    </row>
    <row r="570" spans="1:9" customFormat="1" x14ac:dyDescent="0.3" s="22">
      <c r="A570" s="28">
        <v>10</v>
      </c>
      <c r="B570" s="7">
        <v>197</v>
      </c>
      <c r="C570" t="s" s="8">
        <v>260</v>
      </c>
      <c r="D570" t="s" s="9">
        <v>33</v>
      </c>
      <c r="E570" s="111">
        <v>3</v>
      </c>
      <c r="F570" s="6"/>
      <c r="G570" t="str" s="112">
        <f t="shared" si="28"/>
        <v>0</v>
      </c>
      <c r="H570" s="143"/>
      <c r="I570" s="23"/>
    </row>
    <row r="571" spans="1:9" ht="20.4" customFormat="1" x14ac:dyDescent="0.3" s="22">
      <c r="A571" s="28">
        <v>11</v>
      </c>
      <c r="B571" s="7">
        <v>169</v>
      </c>
      <c r="C571" t="s" s="8">
        <v>230</v>
      </c>
      <c r="D571" t="s" s="9">
        <v>177</v>
      </c>
      <c r="E571" s="111">
        <v>90</v>
      </c>
      <c r="F571" s="6"/>
      <c r="G571" t="str" s="112">
        <f t="shared" si="28"/>
        <v>0</v>
      </c>
      <c r="H571" s="143"/>
      <c r="I571" s="23"/>
    </row>
    <row r="572" spans="1:9" customFormat="1" x14ac:dyDescent="0.3" s="22">
      <c r="A572" s="28">
        <v>12</v>
      </c>
      <c r="B572" s="7">
        <v>198</v>
      </c>
      <c r="C572" t="s" s="8">
        <v>261</v>
      </c>
      <c r="D572" t="s" s="9">
        <v>13</v>
      </c>
      <c r="E572" s="111">
        <v>1.6</v>
      </c>
      <c r="F572" s="6"/>
      <c r="G572" t="str" s="112">
        <f t="shared" si="28"/>
        <v>0</v>
      </c>
      <c r="H572" s="143"/>
      <c r="I572" s="23"/>
    </row>
    <row r="573" spans="1:9" customFormat="1" x14ac:dyDescent="0.3" s="22">
      <c r="A573" s="28">
        <v>13</v>
      </c>
      <c r="B573" s="7">
        <v>171</v>
      </c>
      <c r="C573" t="s" s="8">
        <v>232</v>
      </c>
      <c r="D573" t="s" s="9">
        <v>13</v>
      </c>
      <c r="E573" s="111">
        <v>7</v>
      </c>
      <c r="F573" s="6"/>
      <c r="G573" t="str" s="112">
        <f t="shared" si="28"/>
        <v>0</v>
      </c>
      <c r="H573" s="143"/>
      <c r="I573" s="23"/>
    </row>
    <row r="574" spans="1:9" customFormat="1" x14ac:dyDescent="0.3" s="22">
      <c r="A574" t="s" s="148">
        <v>292</v>
      </c>
      <c r="B574" s="128"/>
      <c r="C574" s="128"/>
      <c r="D574" s="128"/>
      <c r="E574" s="128"/>
      <c r="F574" s="128"/>
      <c r="G574" s="128"/>
      <c r="H574" s="143"/>
      <c r="I574" s="23"/>
    </row>
    <row r="575" spans="1:9" customFormat="1" x14ac:dyDescent="0.3" s="22">
      <c r="A575" s="28">
        <v>1</v>
      </c>
      <c r="B575" s="7">
        <v>175</v>
      </c>
      <c r="C575" t="s" s="8">
        <v>236</v>
      </c>
      <c r="D575" t="s" s="9">
        <v>262</v>
      </c>
      <c r="E575" s="111">
        <v>0.2</v>
      </c>
      <c r="F575" s="6"/>
      <c r="G575" t="str" s="112">
        <f t="shared" ref="G575:G586" si="29">E575*F575</f>
        <v>0</v>
      </c>
      <c r="H575" s="143"/>
      <c r="I575" s="23"/>
    </row>
    <row r="576" spans="1:9" customFormat="1" x14ac:dyDescent="0.3" s="22">
      <c r="A576" s="28">
        <v>2</v>
      </c>
      <c r="B576" s="7">
        <v>176</v>
      </c>
      <c r="C576" t="s" s="8">
        <v>238</v>
      </c>
      <c r="D576" t="s" s="9">
        <v>13</v>
      </c>
      <c r="E576" s="111">
        <v>10</v>
      </c>
      <c r="F576" s="6"/>
      <c r="G576" t="str" s="112">
        <f t="shared" si="29"/>
        <v>0</v>
      </c>
      <c r="H576" s="143"/>
      <c r="I576" s="23"/>
    </row>
    <row r="577" spans="1:9" customFormat="1" x14ac:dyDescent="0.3" s="22">
      <c r="A577" s="28">
        <v>3</v>
      </c>
      <c r="B577" s="7">
        <v>177</v>
      </c>
      <c r="C577" t="s" s="8">
        <v>239</v>
      </c>
      <c r="D577" t="s" s="9">
        <v>13</v>
      </c>
      <c r="E577" s="111">
        <v>10</v>
      </c>
      <c r="F577" s="6"/>
      <c r="G577" t="str" s="112">
        <f t="shared" si="29"/>
        <v>0</v>
      </c>
      <c r="H577" s="143"/>
      <c r="I577" s="23"/>
    </row>
    <row r="578" spans="1:9" customFormat="1" x14ac:dyDescent="0.3" s="22">
      <c r="A578" s="28">
        <v>4</v>
      </c>
      <c r="B578" s="7">
        <v>178</v>
      </c>
      <c r="C578" t="s" s="8">
        <v>240</v>
      </c>
      <c r="D578" t="s" s="9">
        <v>13</v>
      </c>
      <c r="E578" s="111">
        <v>10</v>
      </c>
      <c r="F578" s="6"/>
      <c r="G578" t="str" s="112">
        <f t="shared" si="29"/>
        <v>0</v>
      </c>
      <c r="H578" s="143"/>
      <c r="I578" s="23"/>
    </row>
    <row r="579" spans="1:9" customFormat="1" x14ac:dyDescent="0.3" s="22">
      <c r="A579" s="28">
        <v>5</v>
      </c>
      <c r="B579" s="7">
        <v>179</v>
      </c>
      <c r="C579" t="s" s="8">
        <v>241</v>
      </c>
      <c r="D579" t="s" s="9">
        <v>13</v>
      </c>
      <c r="E579" s="111">
        <v>60.3</v>
      </c>
      <c r="F579" s="6"/>
      <c r="G579" t="str" s="112">
        <f t="shared" si="29"/>
        <v>0</v>
      </c>
      <c r="H579" s="143"/>
      <c r="I579" s="23"/>
    </row>
    <row r="580" spans="1:9" customFormat="1" x14ac:dyDescent="0.3" s="22">
      <c r="A580" s="28">
        <v>6</v>
      </c>
      <c r="B580" s="7">
        <v>23</v>
      </c>
      <c r="C580" t="s" s="8">
        <v>38</v>
      </c>
      <c r="D580" t="s" s="9">
        <v>13</v>
      </c>
      <c r="E580" s="111">
        <v>10.6</v>
      </c>
      <c r="F580" s="6"/>
      <c r="G580" t="str" s="112">
        <f t="shared" si="29"/>
        <v>0</v>
      </c>
      <c r="H580" s="143"/>
      <c r="I580" s="23"/>
    </row>
    <row r="581" spans="1:9" customFormat="1" x14ac:dyDescent="0.3" s="22">
      <c r="A581" s="28">
        <v>7</v>
      </c>
      <c r="B581" s="7">
        <v>199</v>
      </c>
      <c r="C581" t="s" s="8">
        <v>263</v>
      </c>
      <c r="D581" t="s" s="9">
        <v>33</v>
      </c>
      <c r="E581" s="111">
        <v>29.5</v>
      </c>
      <c r="F581" s="6"/>
      <c r="G581" t="str" s="112">
        <f t="shared" si="29"/>
        <v>0</v>
      </c>
      <c r="H581" s="143"/>
      <c r="I581" s="23"/>
    </row>
    <row r="582" spans="1:9" customFormat="1" x14ac:dyDescent="0.3" s="22">
      <c r="A582" s="28">
        <v>8</v>
      </c>
      <c r="B582" s="7">
        <v>168</v>
      </c>
      <c r="C582" t="s" s="8">
        <v>229</v>
      </c>
      <c r="D582" t="s" s="9">
        <v>13</v>
      </c>
      <c r="E582" s="111">
        <v>12.6</v>
      </c>
      <c r="F582" s="6"/>
      <c r="G582" t="str" s="112">
        <f t="shared" si="29"/>
        <v>0</v>
      </c>
      <c r="H582" s="143"/>
      <c r="I582" s="23"/>
    </row>
    <row r="583" spans="1:9" ht="20.4" customFormat="1" x14ac:dyDescent="0.3" s="22">
      <c r="A583" s="28">
        <v>9</v>
      </c>
      <c r="B583" s="7">
        <v>169</v>
      </c>
      <c r="C583" t="s" s="8">
        <v>230</v>
      </c>
      <c r="D583" t="s" s="9">
        <v>177</v>
      </c>
      <c r="E583" s="111">
        <v>317</v>
      </c>
      <c r="F583" s="6"/>
      <c r="G583" t="str" s="112">
        <f t="shared" si="29"/>
        <v>0</v>
      </c>
      <c r="H583" s="143"/>
      <c r="I583" s="23"/>
    </row>
    <row r="584" spans="1:9" customFormat="1" x14ac:dyDescent="0.3" s="22">
      <c r="A584" s="28">
        <v>10</v>
      </c>
      <c r="B584" s="7">
        <v>170</v>
      </c>
      <c r="C584" t="s" s="8">
        <v>231</v>
      </c>
      <c r="D584" t="s" s="9">
        <v>13</v>
      </c>
      <c r="E584" s="111">
        <v>3.9</v>
      </c>
      <c r="F584" s="6"/>
      <c r="G584" t="str" s="112">
        <f t="shared" si="29"/>
        <v>0</v>
      </c>
      <c r="H584" s="143"/>
      <c r="I584" s="23"/>
    </row>
    <row r="585" spans="1:9" customFormat="1" x14ac:dyDescent="0.3" s="22">
      <c r="A585" s="28">
        <v>11</v>
      </c>
      <c r="B585" s="7">
        <v>171</v>
      </c>
      <c r="C585" t="s" s="8">
        <v>232</v>
      </c>
      <c r="D585" t="s" s="9">
        <v>13</v>
      </c>
      <c r="E585" s="111">
        <v>20.6</v>
      </c>
      <c r="F585" s="6"/>
      <c r="G585" t="str" s="112">
        <f t="shared" si="29"/>
        <v>0</v>
      </c>
      <c r="H585" s="143"/>
      <c r="I585" s="23"/>
    </row>
    <row r="586" spans="1:9" customFormat="1" x14ac:dyDescent="0.3" s="22">
      <c r="A586" s="28">
        <v>12</v>
      </c>
      <c r="B586" s="7">
        <v>172</v>
      </c>
      <c r="C586" t="s" s="8">
        <v>233</v>
      </c>
      <c r="D586" t="s" s="9">
        <v>33</v>
      </c>
      <c r="E586" s="111">
        <v>54</v>
      </c>
      <c r="F586" s="6"/>
      <c r="G586" t="str" s="112">
        <f t="shared" si="29"/>
        <v>0</v>
      </c>
      <c r="H586" s="143"/>
      <c r="I586" s="23"/>
    </row>
    <row r="587" spans="1:9" customFormat="1" x14ac:dyDescent="0.3" s="22">
      <c r="A587" t="s" s="148">
        <v>293</v>
      </c>
      <c r="B587" s="128"/>
      <c r="C587" s="128"/>
      <c r="D587" s="128"/>
      <c r="E587" s="128"/>
      <c r="F587" s="128"/>
      <c r="G587" s="128"/>
      <c r="H587" s="143"/>
      <c r="I587" s="23"/>
    </row>
    <row r="588" spans="1:9" customFormat="1" x14ac:dyDescent="0.3" s="22">
      <c r="A588" s="28">
        <v>1</v>
      </c>
      <c r="B588" s="7">
        <v>175</v>
      </c>
      <c r="C588" t="s" s="8">
        <v>236</v>
      </c>
      <c r="D588" t="s" s="9">
        <v>237</v>
      </c>
      <c r="E588" s="111">
        <v>0.2</v>
      </c>
      <c r="F588" s="6"/>
      <c r="G588" t="str" s="112">
        <f t="shared" ref="G588:G598" si="30">E588*F588</f>
        <v>0</v>
      </c>
      <c r="H588" s="143"/>
      <c r="I588" s="23"/>
    </row>
    <row r="589" spans="1:9" customFormat="1" x14ac:dyDescent="0.3" s="22">
      <c r="A589" s="28">
        <v>2</v>
      </c>
      <c r="B589" s="7">
        <v>176</v>
      </c>
      <c r="C589" t="s" s="8">
        <v>238</v>
      </c>
      <c r="D589" t="s" s="9">
        <v>13</v>
      </c>
      <c r="E589" s="111">
        <v>10</v>
      </c>
      <c r="F589" s="6"/>
      <c r="G589" t="str" s="112">
        <f t="shared" si="30"/>
        <v>0</v>
      </c>
      <c r="H589" s="143"/>
      <c r="I589" s="23"/>
    </row>
    <row r="590" spans="1:9" customFormat="1" x14ac:dyDescent="0.3" s="22">
      <c r="A590" s="28">
        <v>3</v>
      </c>
      <c r="B590" s="7">
        <v>177</v>
      </c>
      <c r="C590" t="s" s="8">
        <v>239</v>
      </c>
      <c r="D590" t="s" s="9">
        <v>13</v>
      </c>
      <c r="E590" s="111">
        <v>10</v>
      </c>
      <c r="F590" s="6"/>
      <c r="G590" t="str" s="112">
        <f t="shared" si="30"/>
        <v>0</v>
      </c>
      <c r="H590" s="143"/>
      <c r="I590" s="23"/>
    </row>
    <row r="591" spans="1:9" customFormat="1" x14ac:dyDescent="0.3" s="22">
      <c r="A591" s="28">
        <v>4</v>
      </c>
      <c r="B591" s="7">
        <v>178</v>
      </c>
      <c r="C591" t="s" s="8">
        <v>240</v>
      </c>
      <c r="D591" t="s" s="9">
        <v>13</v>
      </c>
      <c r="E591" s="111">
        <v>10</v>
      </c>
      <c r="F591" s="6"/>
      <c r="G591" t="str" s="112">
        <f t="shared" si="30"/>
        <v>0</v>
      </c>
      <c r="H591" s="143"/>
      <c r="I591" s="23"/>
    </row>
    <row r="592" spans="1:9" customFormat="1" x14ac:dyDescent="0.3" s="22">
      <c r="A592" s="28">
        <v>5</v>
      </c>
      <c r="B592" s="7">
        <v>179</v>
      </c>
      <c r="C592" t="s" s="8">
        <v>241</v>
      </c>
      <c r="D592" t="s" s="9">
        <v>13</v>
      </c>
      <c r="E592" s="111">
        <v>10</v>
      </c>
      <c r="F592" s="6"/>
      <c r="G592" t="str" s="112">
        <f t="shared" si="30"/>
        <v>0</v>
      </c>
      <c r="H592" s="143"/>
      <c r="I592" s="23"/>
    </row>
    <row r="593" spans="1:9" customFormat="1" x14ac:dyDescent="0.3" s="22">
      <c r="A593" s="28">
        <v>6</v>
      </c>
      <c r="B593" s="7">
        <v>195</v>
      </c>
      <c r="C593" t="s" s="8">
        <v>258</v>
      </c>
      <c r="D593" t="s" s="9">
        <v>33</v>
      </c>
      <c r="E593" s="111">
        <v>12</v>
      </c>
      <c r="F593" s="6"/>
      <c r="G593" t="str" s="112">
        <f t="shared" si="30"/>
        <v>0</v>
      </c>
      <c r="H593" s="143"/>
      <c r="I593" s="23"/>
    </row>
    <row r="594" spans="1:9" customFormat="1" x14ac:dyDescent="0.3" s="22">
      <c r="A594" s="28">
        <v>7</v>
      </c>
      <c r="B594" s="7">
        <v>196</v>
      </c>
      <c r="C594" t="s" s="8">
        <v>259</v>
      </c>
      <c r="D594" t="s" s="9">
        <v>33</v>
      </c>
      <c r="E594" s="111">
        <v>12</v>
      </c>
      <c r="F594" s="6"/>
      <c r="G594" t="str" s="112">
        <f t="shared" si="30"/>
        <v>0</v>
      </c>
      <c r="H594" s="143"/>
      <c r="I594" s="23"/>
    </row>
    <row r="595" spans="1:9" customFormat="1" x14ac:dyDescent="0.3" s="22">
      <c r="A595" s="28">
        <v>8</v>
      </c>
      <c r="B595" s="7">
        <v>167</v>
      </c>
      <c r="C595" t="s" s="8">
        <v>228</v>
      </c>
      <c r="D595" t="s" s="9">
        <v>33</v>
      </c>
      <c r="E595" s="111">
        <v>3</v>
      </c>
      <c r="F595" s="6"/>
      <c r="G595" t="str" s="112">
        <f t="shared" si="30"/>
        <v>0</v>
      </c>
      <c r="H595" s="143"/>
      <c r="I595" s="23"/>
    </row>
    <row r="596" spans="1:9" ht="20.4" customFormat="1" x14ac:dyDescent="0.3" s="22">
      <c r="A596" s="28">
        <v>9</v>
      </c>
      <c r="B596" s="7">
        <v>169</v>
      </c>
      <c r="C596" t="s" s="8">
        <v>230</v>
      </c>
      <c r="D596" t="s" s="9">
        <v>177</v>
      </c>
      <c r="E596" s="111">
        <v>90</v>
      </c>
      <c r="F596" s="6"/>
      <c r="G596" t="str" s="112">
        <f t="shared" si="30"/>
        <v>0</v>
      </c>
      <c r="H596" s="143"/>
      <c r="I596" s="23"/>
    </row>
    <row r="597" spans="1:9" customFormat="1" x14ac:dyDescent="0.3" s="22">
      <c r="A597" s="28">
        <v>10</v>
      </c>
      <c r="B597" s="7">
        <v>198</v>
      </c>
      <c r="C597" t="s" s="8">
        <v>261</v>
      </c>
      <c r="D597" t="s" s="9">
        <v>13</v>
      </c>
      <c r="E597" s="111">
        <v>1.6</v>
      </c>
      <c r="F597" s="6"/>
      <c r="G597" t="str" s="112">
        <f t="shared" si="30"/>
        <v>0</v>
      </c>
      <c r="H597" s="143"/>
      <c r="I597" s="23"/>
    </row>
    <row r="598" spans="1:9" customFormat="1" x14ac:dyDescent="0.3" s="22">
      <c r="A598" s="28">
        <v>11</v>
      </c>
      <c r="B598" s="7">
        <v>171</v>
      </c>
      <c r="C598" t="s" s="8">
        <v>232</v>
      </c>
      <c r="D598" t="s" s="9">
        <v>13</v>
      </c>
      <c r="E598" s="111">
        <v>7</v>
      </c>
      <c r="F598" s="6"/>
      <c r="G598" t="str" s="112">
        <f t="shared" si="30"/>
        <v>0</v>
      </c>
      <c r="H598" s="143"/>
      <c r="I598" s="23"/>
    </row>
    <row r="599" spans="1:9" customFormat="1" x14ac:dyDescent="0.3" s="22">
      <c r="A599" t="s" s="148">
        <v>294</v>
      </c>
      <c r="B599" s="128"/>
      <c r="C599" s="128"/>
      <c r="D599" s="128"/>
      <c r="E599" s="128"/>
      <c r="F599" s="128"/>
      <c r="G599" s="128"/>
      <c r="H599" s="143"/>
      <c r="I599" s="23"/>
    </row>
    <row r="600" spans="1:9" ht="20.4" customFormat="1" x14ac:dyDescent="0.3" s="22">
      <c r="A600" s="28">
        <v>1</v>
      </c>
      <c r="B600" s="7">
        <v>165</v>
      </c>
      <c r="C600" t="s" s="8">
        <v>226</v>
      </c>
      <c r="D600" t="s" s="9">
        <v>13</v>
      </c>
      <c r="E600" s="111">
        <v>1.8</v>
      </c>
      <c r="F600" s="6"/>
      <c r="G600" t="str" s="112">
        <f>E600*F600</f>
        <v>0</v>
      </c>
      <c r="H600" s="143"/>
      <c r="I600" s="23"/>
    </row>
    <row r="601" spans="1:9" customFormat="1" x14ac:dyDescent="0.3" s="22">
      <c r="A601" s="28">
        <v>2</v>
      </c>
      <c r="B601" s="7">
        <v>23</v>
      </c>
      <c r="C601" t="s" s="8">
        <v>38</v>
      </c>
      <c r="D601" t="s" s="9">
        <v>13</v>
      </c>
      <c r="E601" s="111">
        <v>0.9</v>
      </c>
      <c r="F601" s="6"/>
      <c r="G601" t="str" s="112">
        <f>E601*F601</f>
        <v>0</v>
      </c>
      <c r="H601" s="143"/>
      <c r="I601" s="23"/>
    </row>
    <row r="602" spans="1:9" customFormat="1" x14ac:dyDescent="0.3" s="22">
      <c r="A602" s="28">
        <v>3</v>
      </c>
      <c r="B602" s="7">
        <v>180</v>
      </c>
      <c r="C602" t="s" s="8">
        <v>242</v>
      </c>
      <c r="D602" t="s" s="9">
        <v>33</v>
      </c>
      <c r="E602" s="111">
        <v>4.6</v>
      </c>
      <c r="F602" s="6"/>
      <c r="G602" t="str" s="112">
        <f>E602*F602</f>
        <v>0</v>
      </c>
      <c r="H602" s="143"/>
      <c r="I602" s="23"/>
    </row>
    <row r="603" spans="1:9" customFormat="1" x14ac:dyDescent="0.3" s="22">
      <c r="A603" s="28">
        <v>4</v>
      </c>
      <c r="B603" s="7">
        <v>168</v>
      </c>
      <c r="C603" t="s" s="8">
        <v>229</v>
      </c>
      <c r="D603" t="s" s="9">
        <v>13</v>
      </c>
      <c r="E603" s="111">
        <v>0.8</v>
      </c>
      <c r="F603" s="6"/>
      <c r="G603" t="str" s="112">
        <f>E603*F603</f>
        <v>0</v>
      </c>
      <c r="H603" s="143"/>
      <c r="I603" s="23"/>
    </row>
    <row r="604" spans="1:9" customFormat="1" x14ac:dyDescent="0.3" s="22">
      <c r="A604" s="28">
        <v>5</v>
      </c>
      <c r="B604" s="7">
        <v>181</v>
      </c>
      <c r="C604" t="s" s="8">
        <v>243</v>
      </c>
      <c r="D604" t="s" s="9">
        <v>177</v>
      </c>
      <c r="E604" s="111">
        <v>0.5</v>
      </c>
      <c r="F604" s="6"/>
      <c r="G604" t="str" s="112">
        <f>E604*F604</f>
        <v>0</v>
      </c>
      <c r="H604" s="143"/>
      <c r="I604" s="23"/>
    </row>
    <row r="605" spans="1:9" customFormat="1" x14ac:dyDescent="0.3" s="22">
      <c r="A605" t="s" s="148">
        <v>295</v>
      </c>
      <c r="B605" s="128"/>
      <c r="C605" s="128"/>
      <c r="D605" s="128"/>
      <c r="E605" s="128"/>
      <c r="F605" s="128"/>
      <c r="G605" s="128"/>
      <c r="H605" s="143"/>
      <c r="I605" s="23"/>
    </row>
    <row r="606" spans="1:9" ht="20.4" customFormat="1" x14ac:dyDescent="0.3" s="22">
      <c r="A606" s="28">
        <v>1</v>
      </c>
      <c r="B606" s="7">
        <v>114</v>
      </c>
      <c r="C606" t="s" s="8">
        <v>169</v>
      </c>
      <c r="D606" t="s" s="9">
        <v>13</v>
      </c>
      <c r="E606" s="111">
        <v>51.2</v>
      </c>
      <c r="F606" s="6"/>
      <c r="G606" t="str" s="112">
        <f t="shared" ref="G606:G614" si="31">E606*F606</f>
        <v>0</v>
      </c>
      <c r="H606" s="143"/>
      <c r="I606" s="23"/>
    </row>
    <row r="607" spans="1:9" ht="20.4" customFormat="1" x14ac:dyDescent="0.3" s="22">
      <c r="A607" s="28">
        <v>2</v>
      </c>
      <c r="B607" s="7">
        <v>182</v>
      </c>
      <c r="C607" t="s" s="8">
        <v>244</v>
      </c>
      <c r="D607" t="s" s="9">
        <v>13</v>
      </c>
      <c r="E607" s="111">
        <v>12.8</v>
      </c>
      <c r="F607" s="6"/>
      <c r="G607" t="str" s="112">
        <f t="shared" si="31"/>
        <v>0</v>
      </c>
      <c r="H607" s="143"/>
      <c r="I607" s="23"/>
    </row>
    <row r="608" spans="1:9" ht="20.4" customFormat="1" x14ac:dyDescent="0.3" s="22">
      <c r="A608" s="28">
        <v>3</v>
      </c>
      <c r="B608" s="7">
        <v>22</v>
      </c>
      <c r="C608" t="s" s="8">
        <v>37</v>
      </c>
      <c r="D608" t="s" s="9">
        <v>13</v>
      </c>
      <c r="E608" s="111">
        <v>46.7</v>
      </c>
      <c r="F608" s="6"/>
      <c r="G608" t="str" s="112">
        <f t="shared" si="31"/>
        <v>0</v>
      </c>
      <c r="H608" s="143"/>
      <c r="I608" s="23"/>
    </row>
    <row r="609" spans="1:9" customFormat="1" x14ac:dyDescent="0.3" s="22">
      <c r="A609" s="28">
        <v>4</v>
      </c>
      <c r="B609" s="7">
        <v>23</v>
      </c>
      <c r="C609" t="s" s="8">
        <v>38</v>
      </c>
      <c r="D609" t="s" s="9">
        <v>13</v>
      </c>
      <c r="E609" s="111">
        <v>11.7</v>
      </c>
      <c r="F609" s="6"/>
      <c r="G609" t="str" s="112">
        <f t="shared" si="31"/>
        <v>0</v>
      </c>
      <c r="H609" s="143"/>
      <c r="I609" s="23"/>
    </row>
    <row r="610" spans="1:9" ht="20.4" customFormat="1" x14ac:dyDescent="0.3" s="22">
      <c r="A610" s="28">
        <v>5</v>
      </c>
      <c r="B610" s="7">
        <v>183</v>
      </c>
      <c r="C610" t="s" s="8">
        <v>245</v>
      </c>
      <c r="D610" t="s" s="9">
        <v>13</v>
      </c>
      <c r="E610" s="111">
        <v>3.8</v>
      </c>
      <c r="F610" s="6"/>
      <c r="G610" t="str" s="112">
        <f t="shared" si="31"/>
        <v>0</v>
      </c>
      <c r="H610" s="143"/>
      <c r="I610" s="23"/>
    </row>
    <row r="611" spans="1:9" ht="20.4" customFormat="1" x14ac:dyDescent="0.3" s="22">
      <c r="A611" s="28">
        <v>6</v>
      </c>
      <c r="B611" s="7">
        <v>184</v>
      </c>
      <c r="C611" t="s" s="8">
        <v>246</v>
      </c>
      <c r="D611" t="s" s="9">
        <v>13</v>
      </c>
      <c r="E611" s="111">
        <v>0.8</v>
      </c>
      <c r="F611" s="6"/>
      <c r="G611" t="str" s="112">
        <f t="shared" si="31"/>
        <v>0</v>
      </c>
      <c r="H611" s="143"/>
      <c r="I611" s="23"/>
    </row>
    <row r="612" spans="1:9" ht="20.4" customFormat="1" x14ac:dyDescent="0.3" s="22">
      <c r="A612" s="28">
        <v>7</v>
      </c>
      <c r="B612" s="7">
        <v>24</v>
      </c>
      <c r="C612" t="s" s="8">
        <v>39</v>
      </c>
      <c r="D612" t="s" s="9">
        <v>13</v>
      </c>
      <c r="E612" s="111">
        <v>4.6</v>
      </c>
      <c r="F612" s="6"/>
      <c r="G612" t="str" s="112">
        <f t="shared" si="31"/>
        <v>0</v>
      </c>
      <c r="H612" s="143"/>
      <c r="I612" s="23"/>
    </row>
    <row r="613" spans="1:9" ht="20.4" customFormat="1" x14ac:dyDescent="0.3" s="22">
      <c r="A613" s="28">
        <v>8</v>
      </c>
      <c r="B613" s="7">
        <v>185</v>
      </c>
      <c r="C613" t="s" s="8">
        <v>247</v>
      </c>
      <c r="D613" t="s" s="9">
        <v>16</v>
      </c>
      <c r="E613" s="111">
        <v>15</v>
      </c>
      <c r="F613" s="6"/>
      <c r="G613" t="str" s="112">
        <f t="shared" si="31"/>
        <v>0</v>
      </c>
      <c r="H613" s="143"/>
      <c r="I613" s="23"/>
    </row>
    <row r="614" spans="1:9" customFormat="1" x14ac:dyDescent="0.3" s="22">
      <c r="A614" s="28">
        <v>9</v>
      </c>
      <c r="B614" s="7">
        <v>41</v>
      </c>
      <c r="C614" t="s" s="8">
        <v>59</v>
      </c>
      <c r="D614" t="s" s="9">
        <v>16</v>
      </c>
      <c r="E614" s="111">
        <v>15</v>
      </c>
      <c r="F614" s="6"/>
      <c r="G614" t="str" s="112">
        <f t="shared" si="31"/>
        <v>0</v>
      </c>
      <c r="H614" s="143"/>
      <c r="I614" s="23"/>
    </row>
    <row r="615" spans="1:8" ht="15.6" customFormat="1" x14ac:dyDescent="0.3" s="14">
      <c r="A615" t="s" s="141">
        <v>34</v>
      </c>
      <c r="B615" s="106">
        <v>21</v>
      </c>
      <c r="C615" t="s" s="113">
        <v>35</v>
      </c>
      <c r="D615" s="125"/>
      <c r="E615" s="129"/>
      <c r="F615" s="125"/>
      <c r="G615" s="125"/>
      <c r="H615" s="145"/>
    </row>
    <row r="616" spans="1:8" customFormat="1" x14ac:dyDescent="0.3" s="22">
      <c r="A616" t="s" s="148">
        <v>296</v>
      </c>
      <c r="B616" s="128"/>
      <c r="C616" s="128"/>
      <c r="D616" s="128"/>
      <c r="E616" s="128"/>
      <c r="F616" s="128"/>
      <c r="G616" s="128"/>
      <c r="H616" s="143"/>
    </row>
    <row r="617" spans="1:8" ht="20.4" customFormat="1" x14ac:dyDescent="0.3" s="22">
      <c r="A617" s="28">
        <v>1</v>
      </c>
      <c r="B617" s="7">
        <v>114</v>
      </c>
      <c r="C617" t="s" s="8">
        <v>169</v>
      </c>
      <c r="D617" t="s" s="9">
        <v>13</v>
      </c>
      <c r="E617" s="111">
        <v>1.9</v>
      </c>
      <c r="F617" s="6"/>
      <c r="G617" t="str" s="112">
        <f t="shared" ref="G617:G639" si="32">E617*F617</f>
        <v>0</v>
      </c>
      <c r="H617" s="143"/>
    </row>
    <row r="618" spans="1:8" customFormat="1" x14ac:dyDescent="0.3" s="22">
      <c r="A618" s="28">
        <v>2</v>
      </c>
      <c r="B618" s="7">
        <v>115</v>
      </c>
      <c r="C618" t="s" s="8">
        <v>170</v>
      </c>
      <c r="D618" t="s" s="9">
        <v>13</v>
      </c>
      <c r="E618" s="111">
        <v>0.5</v>
      </c>
      <c r="F618" s="6"/>
      <c r="G618" t="str" s="112">
        <f t="shared" si="32"/>
        <v>0</v>
      </c>
      <c r="H618" s="143"/>
    </row>
    <row r="619" spans="1:8" ht="20.4" customFormat="1" x14ac:dyDescent="0.3" s="22">
      <c r="A619" s="28">
        <v>3</v>
      </c>
      <c r="B619" s="7">
        <v>16</v>
      </c>
      <c r="C619" t="s" s="8">
        <v>25</v>
      </c>
      <c r="D619" t="s" s="9">
        <v>13</v>
      </c>
      <c r="E619" s="111">
        <v>2.28</v>
      </c>
      <c r="F619" s="6"/>
      <c r="G619" t="str" s="112">
        <f t="shared" si="32"/>
        <v>0</v>
      </c>
      <c r="H619" s="143"/>
    </row>
    <row r="620" spans="1:8" ht="20.4" customFormat="1" x14ac:dyDescent="0.3" s="22">
      <c r="A620" s="28">
        <v>4</v>
      </c>
      <c r="B620" s="7">
        <v>22</v>
      </c>
      <c r="C620" t="s" s="8">
        <v>37</v>
      </c>
      <c r="D620" t="s" s="9">
        <v>13</v>
      </c>
      <c r="E620" s="111">
        <v>2.28</v>
      </c>
      <c r="F620" s="6"/>
      <c r="G620" t="str" s="112">
        <f t="shared" si="32"/>
        <v>0</v>
      </c>
      <c r="H620" s="143"/>
    </row>
    <row r="621" spans="1:8" ht="20.4" customFormat="1" x14ac:dyDescent="0.3" s="22">
      <c r="A621" s="28">
        <v>5</v>
      </c>
      <c r="B621" s="7">
        <v>24</v>
      </c>
      <c r="C621" t="s" s="8">
        <v>39</v>
      </c>
      <c r="D621" t="s" s="9">
        <v>13</v>
      </c>
      <c r="E621" s="111">
        <v>2.4</v>
      </c>
      <c r="F621" s="6"/>
      <c r="G621" t="str" s="112">
        <f t="shared" si="32"/>
        <v>0</v>
      </c>
      <c r="H621" s="143"/>
    </row>
    <row r="622" spans="1:8" ht="20.4" customFormat="1" x14ac:dyDescent="0.3" s="22">
      <c r="A622" s="28">
        <v>6</v>
      </c>
      <c r="B622" s="7">
        <v>129</v>
      </c>
      <c r="C622" t="s" s="8">
        <v>186</v>
      </c>
      <c r="D622" t="s" s="9">
        <v>33</v>
      </c>
      <c r="E622" s="111">
        <v>7.7</v>
      </c>
      <c r="F622" s="6"/>
      <c r="G622" t="str" s="112">
        <f t="shared" si="32"/>
        <v>0</v>
      </c>
      <c r="H622" s="143"/>
    </row>
    <row r="623" spans="1:8" customFormat="1" x14ac:dyDescent="0.3" s="22">
      <c r="A623" s="28">
        <v>7</v>
      </c>
      <c r="B623" s="7">
        <v>130</v>
      </c>
      <c r="C623" t="s" s="8">
        <v>187</v>
      </c>
      <c r="D623" t="s" s="9">
        <v>33</v>
      </c>
      <c r="E623" s="111">
        <v>6</v>
      </c>
      <c r="F623" s="6"/>
      <c r="G623" t="str" s="112">
        <f t="shared" si="32"/>
        <v>0</v>
      </c>
      <c r="H623" s="143"/>
    </row>
    <row r="624" spans="1:8" customFormat="1" x14ac:dyDescent="0.3" s="22">
      <c r="A624" s="28">
        <v>8</v>
      </c>
      <c r="B624" s="7">
        <v>150</v>
      </c>
      <c r="C624" t="s" s="8">
        <v>210</v>
      </c>
      <c r="D624" t="s" s="9">
        <v>11</v>
      </c>
      <c r="E624" s="111">
        <v>0.05</v>
      </c>
      <c r="F624" s="6"/>
      <c r="G624" t="str" s="112">
        <f t="shared" si="32"/>
        <v>0</v>
      </c>
      <c r="H624" s="143"/>
    </row>
    <row r="625" spans="1:8" customFormat="1" x14ac:dyDescent="0.3" s="22">
      <c r="A625" s="28">
        <v>9</v>
      </c>
      <c r="B625" s="7">
        <v>131</v>
      </c>
      <c r="C625" t="s" s="8">
        <v>188</v>
      </c>
      <c r="D625" t="s" s="9">
        <v>33</v>
      </c>
      <c r="E625" s="111">
        <v>1</v>
      </c>
      <c r="F625" s="6"/>
      <c r="G625" t="str" s="112">
        <f t="shared" si="32"/>
        <v>0</v>
      </c>
      <c r="H625" s="143"/>
    </row>
    <row r="626" spans="1:8" customFormat="1" x14ac:dyDescent="0.3" s="22">
      <c r="A626" s="28">
        <v>10</v>
      </c>
      <c r="B626" s="7">
        <v>151</v>
      </c>
      <c r="C626" t="s" s="8">
        <v>211</v>
      </c>
      <c r="D626" t="s" s="9">
        <v>33</v>
      </c>
      <c r="E626" s="111">
        <v>1</v>
      </c>
      <c r="F626" s="6"/>
      <c r="G626" t="str" s="112">
        <f t="shared" si="32"/>
        <v>0</v>
      </c>
      <c r="H626" s="143"/>
    </row>
    <row r="627" spans="1:8" customFormat="1" x14ac:dyDescent="0.3" s="22">
      <c r="A627" s="28">
        <v>11</v>
      </c>
      <c r="B627" s="7">
        <v>133</v>
      </c>
      <c r="C627" t="s" s="8">
        <v>190</v>
      </c>
      <c r="D627" t="s" s="9">
        <v>33</v>
      </c>
      <c r="E627" s="111">
        <v>1</v>
      </c>
      <c r="F627" s="6"/>
      <c r="G627" t="str" s="112">
        <f t="shared" si="32"/>
        <v>0</v>
      </c>
      <c r="H627" s="143"/>
    </row>
    <row r="628" spans="1:8" customFormat="1" x14ac:dyDescent="0.3" s="22">
      <c r="A628" s="28">
        <v>12</v>
      </c>
      <c r="B628" s="7">
        <v>134</v>
      </c>
      <c r="C628" t="s" s="8">
        <v>191</v>
      </c>
      <c r="D628" t="s" s="9">
        <v>61</v>
      </c>
      <c r="E628" s="121">
        <v>4</v>
      </c>
      <c r="F628" s="6"/>
      <c r="G628" t="str" s="112">
        <f t="shared" si="32"/>
        <v>0</v>
      </c>
      <c r="H628" s="143"/>
    </row>
    <row r="629" spans="1:8" customFormat="1" x14ac:dyDescent="0.3" s="22">
      <c r="A629" s="28">
        <v>13</v>
      </c>
      <c r="B629" s="7">
        <v>145</v>
      </c>
      <c r="C629" t="s" s="8">
        <v>205</v>
      </c>
      <c r="D629" t="s" s="9">
        <v>177</v>
      </c>
      <c r="E629" s="111">
        <v>3</v>
      </c>
      <c r="F629" s="6"/>
      <c r="G629" t="str" s="112">
        <f t="shared" si="32"/>
        <v>0</v>
      </c>
      <c r="H629" s="143"/>
    </row>
    <row r="630" spans="1:8" customFormat="1" x14ac:dyDescent="0.3" s="22">
      <c r="A630" s="28">
        <v>14</v>
      </c>
      <c r="B630" s="7">
        <v>146</v>
      </c>
      <c r="C630" t="s" s="8">
        <v>206</v>
      </c>
      <c r="D630" t="s" s="9">
        <v>33</v>
      </c>
      <c r="E630" s="111">
        <v>0.7</v>
      </c>
      <c r="F630" s="6"/>
      <c r="G630" t="str" s="112">
        <f t="shared" si="32"/>
        <v>0</v>
      </c>
      <c r="H630" s="143"/>
    </row>
    <row r="631" spans="1:8" customFormat="1" x14ac:dyDescent="0.3" s="22">
      <c r="A631" s="28">
        <v>15</v>
      </c>
      <c r="B631" s="7">
        <v>152</v>
      </c>
      <c r="C631" t="s" s="8">
        <v>212</v>
      </c>
      <c r="D631" t="s" s="9">
        <v>16</v>
      </c>
      <c r="E631" s="111">
        <v>0.8</v>
      </c>
      <c r="F631" s="6"/>
      <c r="G631" t="str" s="112">
        <f t="shared" si="32"/>
        <v>0</v>
      </c>
      <c r="H631" s="143"/>
    </row>
    <row r="632" spans="1:8" customFormat="1" x14ac:dyDescent="0.3" s="22">
      <c r="A632" s="28">
        <v>16</v>
      </c>
      <c r="B632" s="7">
        <v>153</v>
      </c>
      <c r="C632" t="s" s="8">
        <v>213</v>
      </c>
      <c r="D632" t="s" s="9">
        <v>61</v>
      </c>
      <c r="E632" s="121">
        <v>1</v>
      </c>
      <c r="F632" s="6"/>
      <c r="G632" t="str" s="112">
        <f t="shared" si="32"/>
        <v>0</v>
      </c>
      <c r="H632" s="143"/>
    </row>
    <row r="633" spans="1:8" customFormat="1" x14ac:dyDescent="0.3" s="22">
      <c r="A633" s="28">
        <v>17</v>
      </c>
      <c r="B633" s="7">
        <v>66</v>
      </c>
      <c r="C633" t="s" s="8">
        <v>85</v>
      </c>
      <c r="D633" t="s" s="9">
        <v>61</v>
      </c>
      <c r="E633" s="121">
        <v>1</v>
      </c>
      <c r="F633" s="6"/>
      <c r="G633" t="str" s="112">
        <f t="shared" si="32"/>
        <v>0</v>
      </c>
      <c r="H633" s="143"/>
    </row>
    <row r="634" spans="1:8" customFormat="1" x14ac:dyDescent="0.3" s="22">
      <c r="A634" s="28">
        <v>18</v>
      </c>
      <c r="B634" s="7">
        <v>147</v>
      </c>
      <c r="C634" t="s" s="8">
        <v>207</v>
      </c>
      <c r="D634" t="s" s="9">
        <v>61</v>
      </c>
      <c r="E634" s="121">
        <v>2</v>
      </c>
      <c r="F634" s="6"/>
      <c r="G634" t="str" s="112">
        <f t="shared" si="32"/>
        <v>0</v>
      </c>
      <c r="H634" s="143"/>
    </row>
    <row r="635" spans="1:8" customFormat="1" x14ac:dyDescent="0.3" s="22">
      <c r="A635" s="28">
        <v>19</v>
      </c>
      <c r="B635" s="7">
        <v>50</v>
      </c>
      <c r="C635" t="s" s="8">
        <v>69</v>
      </c>
      <c r="D635" t="s" s="9">
        <v>61</v>
      </c>
      <c r="E635" s="121">
        <v>2</v>
      </c>
      <c r="F635" s="6"/>
      <c r="G635" t="str" s="112">
        <f t="shared" si="32"/>
        <v>0</v>
      </c>
      <c r="H635" s="143"/>
    </row>
    <row r="636" spans="1:8" customFormat="1" x14ac:dyDescent="0.3" s="22">
      <c r="A636" s="28">
        <v>20</v>
      </c>
      <c r="B636" s="7">
        <v>55</v>
      </c>
      <c r="C636" t="s" s="8">
        <v>74</v>
      </c>
      <c r="D636" t="s" s="9">
        <v>61</v>
      </c>
      <c r="E636" s="121">
        <v>2</v>
      </c>
      <c r="F636" s="6"/>
      <c r="G636" t="str" s="112">
        <f t="shared" si="32"/>
        <v>0</v>
      </c>
      <c r="H636" s="143"/>
    </row>
    <row r="637" spans="1:8" customFormat="1" x14ac:dyDescent="0.3" s="22">
      <c r="A637" s="28">
        <v>21</v>
      </c>
      <c r="B637" s="7">
        <v>62</v>
      </c>
      <c r="C637" t="s" s="8">
        <v>81</v>
      </c>
      <c r="D637" t="s" s="9">
        <v>61</v>
      </c>
      <c r="E637" s="121">
        <v>1</v>
      </c>
      <c r="F637" s="6"/>
      <c r="G637" t="str" s="112">
        <f t="shared" si="32"/>
        <v>0</v>
      </c>
      <c r="H637" s="143"/>
    </row>
    <row r="638" spans="1:8" ht="20.4" customFormat="1" x14ac:dyDescent="0.3" s="22">
      <c r="A638" s="28">
        <v>22</v>
      </c>
      <c r="B638" s="7">
        <v>148</v>
      </c>
      <c r="C638" t="s" s="8">
        <v>208</v>
      </c>
      <c r="D638" t="s" s="9">
        <v>61</v>
      </c>
      <c r="E638" s="121">
        <v>1</v>
      </c>
      <c r="F638" s="6"/>
      <c r="G638" t="str" s="112">
        <f t="shared" si="32"/>
        <v>0</v>
      </c>
      <c r="H638" s="143"/>
    </row>
    <row r="639" spans="1:8" customFormat="1" x14ac:dyDescent="0.3" s="22">
      <c r="A639" s="28">
        <v>23</v>
      </c>
      <c r="B639" s="7">
        <v>149</v>
      </c>
      <c r="C639" t="s" s="8">
        <v>209</v>
      </c>
      <c r="D639" t="s" s="9">
        <v>16</v>
      </c>
      <c r="E639" s="111">
        <v>2</v>
      </c>
      <c r="F639" s="6"/>
      <c r="G639" t="str" s="112">
        <f t="shared" si="32"/>
        <v>0</v>
      </c>
      <c r="H639" s="143"/>
    </row>
    <row r="640" spans="1:8" customFormat="1" x14ac:dyDescent="0.3" s="22">
      <c r="A640" t="s" s="148">
        <v>289</v>
      </c>
      <c r="B640" s="128"/>
      <c r="C640" s="128"/>
      <c r="D640" s="128"/>
      <c r="E640" s="128"/>
      <c r="F640" s="128"/>
      <c r="G640" s="128"/>
      <c r="H640" s="143"/>
    </row>
    <row r="641" spans="1:8" ht="20.4" customFormat="1" x14ac:dyDescent="0.3" s="22">
      <c r="A641" s="28">
        <v>1</v>
      </c>
      <c r="B641" s="7">
        <v>114</v>
      </c>
      <c r="C641" t="s" s="8">
        <v>169</v>
      </c>
      <c r="D641" t="s" s="9">
        <v>13</v>
      </c>
      <c r="E641" s="111">
        <v>9.1</v>
      </c>
      <c r="F641" s="6"/>
      <c r="G641" t="str" s="112">
        <f t="shared" ref="G641:G670" si="33">E641*F641</f>
        <v>0</v>
      </c>
      <c r="H641" s="143"/>
    </row>
    <row r="642" spans="1:8" customFormat="1" x14ac:dyDescent="0.3" s="22">
      <c r="A642" s="28">
        <v>2</v>
      </c>
      <c r="B642" s="7">
        <v>115</v>
      </c>
      <c r="C642" t="s" s="8">
        <v>170</v>
      </c>
      <c r="D642" t="s" s="9">
        <v>13</v>
      </c>
      <c r="E642" s="111">
        <v>2.3</v>
      </c>
      <c r="F642" s="6"/>
      <c r="G642" t="str" s="112">
        <f t="shared" si="33"/>
        <v>0</v>
      </c>
      <c r="H642" s="143"/>
    </row>
    <row r="643" spans="1:8" customFormat="1" x14ac:dyDescent="0.3" s="22">
      <c r="A643" s="28">
        <v>3</v>
      </c>
      <c r="B643" s="7">
        <v>116</v>
      </c>
      <c r="C643" t="s" s="8">
        <v>171</v>
      </c>
      <c r="D643" t="s" s="9">
        <v>13</v>
      </c>
      <c r="E643" s="111">
        <v>3.8</v>
      </c>
      <c r="F643" s="6"/>
      <c r="G643" t="str" s="112">
        <f t="shared" si="33"/>
        <v>0</v>
      </c>
      <c r="H643" s="143"/>
    </row>
    <row r="644" spans="1:8" ht="20.4" customFormat="1" x14ac:dyDescent="0.3" s="22">
      <c r="A644" s="28">
        <v>4</v>
      </c>
      <c r="B644" s="7">
        <v>22</v>
      </c>
      <c r="C644" t="s" s="8">
        <v>37</v>
      </c>
      <c r="D644" t="s" s="9">
        <v>13</v>
      </c>
      <c r="E644" s="111">
        <v>9.9</v>
      </c>
      <c r="F644" s="6"/>
      <c r="G644" t="str" s="112">
        <f t="shared" si="33"/>
        <v>0</v>
      </c>
      <c r="H644" s="143"/>
    </row>
    <row r="645" spans="1:8" customFormat="1" x14ac:dyDescent="0.3" s="22">
      <c r="A645" s="28">
        <v>5</v>
      </c>
      <c r="B645" s="7">
        <v>23</v>
      </c>
      <c r="C645" t="s" s="8">
        <v>38</v>
      </c>
      <c r="D645" t="s" s="9">
        <v>13</v>
      </c>
      <c r="E645" s="111">
        <v>1.5</v>
      </c>
      <c r="F645" s="6"/>
      <c r="G645" t="str" s="112">
        <f t="shared" si="33"/>
        <v>0</v>
      </c>
      <c r="H645" s="143"/>
    </row>
    <row r="646" spans="1:8" ht="20.4" customFormat="1" x14ac:dyDescent="0.3" s="22">
      <c r="A646" s="28">
        <v>6</v>
      </c>
      <c r="B646" s="7">
        <v>24</v>
      </c>
      <c r="C646" t="s" s="8">
        <v>39</v>
      </c>
      <c r="D646" t="s" s="9">
        <v>13</v>
      </c>
      <c r="E646" s="111">
        <v>7.6</v>
      </c>
      <c r="F646" s="6"/>
      <c r="G646" t="str" s="112">
        <f t="shared" si="33"/>
        <v>0</v>
      </c>
      <c r="H646" s="143"/>
    </row>
    <row r="647" spans="1:8" customFormat="1" x14ac:dyDescent="0.3" s="22">
      <c r="A647" s="28">
        <v>7</v>
      </c>
      <c r="B647" s="7">
        <v>117</v>
      </c>
      <c r="C647" t="s" s="8">
        <v>172</v>
      </c>
      <c r="D647" t="s" s="9">
        <v>33</v>
      </c>
      <c r="E647" s="111">
        <v>0.5</v>
      </c>
      <c r="F647" s="6"/>
      <c r="G647" t="str" s="112">
        <f t="shared" si="33"/>
        <v>0</v>
      </c>
      <c r="H647" s="143"/>
    </row>
    <row r="648" spans="1:8" customFormat="1" x14ac:dyDescent="0.3" s="22">
      <c r="A648" s="28">
        <v>8</v>
      </c>
      <c r="B648" s="7">
        <v>118</v>
      </c>
      <c r="C648" t="s" s="8">
        <v>173</v>
      </c>
      <c r="D648" t="s" s="9">
        <v>33</v>
      </c>
      <c r="E648" s="111">
        <v>0.9</v>
      </c>
      <c r="F648" s="6"/>
      <c r="G648" t="str" s="112">
        <f t="shared" si="33"/>
        <v>0</v>
      </c>
      <c r="H648" s="143"/>
    </row>
    <row r="649" spans="1:8" customFormat="1" x14ac:dyDescent="0.3" s="22">
      <c r="A649" s="28">
        <v>9</v>
      </c>
      <c r="B649" s="7">
        <v>120</v>
      </c>
      <c r="C649" t="s" s="8">
        <v>175</v>
      </c>
      <c r="D649" t="s" s="9">
        <v>33</v>
      </c>
      <c r="E649" s="111">
        <v>0.54</v>
      </c>
      <c r="F649" s="6"/>
      <c r="G649" t="str" s="112">
        <f t="shared" si="33"/>
        <v>0</v>
      </c>
      <c r="H649" s="143"/>
    </row>
    <row r="650" spans="1:8" ht="20.4" customFormat="1" x14ac:dyDescent="0.3" s="22">
      <c r="A650" s="28">
        <v>10</v>
      </c>
      <c r="B650" s="7">
        <v>122</v>
      </c>
      <c r="C650" t="s" s="8">
        <v>178</v>
      </c>
      <c r="D650" t="s" s="9">
        <v>177</v>
      </c>
      <c r="E650" s="111">
        <v>23.96</v>
      </c>
      <c r="F650" s="6"/>
      <c r="G650" t="str" s="112">
        <f t="shared" si="33"/>
        <v>0</v>
      </c>
      <c r="H650" s="143"/>
    </row>
    <row r="651" spans="1:8" customFormat="1" x14ac:dyDescent="0.3" s="22">
      <c r="A651" s="28">
        <v>11</v>
      </c>
      <c r="B651" s="7">
        <v>123</v>
      </c>
      <c r="C651" t="s" s="8">
        <v>179</v>
      </c>
      <c r="D651" t="s" s="9">
        <v>13</v>
      </c>
      <c r="E651" s="111">
        <v>0.2</v>
      </c>
      <c r="F651" s="6"/>
      <c r="G651" t="str" s="112">
        <f t="shared" si="33"/>
        <v>0</v>
      </c>
      <c r="H651" s="143"/>
    </row>
    <row r="652" spans="1:8" customFormat="1" x14ac:dyDescent="0.3" s="22">
      <c r="A652" s="28">
        <v>12</v>
      </c>
      <c r="B652" s="7">
        <v>124</v>
      </c>
      <c r="C652" t="s" s="8">
        <v>180</v>
      </c>
      <c r="D652" t="s" s="9">
        <v>13</v>
      </c>
      <c r="E652" s="111">
        <v>0.41</v>
      </c>
      <c r="F652" s="6"/>
      <c r="G652" t="str" s="112">
        <f t="shared" si="33"/>
        <v>0</v>
      </c>
      <c r="H652" s="143"/>
    </row>
    <row r="653" spans="1:8" customFormat="1" x14ac:dyDescent="0.3" s="22">
      <c r="A653" s="28">
        <v>13</v>
      </c>
      <c r="B653" s="7">
        <v>126</v>
      </c>
      <c r="C653" t="s" s="8">
        <v>182</v>
      </c>
      <c r="D653" t="s" s="9">
        <v>13</v>
      </c>
      <c r="E653" s="111">
        <v>0.09</v>
      </c>
      <c r="F653" s="6"/>
      <c r="G653" t="str" s="112">
        <f t="shared" si="33"/>
        <v>0</v>
      </c>
      <c r="H653" s="143"/>
    </row>
    <row r="654" spans="1:8" customFormat="1" x14ac:dyDescent="0.3" s="22">
      <c r="A654" s="28">
        <v>14</v>
      </c>
      <c r="B654" s="7">
        <v>143</v>
      </c>
      <c r="C654" t="s" s="8">
        <v>203</v>
      </c>
      <c r="D654" t="s" s="9">
        <v>13</v>
      </c>
      <c r="E654" s="111">
        <v>0.7</v>
      </c>
      <c r="F654" s="6"/>
      <c r="G654" t="str" s="112">
        <f t="shared" si="33"/>
        <v>0</v>
      </c>
      <c r="H654" s="143"/>
    </row>
    <row r="655" spans="1:8" customFormat="1" x14ac:dyDescent="0.3" s="22">
      <c r="A655" s="28">
        <v>15</v>
      </c>
      <c r="B655" s="7">
        <v>128</v>
      </c>
      <c r="C655" t="s" s="8">
        <v>184</v>
      </c>
      <c r="D655" t="s" s="9">
        <v>11</v>
      </c>
      <c r="E655" s="111">
        <v>0.25</v>
      </c>
      <c r="F655" s="6"/>
      <c r="G655" t="str" s="112">
        <f t="shared" si="33"/>
        <v>0</v>
      </c>
      <c r="H655" s="143"/>
    </row>
    <row r="656" spans="1:8" ht="20.4" customFormat="1" x14ac:dyDescent="0.3" s="22">
      <c r="A656" s="28">
        <v>16</v>
      </c>
      <c r="B656" s="7">
        <v>129</v>
      </c>
      <c r="C656" t="s" s="8">
        <v>186</v>
      </c>
      <c r="D656" t="s" s="9">
        <v>33</v>
      </c>
      <c r="E656" s="111">
        <v>9</v>
      </c>
      <c r="F656" s="6"/>
      <c r="G656" t="str" s="112">
        <f t="shared" si="33"/>
        <v>0</v>
      </c>
      <c r="H656" s="143"/>
    </row>
    <row r="657" spans="1:8" customFormat="1" x14ac:dyDescent="0.3" s="22">
      <c r="A657" s="28">
        <v>17</v>
      </c>
      <c r="B657" s="7">
        <v>130</v>
      </c>
      <c r="C657" t="s" s="8">
        <v>187</v>
      </c>
      <c r="D657" t="s" s="9">
        <v>33</v>
      </c>
      <c r="E657" s="111">
        <v>7.5</v>
      </c>
      <c r="F657" s="6"/>
      <c r="G657" t="str" s="112">
        <f t="shared" si="33"/>
        <v>0</v>
      </c>
      <c r="H657" s="143"/>
    </row>
    <row r="658" spans="1:8" customFormat="1" x14ac:dyDescent="0.3" s="22">
      <c r="A658" s="28">
        <v>18</v>
      </c>
      <c r="B658" s="7">
        <v>144</v>
      </c>
      <c r="C658" t="s" s="8">
        <v>204</v>
      </c>
      <c r="D658" t="s" s="9">
        <v>61</v>
      </c>
      <c r="E658" s="121">
        <v>4</v>
      </c>
      <c r="F658" s="6"/>
      <c r="G658" t="str" s="112">
        <f t="shared" si="33"/>
        <v>0</v>
      </c>
      <c r="H658" s="143"/>
    </row>
    <row r="659" spans="1:8" customFormat="1" x14ac:dyDescent="0.3" s="22">
      <c r="A659" s="28">
        <v>19</v>
      </c>
      <c r="B659" s="7">
        <v>131</v>
      </c>
      <c r="C659" t="s" s="8">
        <v>188</v>
      </c>
      <c r="D659" t="s" s="9">
        <v>202</v>
      </c>
      <c r="E659" s="111">
        <v>1</v>
      </c>
      <c r="F659" s="6"/>
      <c r="G659" t="str" s="112">
        <f t="shared" si="33"/>
        <v>0</v>
      </c>
      <c r="H659" s="143"/>
    </row>
    <row r="660" spans="1:8" customFormat="1" x14ac:dyDescent="0.3" s="22">
      <c r="A660" s="28">
        <v>20</v>
      </c>
      <c r="B660" s="7">
        <v>134</v>
      </c>
      <c r="C660" t="s" s="8">
        <v>191</v>
      </c>
      <c r="D660" t="s" s="9">
        <v>61</v>
      </c>
      <c r="E660" s="121">
        <v>6</v>
      </c>
      <c r="F660" s="6"/>
      <c r="G660" t="str" s="112">
        <f t="shared" si="33"/>
        <v>0</v>
      </c>
      <c r="H660" s="143"/>
    </row>
    <row r="661" spans="1:8" customFormat="1" x14ac:dyDescent="0.3" s="22">
      <c r="A661" s="28">
        <v>21</v>
      </c>
      <c r="B661" s="7">
        <v>154</v>
      </c>
      <c r="C661" t="s" s="8">
        <v>214</v>
      </c>
      <c r="D661" t="s" s="9">
        <v>61</v>
      </c>
      <c r="E661" s="121">
        <v>1</v>
      </c>
      <c r="F661" s="6"/>
      <c r="G661" t="str" s="112">
        <f t="shared" si="33"/>
        <v>0</v>
      </c>
      <c r="H661" s="143"/>
    </row>
    <row r="662" spans="1:8" customFormat="1" x14ac:dyDescent="0.3" s="22">
      <c r="A662" s="28">
        <v>22</v>
      </c>
      <c r="B662" s="7">
        <v>155</v>
      </c>
      <c r="C662" t="s" s="8">
        <v>215</v>
      </c>
      <c r="D662" t="s" s="9">
        <v>61</v>
      </c>
      <c r="E662" s="121">
        <v>1</v>
      </c>
      <c r="F662" s="6"/>
      <c r="G662" t="str" s="112">
        <f t="shared" si="33"/>
        <v>0</v>
      </c>
      <c r="H662" s="143"/>
    </row>
    <row r="663" spans="1:8" customFormat="1" x14ac:dyDescent="0.3" s="22">
      <c r="A663" s="28">
        <v>23</v>
      </c>
      <c r="B663" s="7">
        <v>156</v>
      </c>
      <c r="C663" t="s" s="8">
        <v>216</v>
      </c>
      <c r="D663" t="s" s="9">
        <v>16</v>
      </c>
      <c r="E663" s="111">
        <v>2</v>
      </c>
      <c r="F663" s="6"/>
      <c r="G663" t="str" s="112">
        <f t="shared" si="33"/>
        <v>0</v>
      </c>
      <c r="H663" s="143"/>
    </row>
    <row r="664" spans="1:8" customFormat="1" x14ac:dyDescent="0.3" s="22">
      <c r="A664" s="28">
        <v>24</v>
      </c>
      <c r="B664" s="7">
        <v>63</v>
      </c>
      <c r="C664" t="s" s="8">
        <v>82</v>
      </c>
      <c r="D664" t="s" s="9">
        <v>61</v>
      </c>
      <c r="E664" s="121">
        <v>1</v>
      </c>
      <c r="F664" s="6"/>
      <c r="G664" t="str" s="112">
        <f t="shared" si="33"/>
        <v>0</v>
      </c>
      <c r="H664" s="143"/>
    </row>
    <row r="665" spans="1:8" customFormat="1" x14ac:dyDescent="0.3" s="22">
      <c r="A665" s="28">
        <v>25</v>
      </c>
      <c r="B665" s="7">
        <v>157</v>
      </c>
      <c r="C665" t="s" s="8">
        <v>217</v>
      </c>
      <c r="D665" t="s" s="9">
        <v>61</v>
      </c>
      <c r="E665" s="121">
        <v>2</v>
      </c>
      <c r="F665" s="6"/>
      <c r="G665" t="str" s="112">
        <f t="shared" si="33"/>
        <v>0</v>
      </c>
      <c r="H665" s="143"/>
    </row>
    <row r="666" spans="1:8" customFormat="1" x14ac:dyDescent="0.3" s="22">
      <c r="A666" s="28">
        <v>26</v>
      </c>
      <c r="B666" s="7">
        <v>158</v>
      </c>
      <c r="C666" t="s" s="8">
        <v>218</v>
      </c>
      <c r="D666" t="s" s="9">
        <v>61</v>
      </c>
      <c r="E666" s="121">
        <v>2</v>
      </c>
      <c r="F666" s="6"/>
      <c r="G666" t="str" s="112">
        <f t="shared" si="33"/>
        <v>0</v>
      </c>
      <c r="H666" s="143"/>
    </row>
    <row r="667" spans="1:8" customFormat="1" x14ac:dyDescent="0.3" s="22">
      <c r="A667" s="28">
        <v>27</v>
      </c>
      <c r="B667" s="7">
        <v>159</v>
      </c>
      <c r="C667" t="s" s="8">
        <v>219</v>
      </c>
      <c r="D667" t="s" s="9">
        <v>61</v>
      </c>
      <c r="E667" s="121">
        <v>1</v>
      </c>
      <c r="F667" s="6"/>
      <c r="G667" t="str" s="112">
        <f t="shared" si="33"/>
        <v>0</v>
      </c>
      <c r="H667" s="143"/>
    </row>
    <row r="668" spans="1:8" customFormat="1" x14ac:dyDescent="0.3" s="22">
      <c r="A668" s="28">
        <v>28</v>
      </c>
      <c r="B668" s="7">
        <v>160</v>
      </c>
      <c r="C668" t="s" s="8">
        <v>220</v>
      </c>
      <c r="D668" t="s" s="9">
        <v>61</v>
      </c>
      <c r="E668" s="121">
        <v>1</v>
      </c>
      <c r="F668" s="6"/>
      <c r="G668" t="str" s="112">
        <f t="shared" si="33"/>
        <v>0</v>
      </c>
      <c r="H668" s="143"/>
    </row>
    <row r="669" spans="1:8" customFormat="1" x14ac:dyDescent="0.3" s="22">
      <c r="A669" s="28">
        <v>29</v>
      </c>
      <c r="B669" s="7">
        <v>141</v>
      </c>
      <c r="C669" t="s" s="8">
        <v>199</v>
      </c>
      <c r="D669" t="s" s="9">
        <v>61</v>
      </c>
      <c r="E669" s="121">
        <v>2</v>
      </c>
      <c r="F669" s="6"/>
      <c r="G669" t="str" s="112">
        <f t="shared" si="33"/>
        <v>0</v>
      </c>
      <c r="H669" s="143"/>
    </row>
    <row r="670" spans="1:8" customFormat="1" x14ac:dyDescent="0.3" s="22">
      <c r="A670" s="28">
        <v>30</v>
      </c>
      <c r="B670" s="7">
        <v>161</v>
      </c>
      <c r="C670" t="s" s="8">
        <v>221</v>
      </c>
      <c r="D670" t="s" s="9">
        <v>16</v>
      </c>
      <c r="E670" s="111">
        <v>1</v>
      </c>
      <c r="F670" s="6"/>
      <c r="G670" t="str" s="112">
        <f t="shared" si="33"/>
        <v>0</v>
      </c>
      <c r="H670" s="143"/>
    </row>
    <row r="671" spans="1:8" customFormat="1" x14ac:dyDescent="0.3" s="22">
      <c r="A671" t="s" s="148">
        <v>297</v>
      </c>
      <c r="B671" s="128"/>
      <c r="C671" s="128"/>
      <c r="D671" s="128"/>
      <c r="E671" s="128"/>
      <c r="F671" s="128"/>
      <c r="G671" s="128"/>
      <c r="H671" s="143"/>
    </row>
    <row r="672" spans="1:8" customFormat="1" x14ac:dyDescent="0.3" s="22">
      <c r="A672" s="28">
        <v>1</v>
      </c>
      <c r="B672" s="7">
        <v>175</v>
      </c>
      <c r="C672" t="s" s="8">
        <v>236</v>
      </c>
      <c r="D672" t="s" s="9">
        <v>237</v>
      </c>
      <c r="E672" s="111">
        <v>0.2</v>
      </c>
      <c r="F672" s="6"/>
      <c r="G672" t="str" s="112">
        <f t="shared" ref="G672:G683" si="34">E672*F672</f>
        <v>0</v>
      </c>
      <c r="H672" s="143"/>
    </row>
    <row r="673" spans="1:8" customFormat="1" x14ac:dyDescent="0.3" s="22">
      <c r="A673" s="28">
        <v>2</v>
      </c>
      <c r="B673" s="7">
        <v>176</v>
      </c>
      <c r="C673" t="s" s="8">
        <v>238</v>
      </c>
      <c r="D673" t="s" s="9">
        <v>13</v>
      </c>
      <c r="E673" s="111">
        <v>10</v>
      </c>
      <c r="F673" s="6"/>
      <c r="G673" t="str" s="112">
        <f t="shared" si="34"/>
        <v>0</v>
      </c>
      <c r="H673" s="143"/>
    </row>
    <row r="674" spans="1:8" customFormat="1" x14ac:dyDescent="0.3" s="22">
      <c r="A674" s="28">
        <v>3</v>
      </c>
      <c r="B674" s="7">
        <v>177</v>
      </c>
      <c r="C674" t="s" s="8">
        <v>239</v>
      </c>
      <c r="D674" t="s" s="9">
        <v>13</v>
      </c>
      <c r="E674" s="111">
        <v>10</v>
      </c>
      <c r="F674" s="6"/>
      <c r="G674" t="str" s="112">
        <f t="shared" si="34"/>
        <v>0</v>
      </c>
      <c r="H674" s="143"/>
    </row>
    <row r="675" spans="1:8" customFormat="1" x14ac:dyDescent="0.3" s="22">
      <c r="A675" s="28">
        <v>4</v>
      </c>
      <c r="B675" s="7">
        <v>178</v>
      </c>
      <c r="C675" t="s" s="8">
        <v>240</v>
      </c>
      <c r="D675" t="s" s="9">
        <v>13</v>
      </c>
      <c r="E675" s="111">
        <v>10</v>
      </c>
      <c r="F675" s="6"/>
      <c r="G675" t="str" s="112">
        <f t="shared" si="34"/>
        <v>0</v>
      </c>
      <c r="H675" s="143"/>
    </row>
    <row r="676" spans="1:8" customFormat="1" x14ac:dyDescent="0.3" s="22">
      <c r="A676" s="28">
        <v>5</v>
      </c>
      <c r="B676" s="7">
        <v>179</v>
      </c>
      <c r="C676" t="s" s="8">
        <v>241</v>
      </c>
      <c r="D676" t="s" s="9">
        <v>13</v>
      </c>
      <c r="E676" s="111">
        <v>97.1</v>
      </c>
      <c r="F676" s="6"/>
      <c r="G676" t="str" s="112">
        <f t="shared" si="34"/>
        <v>0</v>
      </c>
      <c r="H676" s="143"/>
    </row>
    <row r="677" spans="1:8" customFormat="1" x14ac:dyDescent="0.3" s="22">
      <c r="A677" s="28">
        <v>6</v>
      </c>
      <c r="B677" s="7">
        <v>23</v>
      </c>
      <c r="C677" t="s" s="8">
        <v>38</v>
      </c>
      <c r="D677" t="s" s="9">
        <v>13</v>
      </c>
      <c r="E677" s="111">
        <v>15.9</v>
      </c>
      <c r="F677" s="6"/>
      <c r="G677" t="str" s="112">
        <f t="shared" si="34"/>
        <v>0</v>
      </c>
      <c r="H677" s="143"/>
    </row>
    <row r="678" spans="1:8" customFormat="1" x14ac:dyDescent="0.3" s="22">
      <c r="A678" s="28">
        <v>7</v>
      </c>
      <c r="B678" s="7">
        <v>167</v>
      </c>
      <c r="C678" t="s" s="8">
        <v>228</v>
      </c>
      <c r="D678" t="s" s="9">
        <v>33</v>
      </c>
      <c r="E678" s="111">
        <v>43.7</v>
      </c>
      <c r="F678" s="6"/>
      <c r="G678" t="str" s="112">
        <f t="shared" si="34"/>
        <v>0</v>
      </c>
      <c r="H678" s="143"/>
    </row>
    <row r="679" spans="1:8" customFormat="1" x14ac:dyDescent="0.3" s="22">
      <c r="A679" s="28">
        <v>8</v>
      </c>
      <c r="B679" s="7">
        <v>168</v>
      </c>
      <c r="C679" t="s" s="8">
        <v>229</v>
      </c>
      <c r="D679" t="s" s="9">
        <v>13</v>
      </c>
      <c r="E679" s="111">
        <v>24</v>
      </c>
      <c r="F679" s="6"/>
      <c r="G679" t="str" s="112">
        <f t="shared" si="34"/>
        <v>0</v>
      </c>
      <c r="H679" s="143"/>
    </row>
    <row r="680" spans="1:8" ht="20.4" customFormat="1" x14ac:dyDescent="0.3" s="22">
      <c r="A680" s="28">
        <v>9</v>
      </c>
      <c r="B680" s="7">
        <v>169</v>
      </c>
      <c r="C680" t="s" s="8">
        <v>230</v>
      </c>
      <c r="D680" t="s" s="9">
        <v>177</v>
      </c>
      <c r="E680" s="111">
        <v>533</v>
      </c>
      <c r="F680" s="6"/>
      <c r="G680" t="str" s="112">
        <f t="shared" si="34"/>
        <v>0</v>
      </c>
      <c r="H680" s="143"/>
    </row>
    <row r="681" spans="1:8" customFormat="1" x14ac:dyDescent="0.3" s="22">
      <c r="A681" s="28">
        <v>10</v>
      </c>
      <c r="B681" s="7">
        <v>170</v>
      </c>
      <c r="C681" t="s" s="8">
        <v>231</v>
      </c>
      <c r="D681" t="s" s="9">
        <v>13</v>
      </c>
      <c r="E681" s="111">
        <v>5.8</v>
      </c>
      <c r="F681" s="6"/>
      <c r="G681" t="str" s="112">
        <f t="shared" si="34"/>
        <v>0</v>
      </c>
      <c r="H681" s="143"/>
    </row>
    <row r="682" spans="1:8" customFormat="1" x14ac:dyDescent="0.3" s="22">
      <c r="A682" s="28">
        <v>11</v>
      </c>
      <c r="B682" s="7">
        <v>171</v>
      </c>
      <c r="C682" t="s" s="8">
        <v>232</v>
      </c>
      <c r="D682" t="s" s="9">
        <v>13</v>
      </c>
      <c r="E682" s="111">
        <v>30.8</v>
      </c>
      <c r="F682" s="6"/>
      <c r="G682" t="str" s="112">
        <f t="shared" si="34"/>
        <v>0</v>
      </c>
      <c r="H682" s="143"/>
    </row>
    <row r="683" spans="1:8" customFormat="1" x14ac:dyDescent="0.3" s="22">
      <c r="A683" s="28">
        <v>12</v>
      </c>
      <c r="B683" s="7">
        <v>172</v>
      </c>
      <c r="C683" t="s" s="8">
        <v>233</v>
      </c>
      <c r="D683" t="s" s="9">
        <v>33</v>
      </c>
      <c r="E683" s="111">
        <v>81</v>
      </c>
      <c r="F683" s="6"/>
      <c r="G683" t="str" s="112">
        <f t="shared" si="34"/>
        <v>0</v>
      </c>
      <c r="H683" s="143"/>
    </row>
    <row r="684" spans="1:8" customFormat="1" x14ac:dyDescent="0.3" s="22">
      <c r="A684" t="s" s="148">
        <v>298</v>
      </c>
      <c r="B684" s="128"/>
      <c r="C684" s="128"/>
      <c r="D684" s="128"/>
      <c r="E684" s="128"/>
      <c r="F684" s="128"/>
      <c r="G684" s="128"/>
      <c r="H684" s="143"/>
    </row>
    <row r="685" spans="1:8" customFormat="1" x14ac:dyDescent="0.3" s="22">
      <c r="A685" s="28">
        <v>1</v>
      </c>
      <c r="B685" s="7">
        <v>175</v>
      </c>
      <c r="C685" t="s" s="8">
        <v>236</v>
      </c>
      <c r="D685" t="s" s="9">
        <v>237</v>
      </c>
      <c r="E685" s="111">
        <v>0.2</v>
      </c>
      <c r="F685" s="6"/>
      <c r="G685" t="str" s="112">
        <f t="shared" ref="G685:G696" si="35">E685*F685</f>
        <v>0</v>
      </c>
      <c r="H685" s="143"/>
    </row>
    <row r="686" spans="1:8" customFormat="1" x14ac:dyDescent="0.3" s="22">
      <c r="A686" s="28">
        <v>2</v>
      </c>
      <c r="B686" s="7">
        <v>176</v>
      </c>
      <c r="C686" t="s" s="8">
        <v>238</v>
      </c>
      <c r="D686" t="s" s="9">
        <v>13</v>
      </c>
      <c r="E686" s="111">
        <v>10</v>
      </c>
      <c r="F686" s="6"/>
      <c r="G686" t="str" s="112">
        <f t="shared" si="35"/>
        <v>0</v>
      </c>
      <c r="H686" s="143"/>
    </row>
    <row r="687" spans="1:8" customFormat="1" x14ac:dyDescent="0.3" s="22">
      <c r="A687" s="28">
        <v>3</v>
      </c>
      <c r="B687" s="7">
        <v>177</v>
      </c>
      <c r="C687" t="s" s="8">
        <v>239</v>
      </c>
      <c r="D687" t="s" s="9">
        <v>13</v>
      </c>
      <c r="E687" s="111">
        <v>10</v>
      </c>
      <c r="F687" s="6"/>
      <c r="G687" t="str" s="112">
        <f t="shared" si="35"/>
        <v>0</v>
      </c>
      <c r="H687" s="143"/>
    </row>
    <row r="688" spans="1:8" customFormat="1" x14ac:dyDescent="0.3" s="22">
      <c r="A688" s="28">
        <v>4</v>
      </c>
      <c r="B688" s="7">
        <v>178</v>
      </c>
      <c r="C688" t="s" s="8">
        <v>240</v>
      </c>
      <c r="D688" t="s" s="9">
        <v>13</v>
      </c>
      <c r="E688" s="111">
        <v>10</v>
      </c>
      <c r="F688" s="6"/>
      <c r="G688" t="str" s="112">
        <f t="shared" si="35"/>
        <v>0</v>
      </c>
      <c r="H688" s="143"/>
    </row>
    <row r="689" spans="1:8" customFormat="1" x14ac:dyDescent="0.3" s="22">
      <c r="A689" s="28">
        <v>5</v>
      </c>
      <c r="B689" s="7">
        <v>179</v>
      </c>
      <c r="C689" t="s" s="8">
        <v>241</v>
      </c>
      <c r="D689" t="s" s="9">
        <v>13</v>
      </c>
      <c r="E689" s="111">
        <v>129.5</v>
      </c>
      <c r="F689" s="6"/>
      <c r="G689" t="str" s="112">
        <f t="shared" si="35"/>
        <v>0</v>
      </c>
      <c r="H689" s="143"/>
    </row>
    <row r="690" spans="1:8" customFormat="1" x14ac:dyDescent="0.3" s="22">
      <c r="A690" s="28">
        <v>6</v>
      </c>
      <c r="B690" s="7">
        <v>23</v>
      </c>
      <c r="C690" t="s" s="8">
        <v>38</v>
      </c>
      <c r="D690" t="s" s="9">
        <v>13</v>
      </c>
      <c r="E690" s="111">
        <v>21.1</v>
      </c>
      <c r="F690" s="6"/>
      <c r="G690" t="str" s="112">
        <f t="shared" si="35"/>
        <v>0</v>
      </c>
      <c r="H690" s="143"/>
    </row>
    <row r="691" spans="1:8" customFormat="1" x14ac:dyDescent="0.3" s="22">
      <c r="A691" s="28">
        <v>7</v>
      </c>
      <c r="B691" s="7">
        <v>167</v>
      </c>
      <c r="C691" t="s" s="8">
        <v>228</v>
      </c>
      <c r="D691" t="s" s="9">
        <v>33</v>
      </c>
      <c r="E691" s="111">
        <v>57.2</v>
      </c>
      <c r="F691" s="6"/>
      <c r="G691" t="str" s="112">
        <f t="shared" si="35"/>
        <v>0</v>
      </c>
      <c r="H691" s="143"/>
    </row>
    <row r="692" spans="1:8" customFormat="1" x14ac:dyDescent="0.3" s="22">
      <c r="A692" s="28">
        <v>8</v>
      </c>
      <c r="B692" s="7">
        <v>168</v>
      </c>
      <c r="C692" t="s" s="8">
        <v>229</v>
      </c>
      <c r="D692" t="s" s="9">
        <v>13</v>
      </c>
      <c r="E692" s="111">
        <v>32</v>
      </c>
      <c r="F692" s="6"/>
      <c r="G692" t="str" s="112">
        <f t="shared" si="35"/>
        <v>0</v>
      </c>
      <c r="H692" s="143"/>
    </row>
    <row r="693" spans="1:8" ht="20.4" customFormat="1" x14ac:dyDescent="0.3" s="22">
      <c r="A693" s="28">
        <v>9</v>
      </c>
      <c r="B693" s="7">
        <v>169</v>
      </c>
      <c r="C693" t="s" s="8">
        <v>230</v>
      </c>
      <c r="D693" t="s" s="9">
        <v>177</v>
      </c>
      <c r="E693" s="111">
        <v>710</v>
      </c>
      <c r="F693" s="6"/>
      <c r="G693" t="str" s="112">
        <f t="shared" si="35"/>
        <v>0</v>
      </c>
      <c r="H693" s="143"/>
    </row>
    <row r="694" spans="1:8" customFormat="1" x14ac:dyDescent="0.3" s="22">
      <c r="A694" s="28">
        <v>10</v>
      </c>
      <c r="B694" s="7">
        <v>170</v>
      </c>
      <c r="C694" t="s" s="8">
        <v>231</v>
      </c>
      <c r="D694" t="s" s="9">
        <v>13</v>
      </c>
      <c r="E694" s="111">
        <v>7.8</v>
      </c>
      <c r="F694" s="6"/>
      <c r="G694" t="str" s="112">
        <f t="shared" si="35"/>
        <v>0</v>
      </c>
      <c r="H694" s="143"/>
    </row>
    <row r="695" spans="1:8" customFormat="1" x14ac:dyDescent="0.3" s="22">
      <c r="A695" s="28">
        <v>11</v>
      </c>
      <c r="B695" s="7">
        <v>171</v>
      </c>
      <c r="C695" t="s" s="8">
        <v>232</v>
      </c>
      <c r="D695" t="s" s="9">
        <v>13</v>
      </c>
      <c r="E695" s="111">
        <v>41.1</v>
      </c>
      <c r="F695" s="6"/>
      <c r="G695" t="str" s="112">
        <f t="shared" si="35"/>
        <v>0</v>
      </c>
      <c r="H695" s="143"/>
    </row>
    <row r="696" spans="1:8" customFormat="1" x14ac:dyDescent="0.3" s="22">
      <c r="A696" s="28">
        <v>12</v>
      </c>
      <c r="B696" s="7">
        <v>172</v>
      </c>
      <c r="C696" t="s" s="8">
        <v>233</v>
      </c>
      <c r="D696" t="s" s="9">
        <v>33</v>
      </c>
      <c r="E696" s="111">
        <v>108</v>
      </c>
      <c r="F696" s="6"/>
      <c r="G696" t="str" s="112">
        <f t="shared" si="35"/>
        <v>0</v>
      </c>
      <c r="H696" s="143"/>
    </row>
    <row r="697" spans="1:8" ht="16.5" customHeight="1" customFormat="1" x14ac:dyDescent="0.3" s="22">
      <c r="A697" t="s" s="148">
        <v>299</v>
      </c>
      <c r="B697" s="128"/>
      <c r="C697" s="128"/>
      <c r="D697" s="128"/>
      <c r="E697" s="128"/>
      <c r="F697" s="128"/>
      <c r="G697" s="128"/>
      <c r="H697" s="143"/>
    </row>
    <row r="698" spans="1:8" ht="20.4" customFormat="1" x14ac:dyDescent="0.3" s="22">
      <c r="A698" s="28">
        <v>1</v>
      </c>
      <c r="B698" s="7">
        <v>165</v>
      </c>
      <c r="C698" t="s" s="8">
        <v>226</v>
      </c>
      <c r="D698" t="s" s="9">
        <v>13</v>
      </c>
      <c r="E698" s="111">
        <v>1.8</v>
      </c>
      <c r="F698" s="6"/>
      <c r="G698" t="str" s="112">
        <f>E698*F698</f>
        <v>0</v>
      </c>
      <c r="H698" s="143"/>
    </row>
    <row r="699" spans="1:8" customFormat="1" x14ac:dyDescent="0.3" s="22">
      <c r="A699" s="28">
        <v>2</v>
      </c>
      <c r="B699" s="7">
        <v>23</v>
      </c>
      <c r="C699" t="s" s="8">
        <v>38</v>
      </c>
      <c r="D699" t="s" s="9">
        <v>13</v>
      </c>
      <c r="E699" s="111">
        <v>0.9</v>
      </c>
      <c r="F699" s="6"/>
      <c r="G699" t="str" s="112">
        <f>E699*F699</f>
        <v>0</v>
      </c>
      <c r="H699" s="143"/>
    </row>
    <row r="700" spans="1:8" customFormat="1" x14ac:dyDescent="0.3" s="22">
      <c r="A700" s="28">
        <v>3</v>
      </c>
      <c r="B700" s="7">
        <v>180</v>
      </c>
      <c r="C700" t="s" s="8">
        <v>242</v>
      </c>
      <c r="D700" t="s" s="9">
        <v>33</v>
      </c>
      <c r="E700" s="111">
        <v>4.6</v>
      </c>
      <c r="F700" s="6"/>
      <c r="G700" t="str" s="112">
        <f>E700*F700</f>
        <v>0</v>
      </c>
      <c r="H700" s="143"/>
    </row>
    <row r="701" spans="1:8" customFormat="1" x14ac:dyDescent="0.3" s="22">
      <c r="A701" s="28">
        <v>4</v>
      </c>
      <c r="B701" s="7">
        <v>168</v>
      </c>
      <c r="C701" t="s" s="8">
        <v>229</v>
      </c>
      <c r="D701" t="s" s="9">
        <v>13</v>
      </c>
      <c r="E701" s="111">
        <v>0.8</v>
      </c>
      <c r="F701" s="6"/>
      <c r="G701" t="str" s="112">
        <f>E701*F701</f>
        <v>0</v>
      </c>
      <c r="H701" s="143"/>
    </row>
    <row r="702" spans="1:8" customFormat="1" x14ac:dyDescent="0.3" s="22">
      <c r="A702" s="28">
        <v>5</v>
      </c>
      <c r="B702" s="7">
        <v>181</v>
      </c>
      <c r="C702" t="s" s="8">
        <v>243</v>
      </c>
      <c r="D702" t="s" s="9">
        <v>177</v>
      </c>
      <c r="E702" s="111">
        <v>0.5</v>
      </c>
      <c r="F702" s="6"/>
      <c r="G702" t="str" s="112">
        <f>E702*F702</f>
        <v>0</v>
      </c>
      <c r="H702" s="143"/>
    </row>
    <row r="703" spans="1:9" ht="15" customHeight="1" customFormat="1" x14ac:dyDescent="0.3" s="14">
      <c r="A703" t="s" s="149">
        <v>275</v>
      </c>
      <c r="B703" s="130"/>
      <c r="C703" s="130"/>
      <c r="D703" s="130"/>
      <c r="E703" s="130"/>
      <c r="F703" t="s" s="117">
        <v>200</v>
      </c>
      <c r="G703" t="str" s="131">
        <f>SUM(G253:G702)</f>
        <v>0</v>
      </c>
      <c r="H703" s="145"/>
      <c r="I703" s="15"/>
    </row>
    <row r="704" spans="1:9" customFormat="1" x14ac:dyDescent="0.3" s="12">
      <c r="A704" t="s" s="139">
        <v>264</v>
      </c>
      <c r="B704" s="105"/>
      <c r="C704" s="105"/>
      <c r="D704" s="105"/>
      <c r="E704" s="105"/>
      <c r="F704" s="105"/>
      <c r="G704" s="105"/>
      <c r="H704" s="146"/>
      <c r="I704" s="13"/>
    </row>
    <row r="705" spans="1:9" ht="15.6" customFormat="1" x14ac:dyDescent="0.3" s="14">
      <c r="A705" t="s" s="141">
        <v>26</v>
      </c>
      <c r="B705" s="106">
        <v>3</v>
      </c>
      <c r="C705" t="s" s="107">
        <v>27</v>
      </c>
      <c r="D705" s="107"/>
      <c r="E705" s="107"/>
      <c r="F705" s="107"/>
      <c r="G705" s="107"/>
      <c r="H705" s="145"/>
      <c r="I705" s="15"/>
    </row>
    <row r="706" spans="1:9" ht="173.4" customFormat="1" x14ac:dyDescent="0.3" s="14">
      <c r="A706" t="s" s="26">
        <v>108</v>
      </c>
      <c r="B706" s="3">
        <v>200</v>
      </c>
      <c r="C706" t="s" s="4">
        <v>265</v>
      </c>
      <c r="D706" t="s" s="5">
        <v>61</v>
      </c>
      <c r="E706" s="120">
        <v>1</v>
      </c>
      <c r="F706" s="6"/>
      <c r="G706" t="str" s="109">
        <f>E706*F706</f>
        <v>0</v>
      </c>
      <c r="H706" s="145"/>
      <c r="I706" s="27"/>
    </row>
    <row r="707" spans="1:9" customFormat="1" x14ac:dyDescent="0.3" s="14">
      <c r="A707" t="s" s="26">
        <v>109</v>
      </c>
      <c r="B707" s="3">
        <v>41</v>
      </c>
      <c r="C707" t="s" s="4">
        <v>266</v>
      </c>
      <c r="D707" t="s" s="132">
        <v>16</v>
      </c>
      <c r="E707" s="133">
        <v>5</v>
      </c>
      <c r="F707" s="6"/>
      <c r="G707" t="str" s="134">
        <f>E707*F707</f>
        <v>0</v>
      </c>
      <c r="H707" s="145"/>
      <c r="I707" s="27"/>
    </row>
    <row r="708" spans="1:9" ht="15.6" customFormat="1" x14ac:dyDescent="0.3" s="14">
      <c r="A708" t="s" s="141">
        <v>28</v>
      </c>
      <c r="B708" s="106">
        <v>17</v>
      </c>
      <c r="C708" t="s" s="110">
        <v>29</v>
      </c>
      <c r="D708" s="110"/>
      <c r="E708" s="110"/>
      <c r="F708" s="110"/>
      <c r="G708" s="110"/>
      <c r="H708" s="145"/>
      <c r="I708" s="15"/>
    </row>
    <row r="709" spans="1:11" ht="173.4" customFormat="1" x14ac:dyDescent="0.3" s="22">
      <c r="A709" t="s" s="28">
        <v>108</v>
      </c>
      <c r="B709" s="7">
        <v>201</v>
      </c>
      <c r="C709" t="s" s="4">
        <v>267</v>
      </c>
      <c r="D709" t="s" s="5">
        <v>61</v>
      </c>
      <c r="E709" s="120">
        <v>1</v>
      </c>
      <c r="F709" s="6"/>
      <c r="G709" t="str" s="109">
        <f>E709*F709</f>
        <v>0</v>
      </c>
      <c r="H709" s="143"/>
      <c r="I709" s="29"/>
      <c r="K709" s="30"/>
    </row>
    <row r="710" spans="1:11" customFormat="1" x14ac:dyDescent="0.3" s="22">
      <c r="A710" t="s" s="28">
        <v>109</v>
      </c>
      <c r="B710" s="7">
        <v>41</v>
      </c>
      <c r="C710" t="s" s="4">
        <v>266</v>
      </c>
      <c r="D710" t="s" s="132">
        <v>16</v>
      </c>
      <c r="E710" s="135">
        <v>5</v>
      </c>
      <c r="F710" s="6"/>
      <c r="G710" t="str" s="134">
        <f>E710*F710</f>
        <v>0</v>
      </c>
      <c r="H710" s="143"/>
      <c r="I710" s="29"/>
      <c r="K710" s="30"/>
    </row>
    <row r="711" spans="1:8" ht="15.6" customFormat="1" x14ac:dyDescent="0.3" s="14">
      <c r="A711" t="s" s="141">
        <v>34</v>
      </c>
      <c r="B711" s="106">
        <v>21</v>
      </c>
      <c r="C711" t="s" s="113">
        <v>35</v>
      </c>
      <c r="D711" s="113"/>
      <c r="E711" s="113"/>
      <c r="F711" s="113"/>
      <c r="G711" s="113"/>
      <c r="H711" s="145"/>
    </row>
    <row r="712" spans="1:8" ht="173.4" customFormat="1" x14ac:dyDescent="0.3" s="22">
      <c r="A712" t="s" s="28">
        <v>108</v>
      </c>
      <c r="B712" s="7">
        <v>201</v>
      </c>
      <c r="C712" t="s" s="4">
        <v>267</v>
      </c>
      <c r="D712" t="s" s="5">
        <v>61</v>
      </c>
      <c r="E712" s="120">
        <v>1</v>
      </c>
      <c r="F712" s="6"/>
      <c r="G712" t="str" s="109">
        <f>E712*F712</f>
        <v>0</v>
      </c>
      <c r="H712" s="143"/>
    </row>
    <row r="713" spans="1:8" customFormat="1" x14ac:dyDescent="0.3" s="22">
      <c r="A713" t="s" s="28">
        <v>109</v>
      </c>
      <c r="B713" s="7">
        <v>41</v>
      </c>
      <c r="C713" t="s" s="4">
        <v>266</v>
      </c>
      <c r="D713" t="s" s="132">
        <v>16</v>
      </c>
      <c r="E713" s="135">
        <v>5</v>
      </c>
      <c r="F713" s="6"/>
      <c r="G713" t="str" s="134">
        <f>E713*F713</f>
        <v>0</v>
      </c>
      <c r="H713" s="143"/>
    </row>
    <row r="714" spans="1:9" ht="15" thickBot="1" customHeight="1" customFormat="1" x14ac:dyDescent="0.35" s="14">
      <c r="A714" t="s" s="150">
        <v>274</v>
      </c>
      <c r="B714" s="151"/>
      <c r="C714" s="151"/>
      <c r="D714" s="151"/>
      <c r="E714" s="151"/>
      <c r="F714" t="s" s="152">
        <v>200</v>
      </c>
      <c r="G714" t="str" s="153">
        <f>SUM(G706:G713)</f>
        <v>0</v>
      </c>
      <c r="H714" s="154"/>
      <c r="I714" s="15"/>
    </row>
    <row r="717" spans="1:9" ht="15.6" customFormat="1" x14ac:dyDescent="0.3" s="33">
      <c r="A717" s="31"/>
      <c r="B717" s="31">
        <v>202</v>
      </c>
      <c r="C717" t="s" s="97">
        <v>300</v>
      </c>
      <c r="D717" s="97"/>
      <c r="E717" s="97"/>
      <c r="F717" s="97"/>
      <c r="G717" s="32"/>
      <c r="I717" s="34"/>
    </row>
    <row r="718" spans="1:9" customFormat="1" x14ac:dyDescent="0.3" s="14">
      <c r="A718" s="19"/>
      <c r="B718" s="19"/>
      <c r="C718" s="19"/>
      <c r="D718" s="19"/>
      <c r="E718" s="21"/>
      <c r="F718" s="19"/>
      <c r="G718" s="20"/>
      <c r="I718" s="15"/>
    </row>
    <row r="719" spans="2:9" ht="12" customFormat="1" x14ac:dyDescent="0.3" s="35">
      <c r="B719" s="36">
        <v>203</v>
      </c>
      <c r="C719" t="s" s="37">
        <v>9</v>
      </c>
      <c r="E719" t="str" s="38">
        <f>G57</f>
        <v>0</v>
      </c>
      <c r="F719" t="s" s="39">
        <v>301</v>
      </c>
      <c r="G719" s="40"/>
      <c r="I719" s="41"/>
    </row>
    <row r="720" spans="2:9" ht="12" customFormat="1" x14ac:dyDescent="0.3" s="35">
      <c r="B720" s="36">
        <v>204</v>
      </c>
      <c r="C720" t="s" s="37">
        <v>36</v>
      </c>
      <c r="E720" t="str" s="38">
        <f>G80</f>
        <v>0</v>
      </c>
      <c r="F720" t="s" s="39">
        <v>301</v>
      </c>
      <c r="G720" s="40"/>
      <c r="I720" s="41"/>
    </row>
    <row r="721" spans="2:9" ht="12" customFormat="1" x14ac:dyDescent="0.3" s="35">
      <c r="B721" s="36">
        <v>205</v>
      </c>
      <c r="C721" t="s" s="37">
        <v>42</v>
      </c>
      <c r="E721" t="str" s="38">
        <f>G110</f>
        <v>0</v>
      </c>
      <c r="F721" t="s" s="39">
        <v>301</v>
      </c>
      <c r="G721" s="40"/>
      <c r="I721" s="41"/>
    </row>
    <row r="722" spans="2:9" ht="12" customFormat="1" x14ac:dyDescent="0.3" s="35">
      <c r="B722" s="36">
        <v>206</v>
      </c>
      <c r="C722" t="s" s="37">
        <v>54</v>
      </c>
      <c r="E722" t="str" s="38">
        <f>G122</f>
        <v>0</v>
      </c>
      <c r="F722" t="s" s="39">
        <v>301</v>
      </c>
      <c r="G722" s="40"/>
      <c r="I722" s="41"/>
    </row>
    <row r="723" spans="2:9" ht="12" customFormat="1" x14ac:dyDescent="0.3" s="35">
      <c r="B723" s="36">
        <v>207</v>
      </c>
      <c r="C723" t="s" s="37">
        <v>57</v>
      </c>
      <c r="E723" t="str" s="38">
        <f>G226</f>
        <v>0</v>
      </c>
      <c r="F723" t="s" s="39">
        <v>301</v>
      </c>
      <c r="G723" s="40"/>
      <c r="I723" s="41"/>
    </row>
    <row r="724" spans="2:9" ht="12" customFormat="1" x14ac:dyDescent="0.3" s="35">
      <c r="B724" s="36">
        <v>208</v>
      </c>
      <c r="C724" t="s" s="37">
        <v>161</v>
      </c>
      <c r="E724" t="str" s="38">
        <f>G249</f>
        <v>0</v>
      </c>
      <c r="F724" t="s" s="39">
        <v>301</v>
      </c>
      <c r="G724" s="40"/>
      <c r="I724" s="41"/>
    </row>
    <row r="725" spans="2:9" ht="12" customFormat="1" x14ac:dyDescent="0.3" s="35">
      <c r="B725" s="36">
        <v>209</v>
      </c>
      <c r="C725" t="s" s="37">
        <v>248</v>
      </c>
      <c r="E725" t="str" s="38">
        <f>G703</f>
        <v>0</v>
      </c>
      <c r="F725" t="s" s="39">
        <v>301</v>
      </c>
      <c r="G725" s="40"/>
      <c r="I725" s="41"/>
    </row>
    <row r="726" spans="2:9" ht="12" customFormat="1" x14ac:dyDescent="0.3" s="35">
      <c r="B726" s="36">
        <v>210</v>
      </c>
      <c r="C726" t="s" s="37">
        <v>264</v>
      </c>
      <c r="E726" t="str" s="38">
        <f>G714</f>
        <v>0</v>
      </c>
      <c r="F726" t="s" s="39">
        <v>301</v>
      </c>
      <c r="G726" s="40"/>
      <c r="I726" s="41"/>
    </row>
    <row r="727" spans="2:9" ht="4.2" customFormat="1" x14ac:dyDescent="0.3" s="42">
      <c r="B727" s="43"/>
      <c r="C727" s="44"/>
      <c r="D727" s="45"/>
      <c r="E727" s="45"/>
      <c r="F727" s="46"/>
      <c r="G727" s="47"/>
      <c r="I727" s="48"/>
    </row>
    <row r="728" spans="2:9" ht="14.4" customHeight="1" customFormat="1" x14ac:dyDescent="0.3" s="49">
      <c r="B728" s="49">
        <v>211</v>
      </c>
      <c r="C728" t="s" s="49">
        <v>302</v>
      </c>
      <c r="E728" t="str" s="50">
        <f>SUM(E719:E726)</f>
        <v>0</v>
      </c>
      <c r="F728" t="s" s="39">
        <v>301</v>
      </c>
      <c r="G728" s="98"/>
      <c r="H728" s="98"/>
      <c r="I728" s="51"/>
    </row>
    <row r="729" spans="2:9" ht="10.5" customHeight="1" customFormat="1" x14ac:dyDescent="0.3" s="52">
      <c r="B729" s="53">
        <v>212</v>
      </c>
      <c r="C729" t="s" s="54">
        <v>303</v>
      </c>
      <c r="D729" s="55"/>
      <c r="E729" s="56"/>
      <c r="F729" t="s" s="39">
        <v>301</v>
      </c>
      <c r="G729" s="99"/>
      <c r="H729" s="99"/>
      <c r="I729" s="57"/>
    </row>
    <row r="730" spans="2:9" customFormat="1" x14ac:dyDescent="0.3" s="42">
      <c r="B730" s="43"/>
      <c r="C730" s="46"/>
      <c r="D730" s="45"/>
      <c r="E730" s="45"/>
      <c r="F730" s="46"/>
      <c r="G730" s="14"/>
      <c r="H730" s="14"/>
      <c r="I730" s="48"/>
    </row>
    <row r="731" spans="2:9" ht="14.4" customHeight="1" customFormat="1" x14ac:dyDescent="0.3" s="49">
      <c r="B731" s="49">
        <v>213</v>
      </c>
      <c r="C731" t="s" s="49">
        <v>313</v>
      </c>
      <c r="D731" s="50"/>
      <c r="E731" t="str" s="50">
        <f>E728+E729</f>
        <v>0</v>
      </c>
      <c r="F731" t="s" s="39">
        <v>301</v>
      </c>
      <c r="G731" s="98"/>
      <c r="H731" s="98"/>
      <c r="I731" s="51"/>
    </row>
    <row r="732" spans="1:9" customFormat="1" x14ac:dyDescent="0.3" s="14">
      <c r="A732" s="52"/>
      <c r="B732" s="53">
        <v>214</v>
      </c>
      <c r="C732" t="s" s="59">
        <v>304</v>
      </c>
      <c r="E732" t="str" s="60">
        <f>0.2*E731</f>
        <v>0</v>
      </c>
      <c r="F732" t="s" s="39">
        <v>301</v>
      </c>
      <c r="G732" s="99"/>
      <c r="H732" s="99"/>
      <c r="I732" s="15"/>
    </row>
    <row r="733" spans="2:9" ht="12.9" customHeight="1" customFormat="1" x14ac:dyDescent="0.3" s="62">
      <c r="B733" s="27">
        <v>215</v>
      </c>
      <c r="C733" t="s" s="63">
        <v>314</v>
      </c>
      <c r="E733" t="str" s="64">
        <f>E731+E732</f>
        <v>0</v>
      </c>
      <c r="F733" t="s" s="39">
        <v>305</v>
      </c>
      <c r="G733" s="100"/>
      <c r="H733" s="100"/>
      <c r="I733" s="65"/>
    </row>
    <row r="734" spans="2:9" ht="13.8" customFormat="1" x14ac:dyDescent="0.3" s="62">
      <c r="B734" s="27"/>
      <c r="C734" s="63"/>
      <c r="D734" s="66"/>
      <c r="E734" s="66"/>
      <c r="F734" s="39"/>
      <c r="G734" s="67"/>
      <c r="I734" s="65"/>
    </row>
    <row r="735" spans="2:9" ht="13.8" customFormat="1" x14ac:dyDescent="0.3" s="62">
      <c r="B735" s="27"/>
      <c r="C735" s="63"/>
      <c r="D735" s="66"/>
      <c r="E735" s="66"/>
      <c r="F735" s="39"/>
      <c r="G735" s="67"/>
      <c r="I735" s="65"/>
    </row>
    <row r="736" spans="1:256" ht="15.6" customFormat="1" x14ac:dyDescent="0.3" s="75">
      <c r="A736" s="68"/>
      <c r="B736" s="69">
        <v>216</v>
      </c>
      <c r="C736" t="s" s="70">
        <v>307</v>
      </c>
      <c r="D736" s="71"/>
      <c r="E736" s="72"/>
      <c r="F736" s="73"/>
      <c r="G736" s="73"/>
      <c r="H736" s="74"/>
      <c r="I736" s="74"/>
      <c r="J736" s="74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  <c r="AE736" s="73"/>
      <c r="AF736" s="73"/>
      <c r="AG736" s="73"/>
      <c r="AH736" s="73"/>
      <c r="AI736" s="73"/>
      <c r="AJ736" s="73"/>
      <c r="AK736" s="73"/>
      <c r="AL736" s="73"/>
      <c r="AM736" s="73"/>
      <c r="AN736" s="73"/>
      <c r="AO736" s="73"/>
      <c r="AP736" s="73"/>
      <c r="AQ736" s="73"/>
      <c r="AR736" s="73"/>
      <c r="AS736" s="73"/>
      <c r="AT736" s="73"/>
      <c r="AU736" s="73"/>
      <c r="AV736" s="73"/>
      <c r="AW736" s="73"/>
      <c r="AX736" s="73"/>
      <c r="AY736" s="73"/>
      <c r="AZ736" s="73"/>
      <c r="BA736" s="73"/>
      <c r="BB736" s="73"/>
      <c r="BC736" s="73"/>
      <c r="BD736" s="73"/>
      <c r="BE736" s="73"/>
      <c r="BF736" s="73"/>
      <c r="BG736" s="73"/>
      <c r="BH736" s="73"/>
      <c r="BI736" s="73"/>
      <c r="BJ736" s="73"/>
      <c r="BK736" s="73"/>
      <c r="BL736" s="73"/>
      <c r="BM736" s="73"/>
      <c r="BN736" s="73"/>
      <c r="BO736" s="73"/>
      <c r="BP736" s="73"/>
      <c r="BQ736" s="73"/>
      <c r="BR736" s="73"/>
      <c r="BS736" s="73"/>
      <c r="BT736" s="73"/>
      <c r="BU736" s="73"/>
      <c r="BV736" s="73"/>
      <c r="BW736" s="73"/>
      <c r="BX736" s="73"/>
      <c r="BY736" s="73"/>
      <c r="BZ736" s="73"/>
      <c r="CA736" s="73"/>
      <c r="CB736" s="73"/>
      <c r="CC736" s="73"/>
      <c r="CD736" s="73"/>
      <c r="CE736" s="73"/>
      <c r="CF736" s="73"/>
      <c r="CG736" s="73"/>
      <c r="CH736" s="73"/>
      <c r="CI736" s="73"/>
      <c r="CJ736" s="73"/>
      <c r="CK736" s="73"/>
      <c r="CL736" s="73"/>
      <c r="CM736" s="73"/>
      <c r="CN736" s="73"/>
      <c r="CO736" s="73"/>
      <c r="CP736" s="73"/>
      <c r="CQ736" s="73"/>
      <c r="CR736" s="73"/>
      <c r="CS736" s="73"/>
      <c r="CT736" s="73"/>
      <c r="CU736" s="73"/>
      <c r="CV736" s="73"/>
      <c r="CW736" s="73"/>
      <c r="CX736" s="73"/>
      <c r="CY736" s="73"/>
      <c r="CZ736" s="73"/>
      <c r="DA736" s="73"/>
      <c r="DB736" s="73"/>
      <c r="DC736" s="73"/>
      <c r="DD736" s="73"/>
      <c r="DE736" s="73"/>
      <c r="DF736" s="73"/>
      <c r="DG736" s="73"/>
      <c r="DH736" s="73"/>
      <c r="DI736" s="73"/>
      <c r="DJ736" s="73"/>
      <c r="DK736" s="73"/>
      <c r="DL736" s="73"/>
      <c r="DM736" s="73"/>
      <c r="DN736" s="73"/>
      <c r="DO736" s="73"/>
      <c r="DP736" s="73"/>
      <c r="DQ736" s="73"/>
      <c r="DR736" s="73"/>
      <c r="DS736" s="73"/>
      <c r="DT736" s="73"/>
      <c r="DU736" s="73"/>
      <c r="DV736" s="73"/>
      <c r="DW736" s="73"/>
      <c r="DX736" s="73"/>
      <c r="DY736" s="73"/>
      <c r="DZ736" s="73"/>
      <c r="EA736" s="73"/>
      <c r="EB736" s="73"/>
      <c r="EC736" s="73"/>
      <c r="ED736" s="73"/>
      <c r="EE736" s="73"/>
      <c r="EF736" s="73"/>
      <c r="EG736" s="73"/>
      <c r="EH736" s="73"/>
      <c r="EI736" s="73"/>
      <c r="EJ736" s="73"/>
      <c r="EK736" s="73"/>
      <c r="EL736" s="73"/>
      <c r="EM736" s="73"/>
      <c r="EN736" s="73"/>
      <c r="EO736" s="73"/>
      <c r="EP736" s="73"/>
      <c r="EQ736" s="73"/>
      <c r="ER736" s="73"/>
      <c r="ES736" s="73"/>
      <c r="ET736" s="73"/>
      <c r="EU736" s="73"/>
      <c r="EV736" s="73"/>
      <c r="EW736" s="73"/>
      <c r="EX736" s="73"/>
      <c r="EY736" s="73"/>
      <c r="EZ736" s="73"/>
      <c r="FA736" s="73"/>
      <c r="FB736" s="73"/>
      <c r="FC736" s="73"/>
      <c r="FD736" s="73"/>
      <c r="FE736" s="73"/>
      <c r="FF736" s="73"/>
      <c r="FG736" s="73"/>
      <c r="FH736" s="73"/>
      <c r="FI736" s="73"/>
      <c r="FJ736" s="73"/>
      <c r="FK736" s="73"/>
      <c r="FL736" s="73"/>
      <c r="FM736" s="73"/>
      <c r="FN736" s="73"/>
      <c r="FO736" s="73"/>
      <c r="FP736" s="73"/>
      <c r="FQ736" s="73"/>
      <c r="FR736" s="73"/>
      <c r="FS736" s="73"/>
      <c r="FT736" s="73"/>
      <c r="FU736" s="73"/>
      <c r="FV736" s="73"/>
      <c r="FW736" s="73"/>
      <c r="FX736" s="73"/>
      <c r="FY736" s="73"/>
      <c r="FZ736" s="73"/>
      <c r="GA736" s="73"/>
      <c r="GB736" s="73"/>
      <c r="GC736" s="73"/>
      <c r="GD736" s="73"/>
      <c r="GE736" s="73"/>
      <c r="GF736" s="73"/>
      <c r="GG736" s="73"/>
      <c r="GH736" s="73"/>
      <c r="GI736" s="73"/>
      <c r="GJ736" s="73"/>
      <c r="GK736" s="73"/>
      <c r="GL736" s="73"/>
      <c r="GM736" s="73"/>
      <c r="GN736" s="73"/>
      <c r="GO736" s="73"/>
      <c r="GP736" s="73"/>
      <c r="GQ736" s="73"/>
      <c r="GR736" s="73"/>
      <c r="GS736" s="73"/>
      <c r="GT736" s="73"/>
      <c r="GU736" s="73"/>
      <c r="GV736" s="73"/>
      <c r="GW736" s="73"/>
      <c r="GX736" s="73"/>
      <c r="GY736" s="73"/>
      <c r="GZ736" s="73"/>
      <c r="HA736" s="73"/>
      <c r="HB736" s="73"/>
      <c r="HC736" s="73"/>
      <c r="HD736" s="73"/>
      <c r="HE736" s="73"/>
      <c r="HF736" s="73"/>
      <c r="HG736" s="73"/>
      <c r="HH736" s="73"/>
      <c r="HI736" s="73"/>
      <c r="HJ736" s="73"/>
      <c r="HK736" s="73"/>
      <c r="HL736" s="73"/>
      <c r="HM736" s="73"/>
      <c r="HN736" s="73"/>
      <c r="HO736" s="73"/>
      <c r="HP736" s="73"/>
      <c r="HQ736" s="73"/>
      <c r="HR736" s="73"/>
      <c r="HS736" s="73"/>
      <c r="HT736" s="73"/>
      <c r="HU736" s="73"/>
      <c r="HV736" s="73"/>
      <c r="HW736" s="73"/>
      <c r="HX736" s="73"/>
      <c r="HY736" s="73"/>
      <c r="HZ736" s="73"/>
      <c r="IA736" s="73"/>
      <c r="IB736" s="73"/>
      <c r="IC736" s="73"/>
      <c r="ID736" s="73"/>
      <c r="IE736" s="73"/>
      <c r="IF736" s="73"/>
      <c r="IG736" s="73"/>
      <c r="IH736" s="73"/>
      <c r="II736" s="73"/>
      <c r="IJ736" s="73"/>
      <c r="IK736" s="73"/>
      <c r="IL736" s="73"/>
      <c r="IM736" s="73"/>
      <c r="IN736" s="73"/>
      <c r="IO736" s="73"/>
      <c r="IP736" s="73"/>
      <c r="IQ736" s="73"/>
      <c r="IR736" s="73"/>
      <c r="IS736" s="73"/>
      <c r="IT736" s="73"/>
      <c r="IU736" s="73"/>
      <c r="IV736" s="73"/>
    </row>
    <row r="737" spans="1:256" ht="15.6" customFormat="1" x14ac:dyDescent="0.3" s="75">
      <c r="A737" s="68"/>
      <c r="B737" s="69"/>
      <c r="C737" s="70"/>
      <c r="D737" s="71"/>
      <c r="E737" s="72"/>
      <c r="F737" s="73"/>
      <c r="G737" s="73"/>
      <c r="H737" s="74"/>
      <c r="I737" s="74"/>
      <c r="J737" s="74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  <c r="AE737" s="73"/>
      <c r="AF737" s="73"/>
      <c r="AG737" s="73"/>
      <c r="AH737" s="73"/>
      <c r="AI737" s="73"/>
      <c r="AJ737" s="73"/>
      <c r="AK737" s="73"/>
      <c r="AL737" s="73"/>
      <c r="AM737" s="73"/>
      <c r="AN737" s="73"/>
      <c r="AO737" s="73"/>
      <c r="AP737" s="73"/>
      <c r="AQ737" s="73"/>
      <c r="AR737" s="73"/>
      <c r="AS737" s="73"/>
      <c r="AT737" s="73"/>
      <c r="AU737" s="73"/>
      <c r="AV737" s="73"/>
      <c r="AW737" s="73"/>
      <c r="AX737" s="73"/>
      <c r="AY737" s="73"/>
      <c r="AZ737" s="73"/>
      <c r="BA737" s="73"/>
      <c r="BB737" s="73"/>
      <c r="BC737" s="73"/>
      <c r="BD737" s="73"/>
      <c r="BE737" s="73"/>
      <c r="BF737" s="73"/>
      <c r="BG737" s="73"/>
      <c r="BH737" s="73"/>
      <c r="BI737" s="73"/>
      <c r="BJ737" s="73"/>
      <c r="BK737" s="73"/>
      <c r="BL737" s="73"/>
      <c r="BM737" s="73"/>
      <c r="BN737" s="73"/>
      <c r="BO737" s="73"/>
      <c r="BP737" s="73"/>
      <c r="BQ737" s="73"/>
      <c r="BR737" s="73"/>
      <c r="BS737" s="73"/>
      <c r="BT737" s="73"/>
      <c r="BU737" s="73"/>
      <c r="BV737" s="73"/>
      <c r="BW737" s="73"/>
      <c r="BX737" s="73"/>
      <c r="BY737" s="73"/>
      <c r="BZ737" s="73"/>
      <c r="CA737" s="73"/>
      <c r="CB737" s="73"/>
      <c r="CC737" s="73"/>
      <c r="CD737" s="73"/>
      <c r="CE737" s="73"/>
      <c r="CF737" s="73"/>
      <c r="CG737" s="73"/>
      <c r="CH737" s="73"/>
      <c r="CI737" s="73"/>
      <c r="CJ737" s="73"/>
      <c r="CK737" s="73"/>
      <c r="CL737" s="73"/>
      <c r="CM737" s="73"/>
      <c r="CN737" s="73"/>
      <c r="CO737" s="73"/>
      <c r="CP737" s="73"/>
      <c r="CQ737" s="73"/>
      <c r="CR737" s="73"/>
      <c r="CS737" s="73"/>
      <c r="CT737" s="73"/>
      <c r="CU737" s="73"/>
      <c r="CV737" s="73"/>
      <c r="CW737" s="73"/>
      <c r="CX737" s="73"/>
      <c r="CY737" s="73"/>
      <c r="CZ737" s="73"/>
      <c r="DA737" s="73"/>
      <c r="DB737" s="73"/>
      <c r="DC737" s="73"/>
      <c r="DD737" s="73"/>
      <c r="DE737" s="73"/>
      <c r="DF737" s="73"/>
      <c r="DG737" s="73"/>
      <c r="DH737" s="73"/>
      <c r="DI737" s="73"/>
      <c r="DJ737" s="73"/>
      <c r="DK737" s="73"/>
      <c r="DL737" s="73"/>
      <c r="DM737" s="73"/>
      <c r="DN737" s="73"/>
      <c r="DO737" s="73"/>
      <c r="DP737" s="73"/>
      <c r="DQ737" s="73"/>
      <c r="DR737" s="73"/>
      <c r="DS737" s="73"/>
      <c r="DT737" s="73"/>
      <c r="DU737" s="73"/>
      <c r="DV737" s="73"/>
      <c r="DW737" s="73"/>
      <c r="DX737" s="73"/>
      <c r="DY737" s="73"/>
      <c r="DZ737" s="73"/>
      <c r="EA737" s="73"/>
      <c r="EB737" s="73"/>
      <c r="EC737" s="73"/>
      <c r="ED737" s="73"/>
      <c r="EE737" s="73"/>
      <c r="EF737" s="73"/>
      <c r="EG737" s="73"/>
      <c r="EH737" s="73"/>
      <c r="EI737" s="73"/>
      <c r="EJ737" s="73"/>
      <c r="EK737" s="73"/>
      <c r="EL737" s="73"/>
      <c r="EM737" s="73"/>
      <c r="EN737" s="73"/>
      <c r="EO737" s="73"/>
      <c r="EP737" s="73"/>
      <c r="EQ737" s="73"/>
      <c r="ER737" s="73"/>
      <c r="ES737" s="73"/>
      <c r="ET737" s="73"/>
      <c r="EU737" s="73"/>
      <c r="EV737" s="73"/>
      <c r="EW737" s="73"/>
      <c r="EX737" s="73"/>
      <c r="EY737" s="73"/>
      <c r="EZ737" s="73"/>
      <c r="FA737" s="73"/>
      <c r="FB737" s="73"/>
      <c r="FC737" s="73"/>
      <c r="FD737" s="73"/>
      <c r="FE737" s="73"/>
      <c r="FF737" s="73"/>
      <c r="FG737" s="73"/>
      <c r="FH737" s="73"/>
      <c r="FI737" s="73"/>
      <c r="FJ737" s="73"/>
      <c r="FK737" s="73"/>
      <c r="FL737" s="73"/>
      <c r="FM737" s="73"/>
      <c r="FN737" s="73"/>
      <c r="FO737" s="73"/>
      <c r="FP737" s="73"/>
      <c r="FQ737" s="73"/>
      <c r="FR737" s="73"/>
      <c r="FS737" s="73"/>
      <c r="FT737" s="73"/>
      <c r="FU737" s="73"/>
      <c r="FV737" s="73"/>
      <c r="FW737" s="73"/>
      <c r="FX737" s="73"/>
      <c r="FY737" s="73"/>
      <c r="FZ737" s="73"/>
      <c r="GA737" s="73"/>
      <c r="GB737" s="73"/>
      <c r="GC737" s="73"/>
      <c r="GD737" s="73"/>
      <c r="GE737" s="73"/>
      <c r="GF737" s="73"/>
      <c r="GG737" s="73"/>
      <c r="GH737" s="73"/>
      <c r="GI737" s="73"/>
      <c r="GJ737" s="73"/>
      <c r="GK737" s="73"/>
      <c r="GL737" s="73"/>
      <c r="GM737" s="73"/>
      <c r="GN737" s="73"/>
      <c r="GO737" s="73"/>
      <c r="GP737" s="73"/>
      <c r="GQ737" s="73"/>
      <c r="GR737" s="73"/>
      <c r="GS737" s="73"/>
      <c r="GT737" s="73"/>
      <c r="GU737" s="73"/>
      <c r="GV737" s="73"/>
      <c r="GW737" s="73"/>
      <c r="GX737" s="73"/>
      <c r="GY737" s="73"/>
      <c r="GZ737" s="73"/>
      <c r="HA737" s="73"/>
      <c r="HB737" s="73"/>
      <c r="HC737" s="73"/>
      <c r="HD737" s="73"/>
      <c r="HE737" s="73"/>
      <c r="HF737" s="73"/>
      <c r="HG737" s="73"/>
      <c r="HH737" s="73"/>
      <c r="HI737" s="73"/>
      <c r="HJ737" s="73"/>
      <c r="HK737" s="73"/>
      <c r="HL737" s="73"/>
      <c r="HM737" s="73"/>
      <c r="HN737" s="73"/>
      <c r="HO737" s="73"/>
      <c r="HP737" s="73"/>
      <c r="HQ737" s="73"/>
      <c r="HR737" s="73"/>
      <c r="HS737" s="73"/>
      <c r="HT737" s="73"/>
      <c r="HU737" s="73"/>
      <c r="HV737" s="73"/>
      <c r="HW737" s="73"/>
      <c r="HX737" s="73"/>
      <c r="HY737" s="73"/>
      <c r="HZ737" s="73"/>
      <c r="IA737" s="73"/>
      <c r="IB737" s="73"/>
      <c r="IC737" s="73"/>
      <c r="ID737" s="73"/>
      <c r="IE737" s="73"/>
      <c r="IF737" s="73"/>
      <c r="IG737" s="73"/>
      <c r="IH737" s="73"/>
      <c r="II737" s="73"/>
      <c r="IJ737" s="73"/>
      <c r="IK737" s="73"/>
      <c r="IL737" s="73"/>
      <c r="IM737" s="73"/>
      <c r="IN737" s="73"/>
      <c r="IO737" s="73"/>
      <c r="IP737" s="73"/>
      <c r="IQ737" s="73"/>
      <c r="IR737" s="73"/>
      <c r="IS737" s="73"/>
      <c r="IT737" s="73"/>
      <c r="IU737" s="73"/>
      <c r="IV737" s="73"/>
    </row>
    <row r="738" spans="1:256" ht="15.6" customFormat="1" x14ac:dyDescent="0.3" s="75">
      <c r="A738" s="68"/>
      <c r="B738" s="69"/>
      <c r="C738" s="70"/>
      <c r="D738" s="71"/>
      <c r="E738" s="72"/>
      <c r="F738" s="73"/>
      <c r="G738" s="73"/>
      <c r="H738" s="74"/>
      <c r="I738" s="74"/>
      <c r="J738" s="74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  <c r="AF738" s="73"/>
      <c r="AG738" s="73"/>
      <c r="AH738" s="73"/>
      <c r="AI738" s="73"/>
      <c r="AJ738" s="73"/>
      <c r="AK738" s="73"/>
      <c r="AL738" s="73"/>
      <c r="AM738" s="73"/>
      <c r="AN738" s="73"/>
      <c r="AO738" s="73"/>
      <c r="AP738" s="73"/>
      <c r="AQ738" s="73"/>
      <c r="AR738" s="73"/>
      <c r="AS738" s="73"/>
      <c r="AT738" s="73"/>
      <c r="AU738" s="73"/>
      <c r="AV738" s="73"/>
      <c r="AW738" s="73"/>
      <c r="AX738" s="73"/>
      <c r="AY738" s="73"/>
      <c r="AZ738" s="73"/>
      <c r="BA738" s="73"/>
      <c r="BB738" s="73"/>
      <c r="BC738" s="73"/>
      <c r="BD738" s="73"/>
      <c r="BE738" s="73"/>
      <c r="BF738" s="73"/>
      <c r="BG738" s="73"/>
      <c r="BH738" s="73"/>
      <c r="BI738" s="73"/>
      <c r="BJ738" s="73"/>
      <c r="BK738" s="73"/>
      <c r="BL738" s="73"/>
      <c r="BM738" s="73"/>
      <c r="BN738" s="73"/>
      <c r="BO738" s="73"/>
      <c r="BP738" s="73"/>
      <c r="BQ738" s="73"/>
      <c r="BR738" s="73"/>
      <c r="BS738" s="73"/>
      <c r="BT738" s="73"/>
      <c r="BU738" s="73"/>
      <c r="BV738" s="73"/>
      <c r="BW738" s="73"/>
      <c r="BX738" s="73"/>
      <c r="BY738" s="73"/>
      <c r="BZ738" s="73"/>
      <c r="CA738" s="73"/>
      <c r="CB738" s="73"/>
      <c r="CC738" s="73"/>
      <c r="CD738" s="73"/>
      <c r="CE738" s="73"/>
      <c r="CF738" s="73"/>
      <c r="CG738" s="73"/>
      <c r="CH738" s="73"/>
      <c r="CI738" s="73"/>
      <c r="CJ738" s="73"/>
      <c r="CK738" s="73"/>
      <c r="CL738" s="73"/>
      <c r="CM738" s="73"/>
      <c r="CN738" s="73"/>
      <c r="CO738" s="73"/>
      <c r="CP738" s="73"/>
      <c r="CQ738" s="73"/>
      <c r="CR738" s="73"/>
      <c r="CS738" s="73"/>
      <c r="CT738" s="73"/>
      <c r="CU738" s="73"/>
      <c r="CV738" s="73"/>
      <c r="CW738" s="73"/>
      <c r="CX738" s="73"/>
      <c r="CY738" s="73"/>
      <c r="CZ738" s="73"/>
      <c r="DA738" s="73"/>
      <c r="DB738" s="73"/>
      <c r="DC738" s="73"/>
      <c r="DD738" s="73"/>
      <c r="DE738" s="73"/>
      <c r="DF738" s="73"/>
      <c r="DG738" s="73"/>
      <c r="DH738" s="73"/>
      <c r="DI738" s="73"/>
      <c r="DJ738" s="73"/>
      <c r="DK738" s="73"/>
      <c r="DL738" s="73"/>
      <c r="DM738" s="73"/>
      <c r="DN738" s="73"/>
      <c r="DO738" s="73"/>
      <c r="DP738" s="73"/>
      <c r="DQ738" s="73"/>
      <c r="DR738" s="73"/>
      <c r="DS738" s="73"/>
      <c r="DT738" s="73"/>
      <c r="DU738" s="73"/>
      <c r="DV738" s="73"/>
      <c r="DW738" s="73"/>
      <c r="DX738" s="73"/>
      <c r="DY738" s="73"/>
      <c r="DZ738" s="73"/>
      <c r="EA738" s="73"/>
      <c r="EB738" s="73"/>
      <c r="EC738" s="73"/>
      <c r="ED738" s="73"/>
      <c r="EE738" s="73"/>
      <c r="EF738" s="73"/>
      <c r="EG738" s="73"/>
      <c r="EH738" s="73"/>
      <c r="EI738" s="73"/>
      <c r="EJ738" s="73"/>
      <c r="EK738" s="73"/>
      <c r="EL738" s="73"/>
      <c r="EM738" s="73"/>
      <c r="EN738" s="73"/>
      <c r="EO738" s="73"/>
      <c r="EP738" s="73"/>
      <c r="EQ738" s="73"/>
      <c r="ER738" s="73"/>
      <c r="ES738" s="73"/>
      <c r="ET738" s="73"/>
      <c r="EU738" s="73"/>
      <c r="EV738" s="73"/>
      <c r="EW738" s="73"/>
      <c r="EX738" s="73"/>
      <c r="EY738" s="73"/>
      <c r="EZ738" s="73"/>
      <c r="FA738" s="73"/>
      <c r="FB738" s="73"/>
      <c r="FC738" s="73"/>
      <c r="FD738" s="73"/>
      <c r="FE738" s="73"/>
      <c r="FF738" s="73"/>
      <c r="FG738" s="73"/>
      <c r="FH738" s="73"/>
      <c r="FI738" s="73"/>
      <c r="FJ738" s="73"/>
      <c r="FK738" s="73"/>
      <c r="FL738" s="73"/>
      <c r="FM738" s="73"/>
      <c r="FN738" s="73"/>
      <c r="FO738" s="73"/>
      <c r="FP738" s="73"/>
      <c r="FQ738" s="73"/>
      <c r="FR738" s="73"/>
      <c r="FS738" s="73"/>
      <c r="FT738" s="73"/>
      <c r="FU738" s="73"/>
      <c r="FV738" s="73"/>
      <c r="FW738" s="73"/>
      <c r="FX738" s="73"/>
      <c r="FY738" s="73"/>
      <c r="FZ738" s="73"/>
      <c r="GA738" s="73"/>
      <c r="GB738" s="73"/>
      <c r="GC738" s="73"/>
      <c r="GD738" s="73"/>
      <c r="GE738" s="73"/>
      <c r="GF738" s="73"/>
      <c r="GG738" s="73"/>
      <c r="GH738" s="73"/>
      <c r="GI738" s="73"/>
      <c r="GJ738" s="73"/>
      <c r="GK738" s="73"/>
      <c r="GL738" s="73"/>
      <c r="GM738" s="73"/>
      <c r="GN738" s="73"/>
      <c r="GO738" s="73"/>
      <c r="GP738" s="73"/>
      <c r="GQ738" s="73"/>
      <c r="GR738" s="73"/>
      <c r="GS738" s="73"/>
      <c r="GT738" s="73"/>
      <c r="GU738" s="73"/>
      <c r="GV738" s="73"/>
      <c r="GW738" s="73"/>
      <c r="GX738" s="73"/>
      <c r="GY738" s="73"/>
      <c r="GZ738" s="73"/>
      <c r="HA738" s="73"/>
      <c r="HB738" s="73"/>
      <c r="HC738" s="73"/>
      <c r="HD738" s="73"/>
      <c r="HE738" s="73"/>
      <c r="HF738" s="73"/>
      <c r="HG738" s="73"/>
      <c r="HH738" s="73"/>
      <c r="HI738" s="73"/>
      <c r="HJ738" s="73"/>
      <c r="HK738" s="73"/>
      <c r="HL738" s="73"/>
      <c r="HM738" s="73"/>
      <c r="HN738" s="73"/>
      <c r="HO738" s="73"/>
      <c r="HP738" s="73"/>
      <c r="HQ738" s="73"/>
      <c r="HR738" s="73"/>
      <c r="HS738" s="73"/>
      <c r="HT738" s="73"/>
      <c r="HU738" s="73"/>
      <c r="HV738" s="73"/>
      <c r="HW738" s="73"/>
      <c r="HX738" s="73"/>
      <c r="HY738" s="73"/>
      <c r="HZ738" s="73"/>
      <c r="IA738" s="73"/>
      <c r="IB738" s="73"/>
      <c r="IC738" s="73"/>
      <c r="ID738" s="73"/>
      <c r="IE738" s="73"/>
      <c r="IF738" s="73"/>
      <c r="IG738" s="73"/>
      <c r="IH738" s="73"/>
      <c r="II738" s="73"/>
      <c r="IJ738" s="73"/>
      <c r="IK738" s="73"/>
      <c r="IL738" s="73"/>
      <c r="IM738" s="73"/>
      <c r="IN738" s="73"/>
      <c r="IO738" s="73"/>
      <c r="IP738" s="73"/>
      <c r="IQ738" s="73"/>
      <c r="IR738" s="73"/>
      <c r="IS738" s="73"/>
      <c r="IT738" s="73"/>
      <c r="IU738" s="73"/>
      <c r="IV738" s="73"/>
    </row>
    <row r="739" spans="1:256" ht="12.75" customHeight="1" customFormat="1" x14ac:dyDescent="0.3" s="75">
      <c r="A739" s="76"/>
      <c r="B739" s="76"/>
      <c r="C739" s="77"/>
      <c r="D739" s="77"/>
      <c r="E739" s="78"/>
      <c r="F739" s="73"/>
      <c r="G739" s="73"/>
      <c r="H739" s="74"/>
      <c r="I739" s="74"/>
      <c r="J739" s="74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  <c r="AF739" s="73"/>
      <c r="AG739" s="73"/>
      <c r="AH739" s="73"/>
      <c r="AI739" s="73"/>
      <c r="AJ739" s="73"/>
      <c r="AK739" s="73"/>
      <c r="AL739" s="73"/>
      <c r="AM739" s="73"/>
      <c r="AN739" s="73"/>
      <c r="AO739" s="73"/>
      <c r="AP739" s="73"/>
      <c r="AQ739" s="73"/>
      <c r="AR739" s="73"/>
      <c r="AS739" s="73"/>
      <c r="AT739" s="73"/>
      <c r="AU739" s="73"/>
      <c r="AV739" s="73"/>
      <c r="AW739" s="73"/>
      <c r="AX739" s="73"/>
      <c r="AY739" s="73"/>
      <c r="AZ739" s="73"/>
      <c r="BA739" s="73"/>
      <c r="BB739" s="73"/>
      <c r="BC739" s="73"/>
      <c r="BD739" s="73"/>
      <c r="BE739" s="73"/>
      <c r="BF739" s="73"/>
      <c r="BG739" s="73"/>
      <c r="BH739" s="73"/>
      <c r="BI739" s="73"/>
      <c r="BJ739" s="73"/>
      <c r="BK739" s="73"/>
      <c r="BL739" s="73"/>
      <c r="BM739" s="73"/>
      <c r="BN739" s="73"/>
      <c r="BO739" s="73"/>
      <c r="BP739" s="73"/>
      <c r="BQ739" s="73"/>
      <c r="BR739" s="73"/>
      <c r="BS739" s="73"/>
      <c r="BT739" s="73"/>
      <c r="BU739" s="73"/>
      <c r="BV739" s="73"/>
      <c r="BW739" s="73"/>
      <c r="BX739" s="73"/>
      <c r="BY739" s="73"/>
      <c r="BZ739" s="73"/>
      <c r="CA739" s="73"/>
      <c r="CB739" s="73"/>
      <c r="CC739" s="73"/>
      <c r="CD739" s="73"/>
      <c r="CE739" s="73"/>
      <c r="CF739" s="73"/>
      <c r="CG739" s="73"/>
      <c r="CH739" s="73"/>
      <c r="CI739" s="73"/>
      <c r="CJ739" s="73"/>
      <c r="CK739" s="73"/>
      <c r="CL739" s="73"/>
      <c r="CM739" s="73"/>
      <c r="CN739" s="73"/>
      <c r="CO739" s="73"/>
      <c r="CP739" s="73"/>
      <c r="CQ739" s="73"/>
      <c r="CR739" s="73"/>
      <c r="CS739" s="73"/>
      <c r="CT739" s="73"/>
      <c r="CU739" s="73"/>
      <c r="CV739" s="73"/>
      <c r="CW739" s="73"/>
      <c r="CX739" s="73"/>
      <c r="CY739" s="73"/>
      <c r="CZ739" s="73"/>
      <c r="DA739" s="73"/>
      <c r="DB739" s="73"/>
      <c r="DC739" s="73"/>
      <c r="DD739" s="73"/>
      <c r="DE739" s="73"/>
      <c r="DF739" s="73"/>
      <c r="DG739" s="73"/>
      <c r="DH739" s="73"/>
      <c r="DI739" s="73"/>
      <c r="DJ739" s="73"/>
      <c r="DK739" s="73"/>
      <c r="DL739" s="73"/>
      <c r="DM739" s="73"/>
      <c r="DN739" s="73"/>
      <c r="DO739" s="73"/>
      <c r="DP739" s="73"/>
      <c r="DQ739" s="73"/>
      <c r="DR739" s="73"/>
      <c r="DS739" s="73"/>
      <c r="DT739" s="73"/>
      <c r="DU739" s="73"/>
      <c r="DV739" s="73"/>
      <c r="DW739" s="73"/>
      <c r="DX739" s="73"/>
      <c r="DY739" s="73"/>
      <c r="DZ739" s="73"/>
      <c r="EA739" s="73"/>
      <c r="EB739" s="73"/>
      <c r="EC739" s="73"/>
      <c r="ED739" s="73"/>
      <c r="EE739" s="73"/>
      <c r="EF739" s="73"/>
      <c r="EG739" s="73"/>
      <c r="EH739" s="73"/>
      <c r="EI739" s="73"/>
      <c r="EJ739" s="73"/>
      <c r="EK739" s="73"/>
      <c r="EL739" s="73"/>
      <c r="EM739" s="73"/>
      <c r="EN739" s="73"/>
      <c r="EO739" s="73"/>
      <c r="EP739" s="73"/>
      <c r="EQ739" s="73"/>
      <c r="ER739" s="73"/>
      <c r="ES739" s="73"/>
      <c r="ET739" s="73"/>
      <c r="EU739" s="73"/>
      <c r="EV739" s="73"/>
      <c r="EW739" s="73"/>
      <c r="EX739" s="73"/>
      <c r="EY739" s="73"/>
      <c r="EZ739" s="73"/>
      <c r="FA739" s="73"/>
      <c r="FB739" s="73"/>
      <c r="FC739" s="73"/>
      <c r="FD739" s="73"/>
      <c r="FE739" s="73"/>
      <c r="FF739" s="73"/>
      <c r="FG739" s="73"/>
      <c r="FH739" s="73"/>
      <c r="FI739" s="73"/>
      <c r="FJ739" s="73"/>
      <c r="FK739" s="73"/>
      <c r="FL739" s="73"/>
      <c r="FM739" s="73"/>
      <c r="FN739" s="73"/>
      <c r="FO739" s="73"/>
      <c r="FP739" s="73"/>
      <c r="FQ739" s="73"/>
      <c r="FR739" s="73"/>
      <c r="FS739" s="73"/>
      <c r="FT739" s="73"/>
      <c r="FU739" s="73"/>
      <c r="FV739" s="73"/>
      <c r="FW739" s="73"/>
      <c r="FX739" s="73"/>
      <c r="FY739" s="73"/>
      <c r="FZ739" s="73"/>
      <c r="GA739" s="73"/>
      <c r="GB739" s="73"/>
      <c r="GC739" s="73"/>
      <c r="GD739" s="73"/>
      <c r="GE739" s="73"/>
      <c r="GF739" s="73"/>
      <c r="GG739" s="73"/>
      <c r="GH739" s="73"/>
      <c r="GI739" s="73"/>
      <c r="GJ739" s="73"/>
      <c r="GK739" s="73"/>
      <c r="GL739" s="73"/>
      <c r="GM739" s="73"/>
      <c r="GN739" s="73"/>
      <c r="GO739" s="73"/>
      <c r="GP739" s="73"/>
      <c r="GQ739" s="73"/>
      <c r="GR739" s="73"/>
      <c r="GS739" s="73"/>
      <c r="GT739" s="73"/>
      <c r="GU739" s="73"/>
      <c r="GV739" s="73"/>
      <c r="GW739" s="73"/>
      <c r="GX739" s="73"/>
      <c r="GY739" s="73"/>
      <c r="GZ739" s="73"/>
      <c r="HA739" s="73"/>
      <c r="HB739" s="73"/>
      <c r="HC739" s="73"/>
      <c r="HD739" s="73"/>
      <c r="HE739" s="73"/>
      <c r="HF739" s="73"/>
      <c r="HG739" s="73"/>
      <c r="HH739" s="73"/>
      <c r="HI739" s="73"/>
      <c r="HJ739" s="73"/>
      <c r="HK739" s="73"/>
      <c r="HL739" s="73"/>
      <c r="HM739" s="73"/>
      <c r="HN739" s="73"/>
      <c r="HO739" s="73"/>
      <c r="HP739" s="73"/>
      <c r="HQ739" s="73"/>
      <c r="HR739" s="73"/>
      <c r="HS739" s="73"/>
      <c r="HT739" s="73"/>
      <c r="HU739" s="73"/>
      <c r="HV739" s="73"/>
      <c r="HW739" s="73"/>
      <c r="HX739" s="73"/>
      <c r="HY739" s="73"/>
      <c r="HZ739" s="73"/>
      <c r="IA739" s="73"/>
      <c r="IB739" s="73"/>
      <c r="IC739" s="73"/>
      <c r="ID739" s="73"/>
      <c r="IE739" s="73"/>
      <c r="IF739" s="73"/>
      <c r="IG739" s="73"/>
      <c r="IH739" s="73"/>
      <c r="II739" s="73"/>
      <c r="IJ739" s="73"/>
      <c r="IK739" s="73"/>
      <c r="IL739" s="73"/>
      <c r="IM739" s="73"/>
      <c r="IN739" s="73"/>
      <c r="IO739" s="73"/>
      <c r="IP739" s="73"/>
      <c r="IQ739" s="73"/>
      <c r="IR739" s="73"/>
      <c r="IS739" s="73"/>
      <c r="IT739" s="73"/>
      <c r="IU739" s="73"/>
      <c r="IV739" s="73"/>
    </row>
    <row r="740" spans="1:256" ht="12.75" customHeight="1" customFormat="1" x14ac:dyDescent="0.3" s="75">
      <c r="A740" s="76"/>
      <c r="B740" s="76"/>
      <c r="C740" s="77"/>
      <c r="D740" s="77"/>
      <c r="E740" s="78"/>
      <c r="F740" s="73"/>
      <c r="G740" s="73"/>
      <c r="H740" s="74"/>
      <c r="I740" s="74"/>
      <c r="J740" s="74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  <c r="AE740" s="73"/>
      <c r="AF740" s="73"/>
      <c r="AG740" s="73"/>
      <c r="AH740" s="73"/>
      <c r="AI740" s="73"/>
      <c r="AJ740" s="73"/>
      <c r="AK740" s="73"/>
      <c r="AL740" s="73"/>
      <c r="AM740" s="73"/>
      <c r="AN740" s="73"/>
      <c r="AO740" s="73"/>
      <c r="AP740" s="73"/>
      <c r="AQ740" s="73"/>
      <c r="AR740" s="73"/>
      <c r="AS740" s="73"/>
      <c r="AT740" s="73"/>
      <c r="AU740" s="73"/>
      <c r="AV740" s="73"/>
      <c r="AW740" s="73"/>
      <c r="AX740" s="73"/>
      <c r="AY740" s="73"/>
      <c r="AZ740" s="73"/>
      <c r="BA740" s="73"/>
      <c r="BB740" s="73"/>
      <c r="BC740" s="73"/>
      <c r="BD740" s="73"/>
      <c r="BE740" s="73"/>
      <c r="BF740" s="73"/>
      <c r="BG740" s="73"/>
      <c r="BH740" s="73"/>
      <c r="BI740" s="73"/>
      <c r="BJ740" s="73"/>
      <c r="BK740" s="73"/>
      <c r="BL740" s="73"/>
      <c r="BM740" s="73"/>
      <c r="BN740" s="73"/>
      <c r="BO740" s="73"/>
      <c r="BP740" s="73"/>
      <c r="BQ740" s="73"/>
      <c r="BR740" s="73"/>
      <c r="BS740" s="73"/>
      <c r="BT740" s="73"/>
      <c r="BU740" s="73"/>
      <c r="BV740" s="73"/>
      <c r="BW740" s="73"/>
      <c r="BX740" s="73"/>
      <c r="BY740" s="73"/>
      <c r="BZ740" s="73"/>
      <c r="CA740" s="73"/>
      <c r="CB740" s="73"/>
      <c r="CC740" s="73"/>
      <c r="CD740" s="73"/>
      <c r="CE740" s="73"/>
      <c r="CF740" s="73"/>
      <c r="CG740" s="73"/>
      <c r="CH740" s="73"/>
      <c r="CI740" s="73"/>
      <c r="CJ740" s="73"/>
      <c r="CK740" s="73"/>
      <c r="CL740" s="73"/>
      <c r="CM740" s="73"/>
      <c r="CN740" s="73"/>
      <c r="CO740" s="73"/>
      <c r="CP740" s="73"/>
      <c r="CQ740" s="73"/>
      <c r="CR740" s="73"/>
      <c r="CS740" s="73"/>
      <c r="CT740" s="73"/>
      <c r="CU740" s="73"/>
      <c r="CV740" s="73"/>
      <c r="CW740" s="73"/>
      <c r="CX740" s="73"/>
      <c r="CY740" s="73"/>
      <c r="CZ740" s="73"/>
      <c r="DA740" s="73"/>
      <c r="DB740" s="73"/>
      <c r="DC740" s="73"/>
      <c r="DD740" s="73"/>
      <c r="DE740" s="73"/>
      <c r="DF740" s="73"/>
      <c r="DG740" s="73"/>
      <c r="DH740" s="73"/>
      <c r="DI740" s="73"/>
      <c r="DJ740" s="73"/>
      <c r="DK740" s="73"/>
      <c r="DL740" s="73"/>
      <c r="DM740" s="73"/>
      <c r="DN740" s="73"/>
      <c r="DO740" s="73"/>
      <c r="DP740" s="73"/>
      <c r="DQ740" s="73"/>
      <c r="DR740" s="73"/>
      <c r="DS740" s="73"/>
      <c r="DT740" s="73"/>
      <c r="DU740" s="73"/>
      <c r="DV740" s="73"/>
      <c r="DW740" s="73"/>
      <c r="DX740" s="73"/>
      <c r="DY740" s="73"/>
      <c r="DZ740" s="73"/>
      <c r="EA740" s="73"/>
      <c r="EB740" s="73"/>
      <c r="EC740" s="73"/>
      <c r="ED740" s="73"/>
      <c r="EE740" s="73"/>
      <c r="EF740" s="73"/>
      <c r="EG740" s="73"/>
      <c r="EH740" s="73"/>
      <c r="EI740" s="73"/>
      <c r="EJ740" s="73"/>
      <c r="EK740" s="73"/>
      <c r="EL740" s="73"/>
      <c r="EM740" s="73"/>
      <c r="EN740" s="73"/>
      <c r="EO740" s="73"/>
      <c r="EP740" s="73"/>
      <c r="EQ740" s="73"/>
      <c r="ER740" s="73"/>
      <c r="ES740" s="73"/>
      <c r="ET740" s="73"/>
      <c r="EU740" s="73"/>
      <c r="EV740" s="73"/>
      <c r="EW740" s="73"/>
      <c r="EX740" s="73"/>
      <c r="EY740" s="73"/>
      <c r="EZ740" s="73"/>
      <c r="FA740" s="73"/>
      <c r="FB740" s="73"/>
      <c r="FC740" s="73"/>
      <c r="FD740" s="73"/>
      <c r="FE740" s="73"/>
      <c r="FF740" s="73"/>
      <c r="FG740" s="73"/>
      <c r="FH740" s="73"/>
      <c r="FI740" s="73"/>
      <c r="FJ740" s="73"/>
      <c r="FK740" s="73"/>
      <c r="FL740" s="73"/>
      <c r="FM740" s="73"/>
      <c r="FN740" s="73"/>
      <c r="FO740" s="73"/>
      <c r="FP740" s="73"/>
      <c r="FQ740" s="73"/>
      <c r="FR740" s="73"/>
      <c r="FS740" s="73"/>
      <c r="FT740" s="73"/>
      <c r="FU740" s="73"/>
      <c r="FV740" s="73"/>
      <c r="FW740" s="73"/>
      <c r="FX740" s="73"/>
      <c r="FY740" s="73"/>
      <c r="FZ740" s="73"/>
      <c r="GA740" s="73"/>
      <c r="GB740" s="73"/>
      <c r="GC740" s="73"/>
      <c r="GD740" s="73"/>
      <c r="GE740" s="73"/>
      <c r="GF740" s="73"/>
      <c r="GG740" s="73"/>
      <c r="GH740" s="73"/>
      <c r="GI740" s="73"/>
      <c r="GJ740" s="73"/>
      <c r="GK740" s="73"/>
      <c r="GL740" s="73"/>
      <c r="GM740" s="73"/>
      <c r="GN740" s="73"/>
      <c r="GO740" s="73"/>
      <c r="GP740" s="73"/>
      <c r="GQ740" s="73"/>
      <c r="GR740" s="73"/>
      <c r="GS740" s="73"/>
      <c r="GT740" s="73"/>
      <c r="GU740" s="73"/>
      <c r="GV740" s="73"/>
      <c r="GW740" s="73"/>
      <c r="GX740" s="73"/>
      <c r="GY740" s="73"/>
      <c r="GZ740" s="73"/>
      <c r="HA740" s="73"/>
      <c r="HB740" s="73"/>
      <c r="HC740" s="73"/>
      <c r="HD740" s="73"/>
      <c r="HE740" s="73"/>
      <c r="HF740" s="73"/>
      <c r="HG740" s="73"/>
      <c r="HH740" s="73"/>
      <c r="HI740" s="73"/>
      <c r="HJ740" s="73"/>
      <c r="HK740" s="73"/>
      <c r="HL740" s="73"/>
      <c r="HM740" s="73"/>
      <c r="HN740" s="73"/>
      <c r="HO740" s="73"/>
      <c r="HP740" s="73"/>
      <c r="HQ740" s="73"/>
      <c r="HR740" s="73"/>
      <c r="HS740" s="73"/>
      <c r="HT740" s="73"/>
      <c r="HU740" s="73"/>
      <c r="HV740" s="73"/>
      <c r="HW740" s="73"/>
      <c r="HX740" s="73"/>
      <c r="HY740" s="73"/>
      <c r="HZ740" s="73"/>
      <c r="IA740" s="73"/>
      <c r="IB740" s="73"/>
      <c r="IC740" s="73"/>
      <c r="ID740" s="73"/>
      <c r="IE740" s="73"/>
      <c r="IF740" s="73"/>
      <c r="IG740" s="73"/>
      <c r="IH740" s="73"/>
      <c r="II740" s="73"/>
      <c r="IJ740" s="73"/>
      <c r="IK740" s="73"/>
      <c r="IL740" s="73"/>
      <c r="IM740" s="73"/>
      <c r="IN740" s="73"/>
      <c r="IO740" s="73"/>
      <c r="IP740" s="73"/>
      <c r="IQ740" s="73"/>
      <c r="IR740" s="73"/>
      <c r="IS740" s="73"/>
      <c r="IT740" s="73"/>
      <c r="IU740" s="73"/>
      <c r="IV740" s="73"/>
    </row>
    <row r="741" spans="1:256" ht="12.75" customHeight="1" customFormat="1" x14ac:dyDescent="0.3" s="75">
      <c r="A741" t="s" s="79">
        <v>308</v>
      </c>
      <c r="B741" s="80">
        <v>217</v>
      </c>
      <c r="C741" t="s" s="81">
        <v>309</v>
      </c>
      <c r="D741" t="s" s="101">
        <v>310</v>
      </c>
      <c r="E741" s="101"/>
      <c r="F741" s="82"/>
      <c r="G741" s="83"/>
      <c r="H741" s="74"/>
      <c r="I741" s="74"/>
      <c r="J741" s="74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  <c r="AE741" s="73"/>
      <c r="AF741" s="73"/>
      <c r="AG741" s="73"/>
      <c r="AH741" s="73"/>
      <c r="AI741" s="73"/>
      <c r="AJ741" s="73"/>
      <c r="AK741" s="73"/>
      <c r="AL741" s="73"/>
      <c r="AM741" s="73"/>
      <c r="AN741" s="73"/>
      <c r="AO741" s="73"/>
      <c r="AP741" s="73"/>
      <c r="AQ741" s="73"/>
      <c r="AR741" s="73"/>
      <c r="AS741" s="73"/>
      <c r="AT741" s="73"/>
      <c r="AU741" s="73"/>
      <c r="AV741" s="73"/>
      <c r="AW741" s="73"/>
      <c r="AX741" s="73"/>
      <c r="AY741" s="73"/>
      <c r="AZ741" s="73"/>
      <c r="BA741" s="73"/>
      <c r="BB741" s="73"/>
      <c r="BC741" s="73"/>
      <c r="BD741" s="73"/>
      <c r="BE741" s="73"/>
      <c r="BF741" s="73"/>
      <c r="BG741" s="73"/>
      <c r="BH741" s="73"/>
      <c r="BI741" s="73"/>
      <c r="BJ741" s="73"/>
      <c r="BK741" s="73"/>
      <c r="BL741" s="73"/>
      <c r="BM741" s="73"/>
      <c r="BN741" s="73"/>
      <c r="BO741" s="73"/>
      <c r="BP741" s="73"/>
      <c r="BQ741" s="73"/>
      <c r="BR741" s="73"/>
      <c r="BS741" s="73"/>
      <c r="BT741" s="73"/>
      <c r="BU741" s="73"/>
      <c r="BV741" s="73"/>
      <c r="BW741" s="73"/>
      <c r="BX741" s="73"/>
      <c r="BY741" s="73"/>
      <c r="BZ741" s="73"/>
      <c r="CA741" s="73"/>
      <c r="CB741" s="73"/>
      <c r="CC741" s="73"/>
      <c r="CD741" s="73"/>
      <c r="CE741" s="73"/>
      <c r="CF741" s="73"/>
      <c r="CG741" s="73"/>
      <c r="CH741" s="73"/>
      <c r="CI741" s="73"/>
      <c r="CJ741" s="73"/>
      <c r="CK741" s="73"/>
      <c r="CL741" s="73"/>
      <c r="CM741" s="73"/>
      <c r="CN741" s="73"/>
      <c r="CO741" s="73"/>
      <c r="CP741" s="73"/>
      <c r="CQ741" s="73"/>
      <c r="CR741" s="73"/>
      <c r="CS741" s="73"/>
      <c r="CT741" s="73"/>
      <c r="CU741" s="73"/>
      <c r="CV741" s="73"/>
      <c r="CW741" s="73"/>
      <c r="CX741" s="73"/>
      <c r="CY741" s="73"/>
      <c r="CZ741" s="73"/>
      <c r="DA741" s="73"/>
      <c r="DB741" s="73"/>
      <c r="DC741" s="73"/>
      <c r="DD741" s="73"/>
      <c r="DE741" s="73"/>
      <c r="DF741" s="73"/>
      <c r="DG741" s="73"/>
      <c r="DH741" s="73"/>
      <c r="DI741" s="73"/>
      <c r="DJ741" s="73"/>
      <c r="DK741" s="73"/>
      <c r="DL741" s="73"/>
      <c r="DM741" s="73"/>
      <c r="DN741" s="73"/>
      <c r="DO741" s="73"/>
      <c r="DP741" s="73"/>
      <c r="DQ741" s="73"/>
      <c r="DR741" s="73"/>
      <c r="DS741" s="73"/>
      <c r="DT741" s="73"/>
      <c r="DU741" s="73"/>
      <c r="DV741" s="73"/>
      <c r="DW741" s="73"/>
      <c r="DX741" s="73"/>
      <c r="DY741" s="73"/>
      <c r="DZ741" s="73"/>
      <c r="EA741" s="73"/>
      <c r="EB741" s="73"/>
      <c r="EC741" s="73"/>
      <c r="ED741" s="73"/>
      <c r="EE741" s="73"/>
      <c r="EF741" s="73"/>
      <c r="EG741" s="73"/>
      <c r="EH741" s="73"/>
      <c r="EI741" s="73"/>
      <c r="EJ741" s="73"/>
      <c r="EK741" s="73"/>
      <c r="EL741" s="73"/>
      <c r="EM741" s="73"/>
      <c r="EN741" s="73"/>
      <c r="EO741" s="73"/>
      <c r="EP741" s="73"/>
      <c r="EQ741" s="73"/>
      <c r="ER741" s="73"/>
      <c r="ES741" s="73"/>
      <c r="ET741" s="73"/>
      <c r="EU741" s="73"/>
      <c r="EV741" s="73"/>
      <c r="EW741" s="73"/>
      <c r="EX741" s="73"/>
      <c r="EY741" s="73"/>
      <c r="EZ741" s="73"/>
      <c r="FA741" s="73"/>
      <c r="FB741" s="73"/>
      <c r="FC741" s="73"/>
      <c r="FD741" s="73"/>
      <c r="FE741" s="73"/>
      <c r="FF741" s="73"/>
      <c r="FG741" s="73"/>
      <c r="FH741" s="73"/>
      <c r="FI741" s="73"/>
      <c r="FJ741" s="73"/>
      <c r="FK741" s="73"/>
      <c r="FL741" s="73"/>
      <c r="FM741" s="73"/>
      <c r="FN741" s="73"/>
      <c r="FO741" s="73"/>
      <c r="FP741" s="73"/>
      <c r="FQ741" s="73"/>
      <c r="FR741" s="73"/>
      <c r="FS741" s="73"/>
      <c r="FT741" s="73"/>
      <c r="FU741" s="73"/>
      <c r="FV741" s="73"/>
      <c r="FW741" s="73"/>
      <c r="FX741" s="73"/>
      <c r="FY741" s="73"/>
      <c r="FZ741" s="73"/>
      <c r="GA741" s="73"/>
      <c r="GB741" s="73"/>
      <c r="GC741" s="73"/>
      <c r="GD741" s="73"/>
      <c r="GE741" s="73"/>
      <c r="GF741" s="73"/>
      <c r="GG741" s="73"/>
      <c r="GH741" s="73"/>
      <c r="GI741" s="73"/>
      <c r="GJ741" s="73"/>
      <c r="GK741" s="73"/>
      <c r="GL741" s="73"/>
      <c r="GM741" s="73"/>
      <c r="GN741" s="73"/>
      <c r="GO741" s="73"/>
      <c r="GP741" s="73"/>
      <c r="GQ741" s="73"/>
      <c r="GR741" s="73"/>
      <c r="GS741" s="73"/>
      <c r="GT741" s="73"/>
      <c r="GU741" s="73"/>
      <c r="GV741" s="73"/>
      <c r="GW741" s="73"/>
      <c r="GX741" s="73"/>
      <c r="GY741" s="73"/>
      <c r="GZ741" s="73"/>
      <c r="HA741" s="73"/>
      <c r="HB741" s="73"/>
      <c r="HC741" s="73"/>
      <c r="HD741" s="73"/>
      <c r="HE741" s="73"/>
      <c r="HF741" s="73"/>
      <c r="HG741" s="73"/>
      <c r="HH741" s="73"/>
      <c r="HI741" s="73"/>
      <c r="HJ741" s="73"/>
      <c r="HK741" s="73"/>
      <c r="HL741" s="73"/>
      <c r="HM741" s="73"/>
      <c r="HN741" s="73"/>
      <c r="HO741" s="73"/>
      <c r="HP741" s="73"/>
      <c r="HQ741" s="73"/>
      <c r="HR741" s="73"/>
      <c r="HS741" s="73"/>
      <c r="HT741" s="73"/>
      <c r="HU741" s="73"/>
      <c r="HV741" s="73"/>
      <c r="HW741" s="73"/>
      <c r="HX741" s="73"/>
      <c r="HY741" s="73"/>
      <c r="HZ741" s="73"/>
      <c r="IA741" s="73"/>
      <c r="IB741" s="73"/>
      <c r="IC741" s="73"/>
      <c r="ID741" s="73"/>
      <c r="IE741" s="73"/>
      <c r="IF741" s="73"/>
      <c r="IG741" s="73"/>
      <c r="IH741" s="73"/>
      <c r="II741" s="73"/>
      <c r="IJ741" s="73"/>
      <c r="IK741" s="73"/>
      <c r="IL741" s="73"/>
      <c r="IM741" s="73"/>
      <c r="IN741" s="73"/>
      <c r="IO741" s="73"/>
      <c r="IP741" s="73"/>
      <c r="IQ741" s="73"/>
      <c r="IR741" s="73"/>
      <c r="IS741" s="73"/>
      <c r="IT741" s="73"/>
      <c r="IU741" s="73"/>
      <c r="IV741" s="73"/>
    </row>
    <row r="742" spans="1:256" customFormat="1" x14ac:dyDescent="0.3" s="75">
      <c r="A742" s="84"/>
      <c r="B742" s="85"/>
      <c r="C742" s="86"/>
      <c r="D742" s="73"/>
      <c r="E742" s="73"/>
      <c r="F742" s="73"/>
      <c r="G742" s="83"/>
      <c r="H742" s="74"/>
      <c r="I742" s="74"/>
      <c r="J742" s="74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  <c r="AE742" s="73"/>
      <c r="AF742" s="73"/>
      <c r="AG742" s="73"/>
      <c r="AH742" s="73"/>
      <c r="AI742" s="73"/>
      <c r="AJ742" s="73"/>
      <c r="AK742" s="73"/>
      <c r="AL742" s="73"/>
      <c r="AM742" s="73"/>
      <c r="AN742" s="73"/>
      <c r="AO742" s="73"/>
      <c r="AP742" s="73"/>
      <c r="AQ742" s="73"/>
      <c r="AR742" s="73"/>
      <c r="AS742" s="73"/>
      <c r="AT742" s="73"/>
      <c r="AU742" s="73"/>
      <c r="AV742" s="73"/>
      <c r="AW742" s="73"/>
      <c r="AX742" s="73"/>
      <c r="AY742" s="73"/>
      <c r="AZ742" s="73"/>
      <c r="BA742" s="73"/>
      <c r="BB742" s="73"/>
      <c r="BC742" s="73"/>
      <c r="BD742" s="73"/>
      <c r="BE742" s="73"/>
      <c r="BF742" s="73"/>
      <c r="BG742" s="73"/>
      <c r="BH742" s="73"/>
      <c r="BI742" s="73"/>
      <c r="BJ742" s="73"/>
      <c r="BK742" s="73"/>
      <c r="BL742" s="73"/>
      <c r="BM742" s="73"/>
      <c r="BN742" s="73"/>
      <c r="BO742" s="73"/>
      <c r="BP742" s="73"/>
      <c r="BQ742" s="73"/>
      <c r="BR742" s="73"/>
      <c r="BS742" s="73"/>
      <c r="BT742" s="73"/>
      <c r="BU742" s="73"/>
      <c r="BV742" s="73"/>
      <c r="BW742" s="73"/>
      <c r="BX742" s="73"/>
      <c r="BY742" s="73"/>
      <c r="BZ742" s="73"/>
      <c r="CA742" s="73"/>
      <c r="CB742" s="73"/>
      <c r="CC742" s="73"/>
      <c r="CD742" s="73"/>
      <c r="CE742" s="73"/>
      <c r="CF742" s="73"/>
      <c r="CG742" s="73"/>
      <c r="CH742" s="73"/>
      <c r="CI742" s="73"/>
      <c r="CJ742" s="73"/>
      <c r="CK742" s="73"/>
      <c r="CL742" s="73"/>
      <c r="CM742" s="73"/>
      <c r="CN742" s="73"/>
      <c r="CO742" s="73"/>
      <c r="CP742" s="73"/>
      <c r="CQ742" s="73"/>
      <c r="CR742" s="73"/>
      <c r="CS742" s="73"/>
      <c r="CT742" s="73"/>
      <c r="CU742" s="73"/>
      <c r="CV742" s="73"/>
      <c r="CW742" s="73"/>
      <c r="CX742" s="73"/>
      <c r="CY742" s="73"/>
      <c r="CZ742" s="73"/>
      <c r="DA742" s="73"/>
      <c r="DB742" s="73"/>
      <c r="DC742" s="73"/>
      <c r="DD742" s="73"/>
      <c r="DE742" s="73"/>
      <c r="DF742" s="73"/>
      <c r="DG742" s="73"/>
      <c r="DH742" s="73"/>
      <c r="DI742" s="73"/>
      <c r="DJ742" s="73"/>
      <c r="DK742" s="73"/>
      <c r="DL742" s="73"/>
      <c r="DM742" s="73"/>
      <c r="DN742" s="73"/>
      <c r="DO742" s="73"/>
      <c r="DP742" s="73"/>
      <c r="DQ742" s="73"/>
      <c r="DR742" s="73"/>
      <c r="DS742" s="73"/>
      <c r="DT742" s="73"/>
      <c r="DU742" s="73"/>
      <c r="DV742" s="73"/>
      <c r="DW742" s="73"/>
      <c r="DX742" s="73"/>
      <c r="DY742" s="73"/>
      <c r="DZ742" s="73"/>
      <c r="EA742" s="73"/>
      <c r="EB742" s="73"/>
      <c r="EC742" s="73"/>
      <c r="ED742" s="73"/>
      <c r="EE742" s="73"/>
      <c r="EF742" s="73"/>
      <c r="EG742" s="73"/>
      <c r="EH742" s="73"/>
      <c r="EI742" s="73"/>
      <c r="EJ742" s="73"/>
      <c r="EK742" s="73"/>
      <c r="EL742" s="73"/>
      <c r="EM742" s="73"/>
      <c r="EN742" s="73"/>
      <c r="EO742" s="73"/>
      <c r="EP742" s="73"/>
      <c r="EQ742" s="73"/>
      <c r="ER742" s="73"/>
      <c r="ES742" s="73"/>
      <c r="ET742" s="73"/>
      <c r="EU742" s="73"/>
      <c r="EV742" s="73"/>
      <c r="EW742" s="73"/>
      <c r="EX742" s="73"/>
      <c r="EY742" s="73"/>
      <c r="EZ742" s="73"/>
      <c r="FA742" s="73"/>
      <c r="FB742" s="73"/>
      <c r="FC742" s="73"/>
      <c r="FD742" s="73"/>
      <c r="FE742" s="73"/>
      <c r="FF742" s="73"/>
      <c r="FG742" s="73"/>
      <c r="FH742" s="73"/>
      <c r="FI742" s="73"/>
      <c r="FJ742" s="73"/>
      <c r="FK742" s="73"/>
      <c r="FL742" s="73"/>
      <c r="FM742" s="73"/>
      <c r="FN742" s="73"/>
      <c r="FO742" s="73"/>
      <c r="FP742" s="73"/>
      <c r="FQ742" s="73"/>
      <c r="FR742" s="73"/>
      <c r="FS742" s="73"/>
      <c r="FT742" s="73"/>
      <c r="FU742" s="73"/>
      <c r="FV742" s="73"/>
      <c r="FW742" s="73"/>
      <c r="FX742" s="73"/>
      <c r="FY742" s="73"/>
      <c r="FZ742" s="73"/>
      <c r="GA742" s="73"/>
      <c r="GB742" s="73"/>
      <c r="GC742" s="73"/>
      <c r="GD742" s="73"/>
      <c r="GE742" s="73"/>
      <c r="GF742" s="73"/>
      <c r="GG742" s="73"/>
      <c r="GH742" s="73"/>
      <c r="GI742" s="73"/>
      <c r="GJ742" s="73"/>
      <c r="GK742" s="73"/>
      <c r="GL742" s="73"/>
      <c r="GM742" s="73"/>
      <c r="GN742" s="73"/>
      <c r="GO742" s="73"/>
      <c r="GP742" s="73"/>
      <c r="GQ742" s="73"/>
      <c r="GR742" s="73"/>
      <c r="GS742" s="73"/>
      <c r="GT742" s="73"/>
      <c r="GU742" s="73"/>
      <c r="GV742" s="73"/>
      <c r="GW742" s="73"/>
      <c r="GX742" s="73"/>
      <c r="GY742" s="73"/>
      <c r="GZ742" s="73"/>
      <c r="HA742" s="73"/>
      <c r="HB742" s="73"/>
      <c r="HC742" s="73"/>
      <c r="HD742" s="73"/>
      <c r="HE742" s="73"/>
      <c r="HF742" s="73"/>
      <c r="HG742" s="73"/>
      <c r="HH742" s="73"/>
      <c r="HI742" s="73"/>
      <c r="HJ742" s="73"/>
      <c r="HK742" s="73"/>
      <c r="HL742" s="73"/>
      <c r="HM742" s="73"/>
      <c r="HN742" s="73"/>
      <c r="HO742" s="73"/>
      <c r="HP742" s="73"/>
      <c r="HQ742" s="73"/>
      <c r="HR742" s="73"/>
      <c r="HS742" s="73"/>
      <c r="HT742" s="73"/>
      <c r="HU742" s="73"/>
      <c r="HV742" s="73"/>
      <c r="HW742" s="73"/>
      <c r="HX742" s="73"/>
      <c r="HY742" s="73"/>
      <c r="HZ742" s="73"/>
      <c r="IA742" s="73"/>
      <c r="IB742" s="73"/>
      <c r="IC742" s="73"/>
      <c r="ID742" s="73"/>
      <c r="IE742" s="73"/>
      <c r="IF742" s="73"/>
      <c r="IG742" s="73"/>
      <c r="IH742" s="73"/>
      <c r="II742" s="73"/>
      <c r="IJ742" s="73"/>
      <c r="IK742" s="73"/>
      <c r="IL742" s="73"/>
      <c r="IM742" s="73"/>
      <c r="IN742" s="73"/>
      <c r="IO742" s="73"/>
      <c r="IP742" s="73"/>
      <c r="IQ742" s="73"/>
      <c r="IR742" s="73"/>
      <c r="IS742" s="73"/>
      <c r="IT742" s="73"/>
      <c r="IU742" s="73"/>
      <c r="IV742" s="73"/>
    </row>
    <row r="743" spans="1:255" ht="13.8" customFormat="1" x14ac:dyDescent="0.3" s="89">
      <c r="A743" s="84"/>
      <c r="B743" s="85"/>
      <c r="C743" s="86"/>
      <c r="D743" s="87"/>
      <c r="E743" s="87"/>
      <c r="F743" s="95"/>
      <c r="G743" s="95"/>
      <c r="H743" s="88"/>
      <c r="I743" s="88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  <c r="AC743" s="87"/>
      <c r="AD743" s="87"/>
      <c r="AE743" s="87"/>
      <c r="AF743" s="87"/>
      <c r="AG743" s="87"/>
      <c r="AH743" s="87"/>
      <c r="AI743" s="87"/>
      <c r="AJ743" s="87"/>
      <c r="AK743" s="87"/>
      <c r="AL743" s="87"/>
      <c r="AM743" s="87"/>
      <c r="AN743" s="87"/>
      <c r="AO743" s="87"/>
      <c r="AP743" s="87"/>
      <c r="AQ743" s="87"/>
      <c r="AR743" s="87"/>
      <c r="AS743" s="87"/>
      <c r="AT743" s="87"/>
      <c r="AU743" s="87"/>
      <c r="AV743" s="87"/>
      <c r="AW743" s="87"/>
      <c r="AX743" s="87"/>
      <c r="AY743" s="87"/>
      <c r="AZ743" s="87"/>
      <c r="BA743" s="87"/>
      <c r="BB743" s="87"/>
      <c r="BC743" s="87"/>
      <c r="BD743" s="87"/>
      <c r="BE743" s="87"/>
      <c r="BF743" s="87"/>
      <c r="BG743" s="87"/>
      <c r="BH743" s="87"/>
      <c r="BI743" s="87"/>
      <c r="BJ743" s="87"/>
      <c r="BK743" s="87"/>
      <c r="BL743" s="87"/>
      <c r="BM743" s="87"/>
      <c r="BN743" s="87"/>
      <c r="BO743" s="87"/>
      <c r="BP743" s="87"/>
      <c r="BQ743" s="87"/>
      <c r="BR743" s="87"/>
      <c r="BS743" s="87"/>
      <c r="BT743" s="87"/>
      <c r="BU743" s="87"/>
      <c r="BV743" s="87"/>
      <c r="BW743" s="87"/>
      <c r="BX743" s="87"/>
      <c r="BY743" s="87"/>
      <c r="BZ743" s="87"/>
      <c r="CA743" s="87"/>
      <c r="CB743" s="87"/>
      <c r="CC743" s="87"/>
      <c r="CD743" s="87"/>
      <c r="CE743" s="87"/>
      <c r="CF743" s="87"/>
      <c r="CG743" s="87"/>
      <c r="CH743" s="87"/>
      <c r="CI743" s="87"/>
      <c r="CJ743" s="87"/>
      <c r="CK743" s="87"/>
      <c r="CL743" s="87"/>
      <c r="CM743" s="87"/>
      <c r="CN743" s="87"/>
      <c r="CO743" s="87"/>
      <c r="CP743" s="87"/>
      <c r="CQ743" s="87"/>
      <c r="CR743" s="87"/>
      <c r="CS743" s="87"/>
      <c r="CT743" s="87"/>
      <c r="CU743" s="87"/>
      <c r="CV743" s="87"/>
      <c r="CW743" s="87"/>
      <c r="CX743" s="87"/>
      <c r="CY743" s="87"/>
      <c r="CZ743" s="87"/>
      <c r="DA743" s="87"/>
      <c r="DB743" s="87"/>
      <c r="DC743" s="87"/>
      <c r="DD743" s="87"/>
      <c r="DE743" s="87"/>
      <c r="DF743" s="87"/>
      <c r="DG743" s="87"/>
      <c r="DH743" s="87"/>
      <c r="DI743" s="87"/>
      <c r="DJ743" s="87"/>
      <c r="DK743" s="87"/>
      <c r="DL743" s="87"/>
      <c r="DM743" s="87"/>
      <c r="DN743" s="87"/>
      <c r="DO743" s="87"/>
      <c r="DP743" s="87"/>
      <c r="DQ743" s="87"/>
      <c r="DR743" s="87"/>
      <c r="DS743" s="87"/>
      <c r="DT743" s="87"/>
      <c r="DU743" s="87"/>
      <c r="DV743" s="87"/>
      <c r="DW743" s="87"/>
      <c r="DX743" s="87"/>
      <c r="DY743" s="87"/>
      <c r="DZ743" s="87"/>
      <c r="EA743" s="87"/>
      <c r="EB743" s="87"/>
      <c r="EC743" s="87"/>
      <c r="ED743" s="87"/>
      <c r="EE743" s="87"/>
      <c r="EF743" s="87"/>
      <c r="EG743" s="87"/>
      <c r="EH743" s="87"/>
      <c r="EI743" s="87"/>
      <c r="EJ743" s="87"/>
      <c r="EK743" s="87"/>
      <c r="EL743" s="87"/>
      <c r="EM743" s="87"/>
      <c r="EN743" s="87"/>
      <c r="EO743" s="87"/>
      <c r="EP743" s="87"/>
      <c r="EQ743" s="87"/>
      <c r="ER743" s="87"/>
      <c r="ES743" s="87"/>
      <c r="ET743" s="87"/>
      <c r="EU743" s="87"/>
      <c r="EV743" s="87"/>
      <c r="EW743" s="87"/>
      <c r="EX743" s="87"/>
      <c r="EY743" s="87"/>
      <c r="EZ743" s="87"/>
      <c r="FA743" s="87"/>
      <c r="FB743" s="87"/>
      <c r="FC743" s="87"/>
      <c r="FD743" s="87"/>
      <c r="FE743" s="87"/>
      <c r="FF743" s="87"/>
      <c r="FG743" s="87"/>
      <c r="FH743" s="87"/>
      <c r="FI743" s="87"/>
      <c r="FJ743" s="87"/>
      <c r="FK743" s="87"/>
      <c r="FL743" s="87"/>
      <c r="FM743" s="87"/>
      <c r="FN743" s="87"/>
      <c r="FO743" s="87"/>
      <c r="FP743" s="87"/>
      <c r="FQ743" s="87"/>
      <c r="FR743" s="87"/>
      <c r="FS743" s="87"/>
      <c r="FT743" s="87"/>
      <c r="FU743" s="87"/>
      <c r="FV743" s="87"/>
      <c r="FW743" s="87"/>
      <c r="FX743" s="87"/>
      <c r="FY743" s="87"/>
      <c r="FZ743" s="87"/>
      <c r="GA743" s="87"/>
      <c r="GB743" s="87"/>
      <c r="GC743" s="87"/>
      <c r="GD743" s="87"/>
      <c r="GE743" s="87"/>
      <c r="GF743" s="87"/>
      <c r="GG743" s="87"/>
      <c r="GH743" s="87"/>
      <c r="GI743" s="87"/>
      <c r="GJ743" s="87"/>
      <c r="GK743" s="87"/>
      <c r="GL743" s="87"/>
      <c r="GM743" s="87"/>
      <c r="GN743" s="87"/>
      <c r="GO743" s="87"/>
      <c r="GP743" s="87"/>
      <c r="GQ743" s="87"/>
      <c r="GR743" s="87"/>
      <c r="GS743" s="87"/>
      <c r="GT743" s="87"/>
      <c r="GU743" s="87"/>
      <c r="GV743" s="87"/>
      <c r="GW743" s="87"/>
      <c r="GX743" s="87"/>
      <c r="GY743" s="87"/>
      <c r="GZ743" s="87"/>
      <c r="HA743" s="87"/>
      <c r="HB743" s="87"/>
      <c r="HC743" s="87"/>
      <c r="HD743" s="87"/>
      <c r="HE743" s="87"/>
      <c r="HF743" s="87"/>
      <c r="HG743" s="87"/>
      <c r="HH743" s="87"/>
      <c r="HI743" s="87"/>
      <c r="HJ743" s="87"/>
      <c r="HK743" s="87"/>
      <c r="HL743" s="87"/>
      <c r="HM743" s="87"/>
      <c r="HN743" s="87"/>
      <c r="HO743" s="87"/>
      <c r="HP743" s="87"/>
      <c r="HQ743" s="87"/>
      <c r="HR743" s="87"/>
      <c r="HS743" s="87"/>
      <c r="HT743" s="87"/>
      <c r="HU743" s="87"/>
      <c r="HV743" s="87"/>
      <c r="HW743" s="87"/>
      <c r="HX743" s="87"/>
      <c r="HY743" s="87"/>
      <c r="HZ743" s="87"/>
      <c r="IA743" s="87"/>
      <c r="IB743" s="87"/>
      <c r="IC743" s="87"/>
      <c r="ID743" s="87"/>
      <c r="IE743" s="87"/>
      <c r="IF743" s="87"/>
      <c r="IG743" s="87"/>
      <c r="IH743" s="87"/>
      <c r="II743" s="87"/>
      <c r="IJ743" s="87"/>
      <c r="IK743" s="87"/>
      <c r="IL743" s="87"/>
      <c r="IM743" s="87"/>
      <c r="IN743" s="87"/>
      <c r="IO743" s="87"/>
      <c r="IP743" s="87"/>
      <c r="IQ743" s="87"/>
      <c r="IR743" s="87"/>
      <c r="IS743" s="87"/>
      <c r="IT743" s="87"/>
      <c r="IU743" s="87"/>
    </row>
    <row r="744" spans="1:256" ht="13.8" customFormat="1" x14ac:dyDescent="0.3" s="89">
      <c r="A744" s="84"/>
      <c r="B744" s="85"/>
      <c r="C744" s="86"/>
      <c r="D744" s="87"/>
      <c r="E744" s="87"/>
      <c r="F744" t="s" s="96">
        <v>311</v>
      </c>
      <c r="G744" s="96"/>
      <c r="H744" s="96"/>
      <c r="I744" s="88"/>
      <c r="J744" s="88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  <c r="AC744" s="87"/>
      <c r="AD744" s="87"/>
      <c r="AE744" s="87"/>
      <c r="AF744" s="87"/>
      <c r="AG744" s="87"/>
      <c r="AH744" s="87"/>
      <c r="AI744" s="87"/>
      <c r="AJ744" s="87"/>
      <c r="AK744" s="87"/>
      <c r="AL744" s="87"/>
      <c r="AM744" s="87"/>
      <c r="AN744" s="87"/>
      <c r="AO744" s="87"/>
      <c r="AP744" s="87"/>
      <c r="AQ744" s="87"/>
      <c r="AR744" s="87"/>
      <c r="AS744" s="87"/>
      <c r="AT744" s="87"/>
      <c r="AU744" s="87"/>
      <c r="AV744" s="87"/>
      <c r="AW744" s="87"/>
      <c r="AX744" s="87"/>
      <c r="AY744" s="87"/>
      <c r="AZ744" s="87"/>
      <c r="BA744" s="87"/>
      <c r="BB744" s="87"/>
      <c r="BC744" s="87"/>
      <c r="BD744" s="87"/>
      <c r="BE744" s="87"/>
      <c r="BF744" s="87"/>
      <c r="BG744" s="87"/>
      <c r="BH744" s="87"/>
      <c r="BI744" s="87"/>
      <c r="BJ744" s="87"/>
      <c r="BK744" s="87"/>
      <c r="BL744" s="87"/>
      <c r="BM744" s="87"/>
      <c r="BN744" s="87"/>
      <c r="BO744" s="87"/>
      <c r="BP744" s="87"/>
      <c r="BQ744" s="87"/>
      <c r="BR744" s="87"/>
      <c r="BS744" s="87"/>
      <c r="BT744" s="87"/>
      <c r="BU744" s="87"/>
      <c r="BV744" s="87"/>
      <c r="BW744" s="87"/>
      <c r="BX744" s="87"/>
      <c r="BY744" s="87"/>
      <c r="BZ744" s="87"/>
      <c r="CA744" s="87"/>
      <c r="CB744" s="87"/>
      <c r="CC744" s="87"/>
      <c r="CD744" s="87"/>
      <c r="CE744" s="87"/>
      <c r="CF744" s="87"/>
      <c r="CG744" s="87"/>
      <c r="CH744" s="87"/>
      <c r="CI744" s="87"/>
      <c r="CJ744" s="87"/>
      <c r="CK744" s="87"/>
      <c r="CL744" s="87"/>
      <c r="CM744" s="87"/>
      <c r="CN744" s="87"/>
      <c r="CO744" s="87"/>
      <c r="CP744" s="87"/>
      <c r="CQ744" s="87"/>
      <c r="CR744" s="87"/>
      <c r="CS744" s="87"/>
      <c r="CT744" s="87"/>
      <c r="CU744" s="87"/>
      <c r="CV744" s="87"/>
      <c r="CW744" s="87"/>
      <c r="CX744" s="87"/>
      <c r="CY744" s="87"/>
      <c r="CZ744" s="87"/>
      <c r="DA744" s="87"/>
      <c r="DB744" s="87"/>
      <c r="DC744" s="87"/>
      <c r="DD744" s="87"/>
      <c r="DE744" s="87"/>
      <c r="DF744" s="87"/>
      <c r="DG744" s="87"/>
      <c r="DH744" s="87"/>
      <c r="DI744" s="87"/>
      <c r="DJ744" s="87"/>
      <c r="DK744" s="87"/>
      <c r="DL744" s="87"/>
      <c r="DM744" s="87"/>
      <c r="DN744" s="87"/>
      <c r="DO744" s="87"/>
      <c r="DP744" s="87"/>
      <c r="DQ744" s="87"/>
      <c r="DR744" s="87"/>
      <c r="DS744" s="87"/>
      <c r="DT744" s="87"/>
      <c r="DU744" s="87"/>
      <c r="DV744" s="87"/>
      <c r="DW744" s="87"/>
      <c r="DX744" s="87"/>
      <c r="DY744" s="87"/>
      <c r="DZ744" s="87"/>
      <c r="EA744" s="87"/>
      <c r="EB744" s="87"/>
      <c r="EC744" s="87"/>
      <c r="ED744" s="87"/>
      <c r="EE744" s="87"/>
      <c r="EF744" s="87"/>
      <c r="EG744" s="87"/>
      <c r="EH744" s="87"/>
      <c r="EI744" s="87"/>
      <c r="EJ744" s="87"/>
      <c r="EK744" s="87"/>
      <c r="EL744" s="87"/>
      <c r="EM744" s="87"/>
      <c r="EN744" s="87"/>
      <c r="EO744" s="87"/>
      <c r="EP744" s="87"/>
      <c r="EQ744" s="87"/>
      <c r="ER744" s="87"/>
      <c r="ES744" s="87"/>
      <c r="ET744" s="87"/>
      <c r="EU744" s="87"/>
      <c r="EV744" s="87"/>
      <c r="EW744" s="87"/>
      <c r="EX744" s="87"/>
      <c r="EY744" s="87"/>
      <c r="EZ744" s="87"/>
      <c r="FA744" s="87"/>
      <c r="FB744" s="87"/>
      <c r="FC744" s="87"/>
      <c r="FD744" s="87"/>
      <c r="FE744" s="87"/>
      <c r="FF744" s="87"/>
      <c r="FG744" s="87"/>
      <c r="FH744" s="87"/>
      <c r="FI744" s="87"/>
      <c r="FJ744" s="87"/>
      <c r="FK744" s="87"/>
      <c r="FL744" s="87"/>
      <c r="FM744" s="87"/>
      <c r="FN744" s="87"/>
      <c r="FO744" s="87"/>
      <c r="FP744" s="87"/>
      <c r="FQ744" s="87"/>
      <c r="FR744" s="87"/>
      <c r="FS744" s="87"/>
      <c r="FT744" s="87"/>
      <c r="FU744" s="87"/>
      <c r="FV744" s="87"/>
      <c r="FW744" s="87"/>
      <c r="FX744" s="87"/>
      <c r="FY744" s="87"/>
      <c r="FZ744" s="87"/>
      <c r="GA744" s="87"/>
      <c r="GB744" s="87"/>
      <c r="GC744" s="87"/>
      <c r="GD744" s="87"/>
      <c r="GE744" s="87"/>
      <c r="GF744" s="87"/>
      <c r="GG744" s="87"/>
      <c r="GH744" s="87"/>
      <c r="GI744" s="87"/>
      <c r="GJ744" s="87"/>
      <c r="GK744" s="87"/>
      <c r="GL744" s="87"/>
      <c r="GM744" s="87"/>
      <c r="GN744" s="87"/>
      <c r="GO744" s="87"/>
      <c r="GP744" s="87"/>
      <c r="GQ744" s="87"/>
      <c r="GR744" s="87"/>
      <c r="GS744" s="87"/>
      <c r="GT744" s="87"/>
      <c r="GU744" s="87"/>
      <c r="GV744" s="87"/>
      <c r="GW744" s="87"/>
      <c r="GX744" s="87"/>
      <c r="GY744" s="87"/>
      <c r="GZ744" s="87"/>
      <c r="HA744" s="87"/>
      <c r="HB744" s="87"/>
      <c r="HC744" s="87"/>
      <c r="HD744" s="87"/>
      <c r="HE744" s="87"/>
      <c r="HF744" s="87"/>
      <c r="HG744" s="87"/>
      <c r="HH744" s="87"/>
      <c r="HI744" s="87"/>
      <c r="HJ744" s="87"/>
      <c r="HK744" s="87"/>
      <c r="HL744" s="87"/>
      <c r="HM744" s="87"/>
      <c r="HN744" s="87"/>
      <c r="HO744" s="87"/>
      <c r="HP744" s="87"/>
      <c r="HQ744" s="87"/>
      <c r="HR744" s="87"/>
      <c r="HS744" s="87"/>
      <c r="HT744" s="87"/>
      <c r="HU744" s="87"/>
      <c r="HV744" s="87"/>
      <c r="HW744" s="87"/>
      <c r="HX744" s="87"/>
      <c r="HY744" s="87"/>
      <c r="HZ744" s="87"/>
      <c r="IA744" s="87"/>
      <c r="IB744" s="87"/>
      <c r="IC744" s="87"/>
      <c r="ID744" s="87"/>
      <c r="IE744" s="87"/>
      <c r="IF744" s="87"/>
      <c r="IG744" s="87"/>
      <c r="IH744" s="87"/>
      <c r="II744" s="87"/>
      <c r="IJ744" s="87"/>
      <c r="IK744" s="87"/>
      <c r="IL744" s="87"/>
      <c r="IM744" s="87"/>
      <c r="IN744" s="87"/>
      <c r="IO744" s="87"/>
      <c r="IP744" s="87"/>
      <c r="IQ744" s="87"/>
      <c r="IR744" s="87"/>
      <c r="IS744" s="87"/>
      <c r="IT744" s="87"/>
      <c r="IU744" s="87"/>
      <c r="IV744" s="87"/>
    </row>
    <row r="745" spans="1:255" ht="14.25" customHeight="1" customFormat="1" x14ac:dyDescent="0.3" s="89">
      <c r="A745" s="84"/>
      <c r="B745" s="85"/>
      <c r="C745" s="86"/>
      <c r="D745" s="87"/>
      <c r="E745" s="87"/>
      <c r="F745" s="95"/>
      <c r="G745" s="95"/>
      <c r="H745" s="88"/>
      <c r="I745" s="88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  <c r="AC745" s="87"/>
      <c r="AD745" s="87"/>
      <c r="AE745" s="87"/>
      <c r="AF745" s="87"/>
      <c r="AG745" s="87"/>
      <c r="AH745" s="87"/>
      <c r="AI745" s="87"/>
      <c r="AJ745" s="87"/>
      <c r="AK745" s="87"/>
      <c r="AL745" s="87"/>
      <c r="AM745" s="87"/>
      <c r="AN745" s="87"/>
      <c r="AO745" s="87"/>
      <c r="AP745" s="87"/>
      <c r="AQ745" s="87"/>
      <c r="AR745" s="87"/>
      <c r="AS745" s="87"/>
      <c r="AT745" s="87"/>
      <c r="AU745" s="87"/>
      <c r="AV745" s="87"/>
      <c r="AW745" s="87"/>
      <c r="AX745" s="87"/>
      <c r="AY745" s="87"/>
      <c r="AZ745" s="87"/>
      <c r="BA745" s="87"/>
      <c r="BB745" s="87"/>
      <c r="BC745" s="87"/>
      <c r="BD745" s="87"/>
      <c r="BE745" s="87"/>
      <c r="BF745" s="87"/>
      <c r="BG745" s="87"/>
      <c r="BH745" s="87"/>
      <c r="BI745" s="87"/>
      <c r="BJ745" s="87"/>
      <c r="BK745" s="87"/>
      <c r="BL745" s="87"/>
      <c r="BM745" s="87"/>
      <c r="BN745" s="87"/>
      <c r="BO745" s="87"/>
      <c r="BP745" s="87"/>
      <c r="BQ745" s="87"/>
      <c r="BR745" s="87"/>
      <c r="BS745" s="87"/>
      <c r="BT745" s="87"/>
      <c r="BU745" s="87"/>
      <c r="BV745" s="87"/>
      <c r="BW745" s="87"/>
      <c r="BX745" s="87"/>
      <c r="BY745" s="87"/>
      <c r="BZ745" s="87"/>
      <c r="CA745" s="87"/>
      <c r="CB745" s="87"/>
      <c r="CC745" s="87"/>
      <c r="CD745" s="87"/>
      <c r="CE745" s="87"/>
      <c r="CF745" s="87"/>
      <c r="CG745" s="87"/>
      <c r="CH745" s="87"/>
      <c r="CI745" s="87"/>
      <c r="CJ745" s="87"/>
      <c r="CK745" s="87"/>
      <c r="CL745" s="87"/>
      <c r="CM745" s="87"/>
      <c r="CN745" s="87"/>
      <c r="CO745" s="87"/>
      <c r="CP745" s="87"/>
      <c r="CQ745" s="87"/>
      <c r="CR745" s="87"/>
      <c r="CS745" s="87"/>
      <c r="CT745" s="87"/>
      <c r="CU745" s="87"/>
      <c r="CV745" s="87"/>
      <c r="CW745" s="87"/>
      <c r="CX745" s="87"/>
      <c r="CY745" s="87"/>
      <c r="CZ745" s="87"/>
      <c r="DA745" s="87"/>
      <c r="DB745" s="87"/>
      <c r="DC745" s="87"/>
      <c r="DD745" s="87"/>
      <c r="DE745" s="87"/>
      <c r="DF745" s="87"/>
      <c r="DG745" s="87"/>
      <c r="DH745" s="87"/>
      <c r="DI745" s="87"/>
      <c r="DJ745" s="87"/>
      <c r="DK745" s="87"/>
      <c r="DL745" s="87"/>
      <c r="DM745" s="87"/>
      <c r="DN745" s="87"/>
      <c r="DO745" s="87"/>
      <c r="DP745" s="87"/>
      <c r="DQ745" s="87"/>
      <c r="DR745" s="87"/>
      <c r="DS745" s="87"/>
      <c r="DT745" s="87"/>
      <c r="DU745" s="87"/>
      <c r="DV745" s="87"/>
      <c r="DW745" s="87"/>
      <c r="DX745" s="87"/>
      <c r="DY745" s="87"/>
      <c r="DZ745" s="87"/>
      <c r="EA745" s="87"/>
      <c r="EB745" s="87"/>
      <c r="EC745" s="87"/>
      <c r="ED745" s="87"/>
      <c r="EE745" s="87"/>
      <c r="EF745" s="87"/>
      <c r="EG745" s="87"/>
      <c r="EH745" s="87"/>
      <c r="EI745" s="87"/>
      <c r="EJ745" s="87"/>
      <c r="EK745" s="87"/>
      <c r="EL745" s="87"/>
      <c r="EM745" s="87"/>
      <c r="EN745" s="87"/>
      <c r="EO745" s="87"/>
      <c r="EP745" s="87"/>
      <c r="EQ745" s="87"/>
      <c r="ER745" s="87"/>
      <c r="ES745" s="87"/>
      <c r="ET745" s="87"/>
      <c r="EU745" s="87"/>
      <c r="EV745" s="87"/>
      <c r="EW745" s="87"/>
      <c r="EX745" s="87"/>
      <c r="EY745" s="87"/>
      <c r="EZ745" s="87"/>
      <c r="FA745" s="87"/>
      <c r="FB745" s="87"/>
      <c r="FC745" s="87"/>
      <c r="FD745" s="87"/>
      <c r="FE745" s="87"/>
      <c r="FF745" s="87"/>
      <c r="FG745" s="87"/>
      <c r="FH745" s="87"/>
      <c r="FI745" s="87"/>
      <c r="FJ745" s="87"/>
      <c r="FK745" s="87"/>
      <c r="FL745" s="87"/>
      <c r="FM745" s="87"/>
      <c r="FN745" s="87"/>
      <c r="FO745" s="87"/>
      <c r="FP745" s="87"/>
      <c r="FQ745" s="87"/>
      <c r="FR745" s="87"/>
      <c r="FS745" s="87"/>
      <c r="FT745" s="87"/>
      <c r="FU745" s="87"/>
      <c r="FV745" s="87"/>
      <c r="FW745" s="87"/>
      <c r="FX745" s="87"/>
      <c r="FY745" s="87"/>
      <c r="FZ745" s="87"/>
      <c r="GA745" s="87"/>
      <c r="GB745" s="87"/>
      <c r="GC745" s="87"/>
      <c r="GD745" s="87"/>
      <c r="GE745" s="87"/>
      <c r="GF745" s="87"/>
      <c r="GG745" s="87"/>
      <c r="GH745" s="87"/>
      <c r="GI745" s="87"/>
      <c r="GJ745" s="87"/>
      <c r="GK745" s="87"/>
      <c r="GL745" s="87"/>
      <c r="GM745" s="87"/>
      <c r="GN745" s="87"/>
      <c r="GO745" s="87"/>
      <c r="GP745" s="87"/>
      <c r="GQ745" s="87"/>
      <c r="GR745" s="87"/>
      <c r="GS745" s="87"/>
      <c r="GT745" s="87"/>
      <c r="GU745" s="87"/>
      <c r="GV745" s="87"/>
      <c r="GW745" s="87"/>
      <c r="GX745" s="87"/>
      <c r="GY745" s="87"/>
      <c r="GZ745" s="87"/>
      <c r="HA745" s="87"/>
      <c r="HB745" s="87"/>
      <c r="HC745" s="87"/>
      <c r="HD745" s="87"/>
      <c r="HE745" s="87"/>
      <c r="HF745" s="87"/>
      <c r="HG745" s="87"/>
      <c r="HH745" s="87"/>
      <c r="HI745" s="87"/>
      <c r="HJ745" s="87"/>
      <c r="HK745" s="87"/>
      <c r="HL745" s="87"/>
      <c r="HM745" s="87"/>
      <c r="HN745" s="87"/>
      <c r="HO745" s="87"/>
      <c r="HP745" s="87"/>
      <c r="HQ745" s="87"/>
      <c r="HR745" s="87"/>
      <c r="HS745" s="87"/>
      <c r="HT745" s="87"/>
      <c r="HU745" s="87"/>
      <c r="HV745" s="87"/>
      <c r="HW745" s="87"/>
      <c r="HX745" s="87"/>
      <c r="HY745" s="87"/>
      <c r="HZ745" s="87"/>
      <c r="IA745" s="87"/>
      <c r="IB745" s="87"/>
      <c r="IC745" s="87"/>
      <c r="ID745" s="87"/>
      <c r="IE745" s="87"/>
      <c r="IF745" s="87"/>
      <c r="IG745" s="87"/>
      <c r="IH745" s="87"/>
      <c r="II745" s="87"/>
      <c r="IJ745" s="87"/>
      <c r="IK745" s="87"/>
      <c r="IL745" s="87"/>
      <c r="IM745" s="87"/>
      <c r="IN745" s="87"/>
      <c r="IO745" s="87"/>
      <c r="IP745" s="87"/>
      <c r="IQ745" s="87"/>
      <c r="IR745" s="87"/>
      <c r="IS745" s="87"/>
      <c r="IT745" s="87"/>
      <c r="IU745" s="87"/>
    </row>
    <row r="746" spans="1:256" ht="16.5" customHeight="1" customFormat="1" x14ac:dyDescent="0.3" s="89">
      <c r="A746" s="84"/>
      <c r="B746" s="85"/>
      <c r="C746" s="90"/>
      <c r="D746" s="87"/>
      <c r="E746" s="87"/>
      <c r="F746" t="s" s="96">
        <v>312</v>
      </c>
      <c r="G746" s="96"/>
      <c r="H746" s="91"/>
      <c r="I746" s="88"/>
      <c r="J746" s="88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  <c r="AC746" s="87"/>
      <c r="AD746" s="87"/>
      <c r="AE746" s="87"/>
      <c r="AF746" s="87"/>
      <c r="AG746" s="87"/>
      <c r="AH746" s="87"/>
      <c r="AI746" s="87"/>
      <c r="AJ746" s="87"/>
      <c r="AK746" s="87"/>
      <c r="AL746" s="87"/>
      <c r="AM746" s="87"/>
      <c r="AN746" s="87"/>
      <c r="AO746" s="87"/>
      <c r="AP746" s="87"/>
      <c r="AQ746" s="87"/>
      <c r="AR746" s="87"/>
      <c r="AS746" s="87"/>
      <c r="AT746" s="87"/>
      <c r="AU746" s="87"/>
      <c r="AV746" s="87"/>
      <c r="AW746" s="87"/>
      <c r="AX746" s="87"/>
      <c r="AY746" s="87"/>
      <c r="AZ746" s="87"/>
      <c r="BA746" s="87"/>
      <c r="BB746" s="87"/>
      <c r="BC746" s="87"/>
      <c r="BD746" s="87"/>
      <c r="BE746" s="87"/>
      <c r="BF746" s="87"/>
      <c r="BG746" s="87"/>
      <c r="BH746" s="87"/>
      <c r="BI746" s="87"/>
      <c r="BJ746" s="87"/>
      <c r="BK746" s="87"/>
      <c r="BL746" s="87"/>
      <c r="BM746" s="87"/>
      <c r="BN746" s="87"/>
      <c r="BO746" s="87"/>
      <c r="BP746" s="87"/>
      <c r="BQ746" s="87"/>
      <c r="BR746" s="87"/>
      <c r="BS746" s="87"/>
      <c r="BT746" s="87"/>
      <c r="BU746" s="87"/>
      <c r="BV746" s="87"/>
      <c r="BW746" s="87"/>
      <c r="BX746" s="87"/>
      <c r="BY746" s="87"/>
      <c r="BZ746" s="87"/>
      <c r="CA746" s="87"/>
      <c r="CB746" s="87"/>
      <c r="CC746" s="87"/>
      <c r="CD746" s="87"/>
      <c r="CE746" s="87"/>
      <c r="CF746" s="87"/>
      <c r="CG746" s="87"/>
      <c r="CH746" s="87"/>
      <c r="CI746" s="87"/>
      <c r="CJ746" s="87"/>
      <c r="CK746" s="87"/>
      <c r="CL746" s="87"/>
      <c r="CM746" s="87"/>
      <c r="CN746" s="87"/>
      <c r="CO746" s="87"/>
      <c r="CP746" s="87"/>
      <c r="CQ746" s="87"/>
      <c r="CR746" s="87"/>
      <c r="CS746" s="87"/>
      <c r="CT746" s="87"/>
      <c r="CU746" s="87"/>
      <c r="CV746" s="87"/>
      <c r="CW746" s="87"/>
      <c r="CX746" s="87"/>
      <c r="CY746" s="87"/>
      <c r="CZ746" s="87"/>
      <c r="DA746" s="87"/>
      <c r="DB746" s="87"/>
      <c r="DC746" s="87"/>
      <c r="DD746" s="87"/>
      <c r="DE746" s="87"/>
      <c r="DF746" s="87"/>
      <c r="DG746" s="87"/>
      <c r="DH746" s="87"/>
      <c r="DI746" s="87"/>
      <c r="DJ746" s="87"/>
      <c r="DK746" s="87"/>
      <c r="DL746" s="87"/>
      <c r="DM746" s="87"/>
      <c r="DN746" s="87"/>
      <c r="DO746" s="87"/>
      <c r="DP746" s="87"/>
      <c r="DQ746" s="87"/>
      <c r="DR746" s="87"/>
      <c r="DS746" s="87"/>
      <c r="DT746" s="87"/>
      <c r="DU746" s="87"/>
      <c r="DV746" s="87"/>
      <c r="DW746" s="87"/>
      <c r="DX746" s="87"/>
      <c r="DY746" s="87"/>
      <c r="DZ746" s="87"/>
      <c r="EA746" s="87"/>
      <c r="EB746" s="87"/>
      <c r="EC746" s="87"/>
      <c r="ED746" s="87"/>
      <c r="EE746" s="87"/>
      <c r="EF746" s="87"/>
      <c r="EG746" s="87"/>
      <c r="EH746" s="87"/>
      <c r="EI746" s="87"/>
      <c r="EJ746" s="87"/>
      <c r="EK746" s="87"/>
      <c r="EL746" s="87"/>
      <c r="EM746" s="87"/>
      <c r="EN746" s="87"/>
      <c r="EO746" s="87"/>
      <c r="EP746" s="87"/>
      <c r="EQ746" s="87"/>
      <c r="ER746" s="87"/>
      <c r="ES746" s="87"/>
      <c r="ET746" s="87"/>
      <c r="EU746" s="87"/>
      <c r="EV746" s="87"/>
      <c r="EW746" s="87"/>
      <c r="EX746" s="87"/>
      <c r="EY746" s="87"/>
      <c r="EZ746" s="87"/>
      <c r="FA746" s="87"/>
      <c r="FB746" s="87"/>
      <c r="FC746" s="87"/>
      <c r="FD746" s="87"/>
      <c r="FE746" s="87"/>
      <c r="FF746" s="87"/>
      <c r="FG746" s="87"/>
      <c r="FH746" s="87"/>
      <c r="FI746" s="87"/>
      <c r="FJ746" s="87"/>
      <c r="FK746" s="87"/>
      <c r="FL746" s="87"/>
      <c r="FM746" s="87"/>
      <c r="FN746" s="87"/>
      <c r="FO746" s="87"/>
      <c r="FP746" s="87"/>
      <c r="FQ746" s="87"/>
      <c r="FR746" s="87"/>
      <c r="FS746" s="87"/>
      <c r="FT746" s="87"/>
      <c r="FU746" s="87"/>
      <c r="FV746" s="87"/>
      <c r="FW746" s="87"/>
      <c r="FX746" s="87"/>
      <c r="FY746" s="87"/>
      <c r="FZ746" s="87"/>
      <c r="GA746" s="87"/>
      <c r="GB746" s="87"/>
      <c r="GC746" s="87"/>
      <c r="GD746" s="87"/>
      <c r="GE746" s="87"/>
      <c r="GF746" s="87"/>
      <c r="GG746" s="87"/>
      <c r="GH746" s="87"/>
      <c r="GI746" s="87"/>
      <c r="GJ746" s="87"/>
      <c r="GK746" s="87"/>
      <c r="GL746" s="87"/>
      <c r="GM746" s="87"/>
      <c r="GN746" s="87"/>
      <c r="GO746" s="87"/>
      <c r="GP746" s="87"/>
      <c r="GQ746" s="87"/>
      <c r="GR746" s="87"/>
      <c r="GS746" s="87"/>
      <c r="GT746" s="87"/>
      <c r="GU746" s="87"/>
      <c r="GV746" s="87"/>
      <c r="GW746" s="87"/>
      <c r="GX746" s="87"/>
      <c r="GY746" s="87"/>
      <c r="GZ746" s="87"/>
      <c r="HA746" s="87"/>
      <c r="HB746" s="87"/>
      <c r="HC746" s="87"/>
      <c r="HD746" s="87"/>
      <c r="HE746" s="87"/>
      <c r="HF746" s="87"/>
      <c r="HG746" s="87"/>
      <c r="HH746" s="87"/>
      <c r="HI746" s="87"/>
      <c r="HJ746" s="87"/>
      <c r="HK746" s="87"/>
      <c r="HL746" s="87"/>
      <c r="HM746" s="87"/>
      <c r="HN746" s="87"/>
      <c r="HO746" s="87"/>
      <c r="HP746" s="87"/>
      <c r="HQ746" s="87"/>
      <c r="HR746" s="87"/>
      <c r="HS746" s="87"/>
      <c r="HT746" s="87"/>
      <c r="HU746" s="87"/>
      <c r="HV746" s="87"/>
      <c r="HW746" s="87"/>
      <c r="HX746" s="87"/>
      <c r="HY746" s="87"/>
      <c r="HZ746" s="87"/>
      <c r="IA746" s="87"/>
      <c r="IB746" s="87"/>
      <c r="IC746" s="87"/>
      <c r="ID746" s="87"/>
      <c r="IE746" s="87"/>
      <c r="IF746" s="87"/>
      <c r="IG746" s="87"/>
      <c r="IH746" s="87"/>
      <c r="II746" s="87"/>
      <c r="IJ746" s="87"/>
      <c r="IK746" s="87"/>
      <c r="IL746" s="87"/>
      <c r="IM746" s="87"/>
      <c r="IN746" s="87"/>
      <c r="IO746" s="87"/>
      <c r="IP746" s="87"/>
      <c r="IQ746" s="87"/>
      <c r="IR746" s="87"/>
      <c r="IS746" s="87"/>
      <c r="IT746" s="87"/>
      <c r="IU746" s="87"/>
      <c r="IV746" s="87"/>
    </row>
    <row r="747" spans="1:9" ht="12.75" customHeight="1" customFormat="1" x14ac:dyDescent="0.3" s="14">
      <c r="A747" s="52"/>
      <c r="B747" s="53"/>
      <c r="C747" s="52"/>
      <c r="D747" s="53"/>
      <c r="E747" s="94"/>
      <c r="F747" s="94"/>
      <c r="I747" s="15"/>
    </row>
  </sheetData>
  <mergeCells count="77">
    <mergeCell ref="A23:B23"/>
    <mergeCell ref="A8:G8"/>
    <mergeCell ref="A9:B9"/>
    <mergeCell ref="A1:G1"/>
    <mergeCell ref="A3:B3"/>
    <mergeCell ref="C3:G3"/>
    <mergeCell ref="A40:B40"/>
    <mergeCell ref="A58:G58"/>
    <mergeCell ref="A59:B59"/>
    <mergeCell ref="A66:B66"/>
    <mergeCell ref="A73:B73"/>
    <mergeCell ref="A235:B235"/>
    <mergeCell ref="A242:B242"/>
    <mergeCell ref="A252:G252"/>
    <mergeCell ref="A285:G285"/>
    <mergeCell ref="A123:G123"/>
    <mergeCell ref="A124:B124"/>
    <mergeCell ref="A158:B158"/>
    <mergeCell ref="A193:B193"/>
    <mergeCell ref="A227:G227"/>
    <mergeCell ref="A228:B228"/>
    <mergeCell ref="A411:G411"/>
    <mergeCell ref="A250:G250"/>
    <mergeCell ref="A251:B251"/>
    <mergeCell ref="A392:G392"/>
    <mergeCell ref="A405:G405"/>
    <mergeCell ref="A347:G347"/>
    <mergeCell ref="A378:G378"/>
    <mergeCell ref="A292:G292"/>
    <mergeCell ref="A323:G323"/>
    <mergeCell ref="A460:G460"/>
    <mergeCell ref="A484:G484"/>
    <mergeCell ref="A421:B421"/>
    <mergeCell ref="A422:G422"/>
    <mergeCell ref="A429:G429"/>
    <mergeCell ref="A249:E249"/>
    <mergeCell ref="A684:G684"/>
    <mergeCell ref="A697:G697"/>
    <mergeCell ref="A704:G704"/>
    <mergeCell ref="A705:B705"/>
    <mergeCell ref="A640:G640"/>
    <mergeCell ref="A671:G671"/>
    <mergeCell ref="A605:G605"/>
    <mergeCell ref="A615:B615"/>
    <mergeCell ref="A616:G616"/>
    <mergeCell ref="A587:G587"/>
    <mergeCell ref="A599:G599"/>
    <mergeCell ref="A560:G560"/>
    <mergeCell ref="A574:G574"/>
    <mergeCell ref="A515:G515"/>
    <mergeCell ref="A546:G546"/>
    <mergeCell ref="A57:E57"/>
    <mergeCell ref="A80:E80"/>
    <mergeCell ref="A110:E110"/>
    <mergeCell ref="A122:E122"/>
    <mergeCell ref="A226:E226"/>
    <mergeCell ref="A82:B82"/>
    <mergeCell ref="A96:B96"/>
    <mergeCell ref="A111:G111"/>
    <mergeCell ref="A112:B112"/>
    <mergeCell ref="A117:B117"/>
    <mergeCell ref="A81:G81"/>
    <mergeCell ref="A714:E714"/>
    <mergeCell ref="A703:E703"/>
    <mergeCell ref="G729:H729"/>
    <mergeCell ref="A708:B708"/>
    <mergeCell ref="A711:B711"/>
    <mergeCell ref="F745:G745"/>
    <mergeCell ref="F746:G746"/>
    <mergeCell ref="C717:F717"/>
    <mergeCell ref="G728:H728"/>
    <mergeCell ref="G732:H732"/>
    <mergeCell ref="G733:H733"/>
    <mergeCell ref="D741:E741"/>
    <mergeCell ref="F744:H744"/>
    <mergeCell ref="G731:H731"/>
    <mergeCell ref="F743:G743"/>
  </mergeCells>
  <phoneticPr fontId="1"/>
  <pageMargins left="0.7" right="0.7" top="0.75" bottom="0.75" header="0.3" footer="0.3"/>
  <pageSetup paperSize="9" scale="63" orientation="portrait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proekti</dc:creator>
  <cp:lastModifiedBy>Sema Rohleva</cp:lastModifiedBy>
  <dcterms:created xsi:type="dcterms:W3CDTF">2025-11-04T06:59:10Z</dcterms:created>
  <dcterms:modified xsi:type="dcterms:W3CDTF">2025-11-05T03:23:29Z</dcterms:modified>
</cp:coreProperties>
</file>