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ФИРМИ\ЕВРОКАНАЛ ЕООД\OFERTI\2026\Дългопол до 7.04.2026\"/>
    </mc:Choice>
  </mc:AlternateContent>
  <bookViews>
    <workbookView xWindow="0" yWindow="0" windowWidth="28800" windowHeight="12180" tabRatio="667"/>
  </bookViews>
  <sheets>
    <sheet name="кл.I.3" sheetId="6" r:id="rId1"/>
    <sheet name="кл.I.4" sheetId="7" r:id="rId2"/>
    <sheet name="кл.I.5" sheetId="8" r:id="rId3"/>
    <sheet name="кл.I.6" sheetId="12" r:id="rId4"/>
    <sheet name="кл.I.7" sheetId="9" r:id="rId5"/>
    <sheet name="кл.I.8" sheetId="10" r:id="rId6"/>
    <sheet name="кл.10.1" sheetId="2" r:id="rId7"/>
    <sheet name="кл.12" sheetId="3" r:id="rId8"/>
    <sheet name="кл.15" sheetId="1" r:id="rId9"/>
    <sheet name="кл.25.1" sheetId="15" r:id="rId10"/>
    <sheet name="кл.25.2" sheetId="4" r:id="rId11"/>
    <sheet name="кл.25.3" sheetId="5" r:id="rId12"/>
    <sheet name="Ед. Цени" sheetId="17" r:id="rId13"/>
    <sheet name="рекапитулация" sheetId="16" r:id="rId14"/>
    <sheet name="Анализи" sheetId="18" r:id="rId15"/>
  </sheets>
  <externalReferences>
    <externalReference r:id="rId16"/>
  </externalReferences>
  <definedNames>
    <definedName name="_xlnm._FilterDatabase" localSheetId="12" hidden="1">'Ед. Цени'!$A$19:$F$119</definedName>
    <definedName name="_xlnm._FilterDatabase" localSheetId="6" hidden="1">кл.10.1!$A$9:$G$80</definedName>
    <definedName name="_xlnm._FilterDatabase" localSheetId="7" hidden="1">кл.12!$A$9:$G$81</definedName>
    <definedName name="_xlnm._FilterDatabase" localSheetId="8" hidden="1">кл.15!$A$9:$G$80</definedName>
    <definedName name="_xlnm._FilterDatabase" localSheetId="9" hidden="1">кл.25.1!$A$10:$G$82</definedName>
    <definedName name="_xlnm._FilterDatabase" localSheetId="10" hidden="1">кл.25.2!$A$9:$G$81</definedName>
    <definedName name="_xlnm._FilterDatabase" localSheetId="11" hidden="1">кл.25.3!$A$9:$G$73</definedName>
    <definedName name="_xlnm._FilterDatabase" localSheetId="0" hidden="1">кл.I.3!$A$19:$G$94</definedName>
    <definedName name="_xlnm._FilterDatabase" localSheetId="1" hidden="1">кл.I.4!$A$11:$G$85</definedName>
    <definedName name="_xlnm._FilterDatabase" localSheetId="2" hidden="1">кл.I.5!$A$10:$G$82</definedName>
    <definedName name="_xlnm._FilterDatabase" localSheetId="3" hidden="1">кл.I.6!$A$10:$G$75</definedName>
    <definedName name="_xlnm._FilterDatabase" localSheetId="4" hidden="1">кл.I.7!$A$10:$G$67</definedName>
    <definedName name="_xlnm._FilterDatabase" localSheetId="5" hidden="1">кл.I.8!$A$10:$G$80</definedName>
    <definedName name="_xlnm.Print_Area" localSheetId="12">'Ед. Цени'!$A$1:$F$122</definedName>
    <definedName name="_xlnm.Print_Area" localSheetId="0">кл.I.3!$A$1:$G$94</definedName>
    <definedName name="_xlnm.Print_Area" localSheetId="13">рекапитулация!$A$1:$G$28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6" l="1"/>
  <c r="F68" i="5" l="1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77" i="15"/>
  <c r="G77" i="15" s="1"/>
  <c r="F76" i="15"/>
  <c r="G76" i="15" s="1"/>
  <c r="F75" i="15"/>
  <c r="G75" i="15" s="1"/>
  <c r="F74" i="15"/>
  <c r="G74" i="15" s="1"/>
  <c r="F73" i="15"/>
  <c r="G73" i="15" s="1"/>
  <c r="F72" i="15"/>
  <c r="G72" i="15" s="1"/>
  <c r="F71" i="15"/>
  <c r="G71" i="15" s="1"/>
  <c r="F70" i="15"/>
  <c r="G70" i="15" s="1"/>
  <c r="F69" i="15"/>
  <c r="G69" i="15" s="1"/>
  <c r="F68" i="15"/>
  <c r="G68" i="15" s="1"/>
  <c r="F67" i="15"/>
  <c r="G67" i="15" s="1"/>
  <c r="F66" i="15"/>
  <c r="G66" i="15" s="1"/>
  <c r="F65" i="15"/>
  <c r="G65" i="15" s="1"/>
  <c r="F64" i="15"/>
  <c r="G64" i="15" s="1"/>
  <c r="F63" i="15"/>
  <c r="G63" i="15" s="1"/>
  <c r="F62" i="15"/>
  <c r="G62" i="15" s="1"/>
  <c r="F59" i="15"/>
  <c r="G59" i="15" s="1"/>
  <c r="F58" i="15"/>
  <c r="G58" i="15" s="1"/>
  <c r="F57" i="15"/>
  <c r="G57" i="15" s="1"/>
  <c r="F56" i="15"/>
  <c r="G56" i="15" s="1"/>
  <c r="F55" i="15"/>
  <c r="G55" i="15" s="1"/>
  <c r="F54" i="15"/>
  <c r="G54" i="15" s="1"/>
  <c r="F53" i="15"/>
  <c r="G53" i="15" s="1"/>
  <c r="F52" i="15"/>
  <c r="G52" i="15" s="1"/>
  <c r="F51" i="15"/>
  <c r="G51" i="15" s="1"/>
  <c r="F50" i="15"/>
  <c r="G50" i="15" s="1"/>
  <c r="F49" i="15"/>
  <c r="G49" i="15" s="1"/>
  <c r="F48" i="15"/>
  <c r="G48" i="15" s="1"/>
  <c r="F47" i="15"/>
  <c r="G47" i="15" s="1"/>
  <c r="F46" i="15"/>
  <c r="G46" i="15" s="1"/>
  <c r="F45" i="15"/>
  <c r="G45" i="15" s="1"/>
  <c r="F44" i="15"/>
  <c r="G44" i="15" s="1"/>
  <c r="F43" i="15"/>
  <c r="G43" i="15" s="1"/>
  <c r="F42" i="15"/>
  <c r="G42" i="15" s="1"/>
  <c r="F41" i="15"/>
  <c r="G41" i="15" s="1"/>
  <c r="F40" i="15"/>
  <c r="G40" i="15" s="1"/>
  <c r="F39" i="15"/>
  <c r="G39" i="15" s="1"/>
  <c r="F38" i="15"/>
  <c r="G38" i="15" s="1"/>
  <c r="F37" i="15"/>
  <c r="G37" i="15" s="1"/>
  <c r="F36" i="15"/>
  <c r="G36" i="15" s="1"/>
  <c r="F35" i="15"/>
  <c r="G35" i="15" s="1"/>
  <c r="F34" i="15"/>
  <c r="G34" i="15" s="1"/>
  <c r="F33" i="15"/>
  <c r="G33" i="15" s="1"/>
  <c r="F32" i="15"/>
  <c r="G32" i="15" s="1"/>
  <c r="F31" i="15"/>
  <c r="G31" i="15" s="1"/>
  <c r="F30" i="15"/>
  <c r="G30" i="15" s="1"/>
  <c r="F29" i="15"/>
  <c r="G29" i="15" s="1"/>
  <c r="F28" i="15"/>
  <c r="G28" i="15" s="1"/>
  <c r="F27" i="15"/>
  <c r="G27" i="15" s="1"/>
  <c r="F26" i="15"/>
  <c r="G26" i="15" s="1"/>
  <c r="F25" i="15"/>
  <c r="G25" i="15" s="1"/>
  <c r="F24" i="15"/>
  <c r="G24" i="15" s="1"/>
  <c r="F23" i="15"/>
  <c r="G23" i="15" s="1"/>
  <c r="F22" i="15"/>
  <c r="G22" i="15" s="1"/>
  <c r="F21" i="15"/>
  <c r="G21" i="15" s="1"/>
  <c r="F20" i="15"/>
  <c r="G20" i="15" s="1"/>
  <c r="F19" i="15"/>
  <c r="G19" i="15" s="1"/>
  <c r="F18" i="15"/>
  <c r="G18" i="15" s="1"/>
  <c r="F17" i="15"/>
  <c r="G17" i="15" s="1"/>
  <c r="F16" i="15"/>
  <c r="G16" i="15" s="1"/>
  <c r="F15" i="15"/>
  <c r="G15" i="15" s="1"/>
  <c r="F14" i="15"/>
  <c r="G14" i="15" s="1"/>
  <c r="F13" i="15"/>
  <c r="G13" i="15" s="1"/>
  <c r="F12" i="15"/>
  <c r="G12" i="15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75" i="10"/>
  <c r="G75" i="10" s="1"/>
  <c r="F74" i="10"/>
  <c r="G74" i="10" s="1"/>
  <c r="F73" i="10"/>
  <c r="G73" i="10" s="1"/>
  <c r="F72" i="10"/>
  <c r="G72" i="10" s="1"/>
  <c r="F71" i="10"/>
  <c r="G71" i="10" s="1"/>
  <c r="F70" i="10"/>
  <c r="G70" i="10" s="1"/>
  <c r="F69" i="10"/>
  <c r="G69" i="10" s="1"/>
  <c r="F68" i="10"/>
  <c r="G68" i="10" s="1"/>
  <c r="F67" i="10"/>
  <c r="G67" i="10" s="1"/>
  <c r="F66" i="10"/>
  <c r="G66" i="10" s="1"/>
  <c r="F65" i="10"/>
  <c r="G65" i="10" s="1"/>
  <c r="F64" i="10"/>
  <c r="G64" i="10" s="1"/>
  <c r="F63" i="10"/>
  <c r="G63" i="10" s="1"/>
  <c r="F62" i="10"/>
  <c r="G62" i="10" s="1"/>
  <c r="F61" i="10"/>
  <c r="G61" i="10" s="1"/>
  <c r="F60" i="10"/>
  <c r="G60" i="10" s="1"/>
  <c r="F57" i="10"/>
  <c r="G57" i="10" s="1"/>
  <c r="F56" i="10"/>
  <c r="G56" i="10" s="1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4" i="10"/>
  <c r="G44" i="10" s="1"/>
  <c r="F43" i="10"/>
  <c r="G43" i="10" s="1"/>
  <c r="F42" i="10"/>
  <c r="G42" i="10" s="1"/>
  <c r="F41" i="10"/>
  <c r="G41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F54" i="9"/>
  <c r="G54" i="9" s="1"/>
  <c r="F53" i="9"/>
  <c r="G53" i="9" s="1"/>
  <c r="F52" i="9"/>
  <c r="G52" i="9" s="1"/>
  <c r="F51" i="9"/>
  <c r="G51" i="9" s="1"/>
  <c r="F50" i="9"/>
  <c r="G50" i="9" s="1"/>
  <c r="F49" i="9"/>
  <c r="G49" i="9" s="1"/>
  <c r="F48" i="9"/>
  <c r="G48" i="9" s="1"/>
  <c r="F47" i="9"/>
  <c r="G47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70" i="12"/>
  <c r="G70" i="12" s="1"/>
  <c r="F69" i="12"/>
  <c r="G69" i="12" s="1"/>
  <c r="F68" i="12"/>
  <c r="G68" i="12" s="1"/>
  <c r="F67" i="12"/>
  <c r="G67" i="12" s="1"/>
  <c r="F66" i="12"/>
  <c r="G66" i="12" s="1"/>
  <c r="F65" i="12"/>
  <c r="G65" i="12" s="1"/>
  <c r="F64" i="12"/>
  <c r="G64" i="12" s="1"/>
  <c r="F63" i="12"/>
  <c r="G63" i="12" s="1"/>
  <c r="F62" i="12"/>
  <c r="G62" i="12" s="1"/>
  <c r="F61" i="12"/>
  <c r="G61" i="12" s="1"/>
  <c r="F60" i="12"/>
  <c r="G60" i="12" s="1"/>
  <c r="F59" i="12"/>
  <c r="G59" i="12" s="1"/>
  <c r="F58" i="12"/>
  <c r="G58" i="12" s="1"/>
  <c r="F57" i="12"/>
  <c r="G57" i="12" s="1"/>
  <c r="F56" i="12"/>
  <c r="G56" i="12" s="1"/>
  <c r="F55" i="12"/>
  <c r="G55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F43" i="12"/>
  <c r="G43" i="12" s="1"/>
  <c r="F42" i="12"/>
  <c r="G42" i="12" s="1"/>
  <c r="F41" i="12"/>
  <c r="G41" i="12" s="1"/>
  <c r="F40" i="12"/>
  <c r="G40" i="12" s="1"/>
  <c r="F39" i="12"/>
  <c r="G39" i="12" s="1"/>
  <c r="F38" i="12"/>
  <c r="G38" i="12" s="1"/>
  <c r="F37" i="12"/>
  <c r="G37" i="12" s="1"/>
  <c r="F36" i="12"/>
  <c r="G36" i="12" s="1"/>
  <c r="F35" i="12"/>
  <c r="G35" i="12" s="1"/>
  <c r="F34" i="12"/>
  <c r="G34" i="12" s="1"/>
  <c r="F33" i="12"/>
  <c r="G33" i="12" s="1"/>
  <c r="F32" i="12"/>
  <c r="G32" i="12" s="1"/>
  <c r="F31" i="12"/>
  <c r="G31" i="12" s="1"/>
  <c r="F30" i="12"/>
  <c r="G30" i="12" s="1"/>
  <c r="F29" i="12"/>
  <c r="G29" i="12" s="1"/>
  <c r="F28" i="12"/>
  <c r="G28" i="12" s="1"/>
  <c r="F27" i="12"/>
  <c r="G27" i="12" s="1"/>
  <c r="F26" i="12"/>
  <c r="G26" i="12" s="1"/>
  <c r="F25" i="12"/>
  <c r="G25" i="12" s="1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F12" i="12"/>
  <c r="G12" i="12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F30" i="8"/>
  <c r="G30" i="8" s="1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80" i="7"/>
  <c r="G80" i="7" s="1"/>
  <c r="F79" i="7"/>
  <c r="G79" i="7" s="1"/>
  <c r="F78" i="7"/>
  <c r="G78" i="7" s="1"/>
  <c r="F77" i="7"/>
  <c r="G77" i="7" s="1"/>
  <c r="F76" i="7"/>
  <c r="G76" i="7" s="1"/>
  <c r="F75" i="7"/>
  <c r="G75" i="7" s="1"/>
  <c r="F74" i="7"/>
  <c r="G74" i="7" s="1"/>
  <c r="F73" i="7"/>
  <c r="G73" i="7" s="1"/>
  <c r="F72" i="7"/>
  <c r="G72" i="7" s="1"/>
  <c r="F71" i="7"/>
  <c r="G71" i="7" s="1"/>
  <c r="F70" i="7"/>
  <c r="G70" i="7" s="1"/>
  <c r="F69" i="7"/>
  <c r="G69" i="7" s="1"/>
  <c r="F68" i="7"/>
  <c r="G68" i="7" s="1"/>
  <c r="F67" i="7"/>
  <c r="G67" i="7" s="1"/>
  <c r="F66" i="7"/>
  <c r="G66" i="7" s="1"/>
  <c r="F65" i="7"/>
  <c r="G65" i="7" s="1"/>
  <c r="F62" i="7"/>
  <c r="G62" i="7" s="1"/>
  <c r="F61" i="7"/>
  <c r="G61" i="7" s="1"/>
  <c r="F60" i="7"/>
  <c r="G60" i="7" s="1"/>
  <c r="F59" i="7"/>
  <c r="G59" i="7" s="1"/>
  <c r="F58" i="7"/>
  <c r="G58" i="7" s="1"/>
  <c r="F57" i="7"/>
  <c r="G57" i="7" s="1"/>
  <c r="F56" i="7"/>
  <c r="G56" i="7" s="1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G13" i="7" s="1"/>
  <c r="G70" i="5" l="1"/>
  <c r="G51" i="5"/>
  <c r="G59" i="4"/>
  <c r="D18" i="16" s="1"/>
  <c r="G78" i="4"/>
  <c r="G79" i="15"/>
  <c r="G60" i="15"/>
  <c r="D17" i="16" s="1"/>
  <c r="G77" i="1"/>
  <c r="G58" i="1"/>
  <c r="G59" i="3"/>
  <c r="D15" i="16" s="1"/>
  <c r="G78" i="3"/>
  <c r="E15" i="16" s="1"/>
  <c r="G58" i="2"/>
  <c r="D14" i="16" s="1"/>
  <c r="G77" i="2"/>
  <c r="E14" i="16" s="1"/>
  <c r="G58" i="10"/>
  <c r="D13" i="16" s="1"/>
  <c r="G77" i="10"/>
  <c r="E13" i="16" s="1"/>
  <c r="G64" i="9"/>
  <c r="G45" i="9"/>
  <c r="G72" i="12"/>
  <c r="G53" i="12"/>
  <c r="G60" i="8"/>
  <c r="D10" i="16" s="1"/>
  <c r="G79" i="8"/>
  <c r="G82" i="7"/>
  <c r="E9" i="16" s="1"/>
  <c r="G63" i="7"/>
  <c r="D9" i="16" s="1"/>
  <c r="H22" i="16"/>
  <c r="F87" i="6"/>
  <c r="F86" i="6"/>
  <c r="F85" i="6"/>
  <c r="F84" i="6"/>
  <c r="F83" i="6"/>
  <c r="F82" i="6"/>
  <c r="F81" i="6"/>
  <c r="F80" i="6"/>
  <c r="F79" i="6"/>
  <c r="F78" i="6"/>
  <c r="F76" i="6"/>
  <c r="F75" i="6"/>
  <c r="F74" i="6"/>
  <c r="F73" i="6"/>
  <c r="F72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77" i="6"/>
  <c r="F27" i="6"/>
  <c r="F26" i="6"/>
  <c r="F25" i="6"/>
  <c r="F24" i="6"/>
  <c r="F23" i="6"/>
  <c r="F22" i="6"/>
  <c r="F21" i="6"/>
  <c r="G81" i="8" l="1"/>
  <c r="E10" i="16"/>
  <c r="G79" i="1"/>
  <c r="E16" i="16"/>
  <c r="G74" i="12"/>
  <c r="E11" i="16"/>
  <c r="G81" i="15"/>
  <c r="E17" i="16"/>
  <c r="G80" i="4"/>
  <c r="E18" i="16"/>
  <c r="G66" i="9"/>
  <c r="E12" i="16"/>
  <c r="G72" i="5"/>
  <c r="E19" i="16"/>
  <c r="G78" i="1"/>
  <c r="D16" i="16"/>
  <c r="G73" i="12"/>
  <c r="D11" i="16"/>
  <c r="G65" i="9"/>
  <c r="D12" i="16"/>
  <c r="G71" i="5"/>
  <c r="D19" i="16"/>
  <c r="G79" i="4"/>
  <c r="G80" i="15"/>
  <c r="G78" i="2"/>
  <c r="G79" i="2" s="1"/>
  <c r="G80" i="2" s="1"/>
  <c r="G79" i="3"/>
  <c r="G80" i="3" s="1"/>
  <c r="G81" i="3" s="1"/>
  <c r="G78" i="10"/>
  <c r="G79" i="10" s="1"/>
  <c r="G80" i="10" s="1"/>
  <c r="G80" i="8"/>
  <c r="G83" i="7"/>
  <c r="G84" i="7" s="1"/>
  <c r="G85" i="7" s="1"/>
  <c r="G75" i="12" l="1"/>
  <c r="G82" i="15"/>
  <c r="G80" i="1"/>
  <c r="G81" i="4"/>
  <c r="G73" i="5"/>
  <c r="G82" i="8"/>
  <c r="G67" i="9"/>
  <c r="C19" i="16"/>
  <c r="C18" i="16"/>
  <c r="C16" i="16"/>
  <c r="C15" i="16"/>
  <c r="C14" i="16"/>
  <c r="C13" i="16"/>
  <c r="C12" i="16"/>
  <c r="C11" i="16"/>
  <c r="C10" i="16"/>
  <c r="C9" i="16"/>
  <c r="C8" i="16"/>
  <c r="G87" i="6" l="1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89" i="6" l="1"/>
  <c r="E8" i="16" s="1"/>
  <c r="E20" i="16" s="1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21" i="6" l="1"/>
  <c r="G70" i="6" s="1"/>
  <c r="D8" i="16" s="1"/>
  <c r="D20" i="16" s="1"/>
  <c r="F20" i="16" s="1"/>
  <c r="D21" i="16" l="1"/>
  <c r="D22" i="16" l="1"/>
  <c r="K20" i="16"/>
  <c r="M20" i="16" s="1"/>
  <c r="E21" i="16"/>
  <c r="E22" i="16" s="1"/>
  <c r="G91" i="6"/>
  <c r="F21" i="16" l="1"/>
  <c r="F22" i="16" s="1"/>
  <c r="G90" i="6"/>
  <c r="G92" i="6" s="1"/>
</calcChain>
</file>

<file path=xl/sharedStrings.xml><?xml version="1.0" encoding="utf-8"?>
<sst xmlns="http://schemas.openxmlformats.org/spreadsheetml/2006/main" count="5459" uniqueCount="524">
  <si>
    <t>Възложител: Община Дългопол</t>
  </si>
  <si>
    <t>СВО-къси</t>
  </si>
  <si>
    <t>СВО-дълги</t>
  </si>
  <si>
    <t>ПХ</t>
  </si>
  <si>
    <t>Широчина изкоп</t>
  </si>
  <si>
    <t>Широчина разваляне и възстановяване наст.</t>
  </si>
  <si>
    <t>Дълбочина изкоп</t>
  </si>
  <si>
    <t>Широчина регулация</t>
  </si>
  <si>
    <t>Широчина асфалт</t>
  </si>
  <si>
    <t>№</t>
  </si>
  <si>
    <t>Вид СМР</t>
  </si>
  <si>
    <t>М-ка</t>
  </si>
  <si>
    <t>Количество</t>
  </si>
  <si>
    <t>Ед. цена</t>
  </si>
  <si>
    <t>Стойност</t>
  </si>
  <si>
    <t>I. ЧАСТ ВОДОСНАБДЯВАНЕ</t>
  </si>
  <si>
    <t xml:space="preserve">Рязане с фугорез на асфалтова настилка </t>
  </si>
  <si>
    <t>л.м.</t>
  </si>
  <si>
    <t xml:space="preserve">Разваляне асфалтова настилка </t>
  </si>
  <si>
    <t>м2</t>
  </si>
  <si>
    <t xml:space="preserve">Изкоп с багер на отвал ЗП неукрепен   -  спада се от т.4      </t>
  </si>
  <si>
    <t>м3</t>
  </si>
  <si>
    <t xml:space="preserve">Изкоп с дълб. до 2м. ръчно - 30% от машинния </t>
  </si>
  <si>
    <t>Прехвърляне на изкопана земна маса на 2,00 м вертикално и хоризонтално</t>
  </si>
  <si>
    <t>Натоварване излишната пръст с багер на самосвал</t>
  </si>
  <si>
    <t>Разриване с булдозер на земни маси</t>
  </si>
  <si>
    <t>Превоз на земни маси със самосвал до 5км.</t>
  </si>
  <si>
    <t>Неплътно укрепване и разкрепване на изкопи</t>
  </si>
  <si>
    <t>Доставка на пясък със самосвал на 10км.</t>
  </si>
  <si>
    <t>Превоз с ръчни колички на пясък на 50м</t>
  </si>
  <si>
    <t xml:space="preserve">Подложка от пясък 10см.        </t>
  </si>
  <si>
    <t>Засипване на тръби с пясък - 40см.</t>
  </si>
  <si>
    <t>Уплътняване на пясък с пневматична трамбовка</t>
  </si>
  <si>
    <t xml:space="preserve">Доставка на нестандартна скална маса от кариера на 5км  </t>
  </si>
  <si>
    <t>Превоз с ръчни колички на скална маса на 50м</t>
  </si>
  <si>
    <t>Засипване изкоп с нестандартна скална маса с трамбоване през 20см.</t>
  </si>
  <si>
    <t>Временна предпазна ограда</t>
  </si>
  <si>
    <t>Доставка и монтаж на мостчета за преминаване през изкоп</t>
  </si>
  <si>
    <t>бр.</t>
  </si>
  <si>
    <t>Натоварване асфалтови отпадъци на самосвал</t>
  </si>
  <si>
    <t>Извозване асфалтови отпадъци със самосвал до 5км.</t>
  </si>
  <si>
    <t>Полагане ПЕВП тръби ø90мм.</t>
  </si>
  <si>
    <t xml:space="preserve">Полагане ПЕВП тръби ø63мм.  </t>
  </si>
  <si>
    <t>Дъга ф90/42</t>
  </si>
  <si>
    <t xml:space="preserve">БОБ </t>
  </si>
  <si>
    <t xml:space="preserve">ВС ф90/2" </t>
  </si>
  <si>
    <t xml:space="preserve">Заварка ф90 </t>
  </si>
  <si>
    <t xml:space="preserve">Ко ф63/2"    </t>
  </si>
  <si>
    <t xml:space="preserve">ПМ  ф63/2" </t>
  </si>
  <si>
    <t xml:space="preserve">ПП. Фл. ф90 </t>
  </si>
  <si>
    <t>ПХ ф70/80</t>
  </si>
  <si>
    <t xml:space="preserve">Св. Фл. ф80 </t>
  </si>
  <si>
    <t xml:space="preserve">СК ф80 с охр. гарн. </t>
  </si>
  <si>
    <t xml:space="preserve">Т ф90/ф90  </t>
  </si>
  <si>
    <t xml:space="preserve">ТСК ф2"     </t>
  </si>
  <si>
    <t>ФС Ф80</t>
  </si>
  <si>
    <t xml:space="preserve">Хидравлично изпитване на водопровод </t>
  </si>
  <si>
    <t>Дезинфекция на водопровод</t>
  </si>
  <si>
    <t>Укрепване на гърне за СК</t>
  </si>
  <si>
    <t>Доставка и монтаж на табели за СК</t>
  </si>
  <si>
    <t>Доставка и монтаж на табели за ПХ</t>
  </si>
  <si>
    <t>Демонтаж и възстановяване на улични бордюри за СВО и ПХ</t>
  </si>
  <si>
    <t xml:space="preserve">Доставка, полагане и валиране каменна фракция 35/75 с Н=40см </t>
  </si>
  <si>
    <t>Битумна разливка</t>
  </si>
  <si>
    <t>тон</t>
  </si>
  <si>
    <t>Доставка и монтажна сигнална лента над водопровода</t>
  </si>
  <si>
    <t>Доставка и монтажна детекторна лента над водопровода</t>
  </si>
  <si>
    <t>Общо за част Водоснабдяване:</t>
  </si>
  <si>
    <t>II. ЧАСТ ВЪЗСТАНОВЯВАНЕ НА НАСТИЛКАТА</t>
  </si>
  <si>
    <t>Изкоп на земни почви с багер на транспорт</t>
  </si>
  <si>
    <t>Изкоп ръчен в земни почви</t>
  </si>
  <si>
    <t xml:space="preserve">Почистване на реголи и настилки от кал </t>
  </si>
  <si>
    <t>Натоварване разк. земна почва на транспорт с багер</t>
  </si>
  <si>
    <t>Извозване на депо земни почви до 10 км</t>
  </si>
  <si>
    <t>Фрезоване на асфалт</t>
  </si>
  <si>
    <t>Натоварване на отпадъци на транспорт с багер</t>
  </si>
  <si>
    <t>Извозване на асфалтови отпадъци на 80 км</t>
  </si>
  <si>
    <t>т</t>
  </si>
  <si>
    <t>Демонтаж бордюри</t>
  </si>
  <si>
    <t>м</t>
  </si>
  <si>
    <t>Доставка и монтаж на бетонови бордюри 15/25/50</t>
  </si>
  <si>
    <t>Разкъртване на стара трош. настилка</t>
  </si>
  <si>
    <t>Изкърпване на трошенокаменна настилка - деб. 0.35 м</t>
  </si>
  <si>
    <t>Изкърпване на трошенокаменна настилка  деб. до -  0.10 м</t>
  </si>
  <si>
    <t>Почистване и грундиране настилки</t>
  </si>
  <si>
    <t>Машинно полагане на плътна асфалтова смес - 5 см.</t>
  </si>
  <si>
    <t>Общо за част Възстановяване на настилката:</t>
  </si>
  <si>
    <t>ВСИЧКО СМР:</t>
  </si>
  <si>
    <t xml:space="preserve">ТСК ф1"     </t>
  </si>
  <si>
    <t xml:space="preserve">ПМ  ф32/1" </t>
  </si>
  <si>
    <t xml:space="preserve">Ко ф32/1"    </t>
  </si>
  <si>
    <t xml:space="preserve">Дъга ф90/12 </t>
  </si>
  <si>
    <t xml:space="preserve">ВС ф90/1" </t>
  </si>
  <si>
    <t xml:space="preserve">Полагане ПЕВП тръби ø32мм.  </t>
  </si>
  <si>
    <t xml:space="preserve">Коляно ф90/45 </t>
  </si>
  <si>
    <t xml:space="preserve">Намалител ф110/ф90 </t>
  </si>
  <si>
    <t>СК ф80 с охр. гарн.</t>
  </si>
  <si>
    <t xml:space="preserve">Дъга ф90/10 </t>
  </si>
  <si>
    <t xml:space="preserve">БОБ  </t>
  </si>
  <si>
    <t xml:space="preserve">Заварка ф90  </t>
  </si>
  <si>
    <t xml:space="preserve">Изкоп с дълб. до 2м. ръчно - 30% </t>
  </si>
  <si>
    <t>Полагане ПЕВП тръби ø125мм.</t>
  </si>
  <si>
    <t>БОБ</t>
  </si>
  <si>
    <t xml:space="preserve">ВС ф125/1" </t>
  </si>
  <si>
    <t>Дъга ф125/13</t>
  </si>
  <si>
    <t>Заварка ф125</t>
  </si>
  <si>
    <t>Заварка ф90</t>
  </si>
  <si>
    <t>ТН ф125/ф90</t>
  </si>
  <si>
    <t>Дъга ф125/21</t>
  </si>
  <si>
    <t xml:space="preserve">Заварка ф125 </t>
  </si>
  <si>
    <t>Демонтаж и възстановяване на тротоарни плочки за СВО и ПХ</t>
  </si>
  <si>
    <t>Дъга ф125/15</t>
  </si>
  <si>
    <t>Заварка ф110</t>
  </si>
  <si>
    <t xml:space="preserve">Коляно ф125/60 </t>
  </si>
  <si>
    <t>Намалител ф125/ф110</t>
  </si>
  <si>
    <t>Преход Фл. ф125/ф125</t>
  </si>
  <si>
    <t>СК ф125 с охр. гарн.</t>
  </si>
  <si>
    <t>Т ф110/ф110</t>
  </si>
  <si>
    <t>Св. Фл. ф125</t>
  </si>
  <si>
    <t>ФС Ф125</t>
  </si>
  <si>
    <t>Полагане ПЕВП тръби ø110мм.</t>
  </si>
  <si>
    <t>Коляно ф110/90</t>
  </si>
  <si>
    <t xml:space="preserve">ТН ф110/ф90 </t>
  </si>
  <si>
    <t xml:space="preserve">Заварка ф110 </t>
  </si>
  <si>
    <t xml:space="preserve">ВС ф110/1" </t>
  </si>
  <si>
    <t>Намалител ф110/ф90</t>
  </si>
  <si>
    <t>Преход Фл. ф110/ф100</t>
  </si>
  <si>
    <t>СК ф100 с охр. гарн.</t>
  </si>
  <si>
    <t xml:space="preserve">Т ф90/ф90 </t>
  </si>
  <si>
    <t xml:space="preserve">Св. Фл. ф100 </t>
  </si>
  <si>
    <t>ФС Ф100</t>
  </si>
  <si>
    <t xml:space="preserve">Т ф110/ф110 </t>
  </si>
  <si>
    <t xml:space="preserve">Дъга ф90/21 </t>
  </si>
  <si>
    <t xml:space="preserve">Дъга ф90/24 </t>
  </si>
  <si>
    <t xml:space="preserve">Доставка и полагане на неплътен асфалт 5 см </t>
  </si>
  <si>
    <t xml:space="preserve">Доставка и полагане на неуплътен асфалт 5 см </t>
  </si>
  <si>
    <t>ОБЩО СМР:</t>
  </si>
  <si>
    <t>ДДС 20 %0 ЧАСТ ПЪТНА</t>
  </si>
  <si>
    <t>ДДС 20 %0 ЧАСТ ПЪТНА:</t>
  </si>
  <si>
    <t>Обект: Реконструкция  на компрометирани участъци от водопроводната мрежа в с.Апарухово, Общ.Дългопол- етап 2</t>
  </si>
  <si>
    <t>KОЛИЧЕСТВЕНО- СТОЙНОСТНА СМЕТКА - клон I.3 /о.т. 100  до о.т.89/</t>
  </si>
  <si>
    <t>KОЛИЧЕСТВЕНО- СТОЙНОСТНА СМЕТКА -  клон I.4 /о.т. 89  до о.т.83/</t>
  </si>
  <si>
    <t>KОЛИЧЕСТВЕНО- СТОЙНОСТНА СМЕТКА - клон I.5 /о.т. 83  до о.т.126/</t>
  </si>
  <si>
    <t>KОЛИЧЕСТВЕНО- СТОЙНОСТНА СМЕТКА- клон I.6 /о.т. 126  до о.т.127/</t>
  </si>
  <si>
    <t>KОЛИЧЕСТВЕНО- СТОЙНОСТНА СМЕТКА - клон I.7 /о.т. 127  до о.т.82/</t>
  </si>
  <si>
    <t>KОЛИЧЕСТВЕНО- СТОЙНОСТНА СМЕТКА - клон I.8 /о.т. 82  до о.т.84/</t>
  </si>
  <si>
    <t>KОЛИЧЕСТВЕНО- СТОЙНОСТНА СМЕТКА - Клон 10.1 /о.т. 89  до о.т.91/</t>
  </si>
  <si>
    <t>KОЛИЧЕСТВЕНО- СТОЙНОСТНА СМЕТКА - Клон 12 /о.т. 127  до о.т.85/</t>
  </si>
  <si>
    <t>KОЛИЧЕСТВЕНО- СТОЙНОСТНА СМЕТКА - Клон 15 /о.т. 84  до о.т.85/</t>
  </si>
  <si>
    <t>KОЛИЧЕСТВЕНО- СТОЙНОСТНА СМЕТКА - Клон 25.1 /о.т.40  до о.т.43/</t>
  </si>
  <si>
    <t>KОЛИЧЕСТВЕНО- СТОЙНОСТНА СМЕТКА - Клон 25.2 /о.т.43  до о.т.61/</t>
  </si>
  <si>
    <t>KОЛИЧЕСТВЕНО- СТОЙНОСТНА СМЕТКА - Клон 25.3 /о.т.61  до о.т.84/</t>
  </si>
  <si>
    <t>анализ 1</t>
  </si>
  <si>
    <t>анализ 2</t>
  </si>
  <si>
    <t>анализ 3</t>
  </si>
  <si>
    <t>анализ 4</t>
  </si>
  <si>
    <t>анализ 5</t>
  </si>
  <si>
    <t>анализ 6</t>
  </si>
  <si>
    <t>анализ 7</t>
  </si>
  <si>
    <t>анализ 8</t>
  </si>
  <si>
    <t>анализ 9</t>
  </si>
  <si>
    <t>анализ 10</t>
  </si>
  <si>
    <t>анализ 11</t>
  </si>
  <si>
    <t>анализ 12</t>
  </si>
  <si>
    <t>анализ 13</t>
  </si>
  <si>
    <t>анализ 14</t>
  </si>
  <si>
    <t>анализ 15</t>
  </si>
  <si>
    <t>анализ 16</t>
  </si>
  <si>
    <t>анализ 17</t>
  </si>
  <si>
    <t>анализ 18</t>
  </si>
  <si>
    <t>анализ 19</t>
  </si>
  <si>
    <t>анализ 20</t>
  </si>
  <si>
    <t>анализ 21</t>
  </si>
  <si>
    <t>анализ 22</t>
  </si>
  <si>
    <t>анализ 23</t>
  </si>
  <si>
    <t>анализ 24</t>
  </si>
  <si>
    <t>анализ 25</t>
  </si>
  <si>
    <t>анализ 26</t>
  </si>
  <si>
    <t>анализ 27</t>
  </si>
  <si>
    <t>анализ 28</t>
  </si>
  <si>
    <t>анализ 29</t>
  </si>
  <si>
    <t>анализ 30</t>
  </si>
  <si>
    <t>анализ 31</t>
  </si>
  <si>
    <t>анализ 32</t>
  </si>
  <si>
    <t>анализ 33</t>
  </si>
  <si>
    <t>анализ 34</t>
  </si>
  <si>
    <t>анализ 35</t>
  </si>
  <si>
    <t>анализ 36</t>
  </si>
  <si>
    <t>анализ 37</t>
  </si>
  <si>
    <t>анализ 38</t>
  </si>
  <si>
    <t>анализ 39</t>
  </si>
  <si>
    <t>анализ 40</t>
  </si>
  <si>
    <t>анализ 41</t>
  </si>
  <si>
    <t>анализ 42</t>
  </si>
  <si>
    <t>анализ 43</t>
  </si>
  <si>
    <t>анализ 44</t>
  </si>
  <si>
    <t>анализ 45</t>
  </si>
  <si>
    <t>анализ 46</t>
  </si>
  <si>
    <t>анализ 47</t>
  </si>
  <si>
    <t>анализ 48</t>
  </si>
  <si>
    <t>анализ 49</t>
  </si>
  <si>
    <t>анализ 50</t>
  </si>
  <si>
    <t>анализ 51</t>
  </si>
  <si>
    <t>анализ 52</t>
  </si>
  <si>
    <t>анализ 53</t>
  </si>
  <si>
    <t>анализ 54</t>
  </si>
  <si>
    <t>анализ 55</t>
  </si>
  <si>
    <t>анализ 56</t>
  </si>
  <si>
    <t>анализ 57</t>
  </si>
  <si>
    <t>анализ 58</t>
  </si>
  <si>
    <t>анализ 59</t>
  </si>
  <si>
    <t>анализ 60</t>
  </si>
  <si>
    <t>анализ 61</t>
  </si>
  <si>
    <t>анализ 62</t>
  </si>
  <si>
    <t>анализ 63</t>
  </si>
  <si>
    <t>анализ 64</t>
  </si>
  <si>
    <t>ВЪЗЛОЖИТЕЛ: ОБЩИНА ДЪЛГОПОЛ</t>
  </si>
  <si>
    <t>Обект: "Реконструкция на на компрометирани участъци от  водопроводната  мрежа в с. Аспарухово - ЕТАП 2"</t>
  </si>
  <si>
    <t>ОБОБЩЕНА  КОЛИЧЕСТВЕНО-СТОЙНОСТНА СМЕТКА (РЕКАПИТУЛАЦИЯ)</t>
  </si>
  <si>
    <t>Наименование на СМР</t>
  </si>
  <si>
    <t>Дължина            (м)</t>
  </si>
  <si>
    <t>Етап 2: Клон I.3.</t>
  </si>
  <si>
    <t>Етап 2: Клон I.4.</t>
  </si>
  <si>
    <t>Етап 2: Клон I.5.</t>
  </si>
  <si>
    <t>Етап 2: Клон I.6.</t>
  </si>
  <si>
    <t>Етап 2: Клон I.7.</t>
  </si>
  <si>
    <t>Етап 2: Клон I.8.</t>
  </si>
  <si>
    <t>Етап 2: Клон 10.1</t>
  </si>
  <si>
    <t>Етап 2: Клон 12</t>
  </si>
  <si>
    <t>Етап 2: Клон 15</t>
  </si>
  <si>
    <t>Етап 2: Клон 25.1</t>
  </si>
  <si>
    <t>Етап 2: Клон 25.2</t>
  </si>
  <si>
    <t>Етап 2: Клон 25.3</t>
  </si>
  <si>
    <t>ДДС 20%:</t>
  </si>
  <si>
    <t>ВСИЧКО:</t>
  </si>
  <si>
    <t>Анализ 66</t>
  </si>
  <si>
    <t>Анализ 65</t>
  </si>
  <si>
    <t>Анализ 67</t>
  </si>
  <si>
    <t>Анализ 69</t>
  </si>
  <si>
    <t>Анализ 68</t>
  </si>
  <si>
    <t>Анализ 70</t>
  </si>
  <si>
    <t>Анализ 71</t>
  </si>
  <si>
    <t>Анализ 72</t>
  </si>
  <si>
    <t>Анализ 73</t>
  </si>
  <si>
    <t>Анализ 74</t>
  </si>
  <si>
    <t>Анализ 75</t>
  </si>
  <si>
    <t>Анализ 76</t>
  </si>
  <si>
    <t>Анализ 77</t>
  </si>
  <si>
    <t>Анализ 78</t>
  </si>
  <si>
    <t>Анализ 79</t>
  </si>
  <si>
    <t>Анализ 80</t>
  </si>
  <si>
    <t>Анализ 81</t>
  </si>
  <si>
    <t>Анализ 82</t>
  </si>
  <si>
    <t>Анализ 83</t>
  </si>
  <si>
    <t>Анализ 84</t>
  </si>
  <si>
    <t>Анализ 85</t>
  </si>
  <si>
    <t>Анализ 86</t>
  </si>
  <si>
    <t>Анализ 87</t>
  </si>
  <si>
    <t>Анализ 88</t>
  </si>
  <si>
    <t>Анализ 89</t>
  </si>
  <si>
    <t>Анализ 90</t>
  </si>
  <si>
    <t>Анализ 91</t>
  </si>
  <si>
    <t>Анализ 92</t>
  </si>
  <si>
    <t>Анализ 93</t>
  </si>
  <si>
    <t>Анализ 94</t>
  </si>
  <si>
    <t>Анализ 95</t>
  </si>
  <si>
    <t>Анализ 96</t>
  </si>
  <si>
    <t>Анализ 97</t>
  </si>
  <si>
    <t>Анализ 98</t>
  </si>
  <si>
    <t>ЕД. ЦЕНИ</t>
  </si>
  <si>
    <t>Анализ 99</t>
  </si>
  <si>
    <t>ЕД. ЦЕНИ за СМР</t>
  </si>
  <si>
    <t>Ед. Цена (EU)</t>
  </si>
  <si>
    <t>евро без ДДС</t>
  </si>
  <si>
    <t>макс прогнозна</t>
  </si>
  <si>
    <t>II. ЧАСТ ВЪЗСТАНОВЯВАНЕ НА НАСТИЛКАТА, EU. без вкл. ДДС</t>
  </si>
  <si>
    <t>I. ЧАСТ ВОДОСНАБДЯВАНЕ, EU, без вкл. ДДС</t>
  </si>
  <si>
    <t>АНАЛИЗНИ ЦЕНИ (МАТ., МЕХ., ДРУГИ И ТРУД)</t>
  </si>
  <si>
    <t>Осн.</t>
  </si>
  <si>
    <t>Описание</t>
  </si>
  <si>
    <t>м-ка</t>
  </si>
  <si>
    <t>РН</t>
  </si>
  <si>
    <t>К</t>
  </si>
  <si>
    <t>Цена</t>
  </si>
  <si>
    <t>Общо</t>
  </si>
  <si>
    <t>[1]</t>
  </si>
  <si>
    <t>[2]</t>
  </si>
  <si>
    <t>[3]</t>
  </si>
  <si>
    <t>[4]</t>
  </si>
  <si>
    <t>[5]</t>
  </si>
  <si>
    <t>[6]</t>
  </si>
  <si>
    <t>[7]</t>
  </si>
  <si>
    <t>Позиция: , Основание: Анализ 1</t>
  </si>
  <si>
    <t>за л.м.</t>
  </si>
  <si>
    <t>Механизация</t>
  </si>
  <si>
    <t>-</t>
  </si>
  <si>
    <t>Ръчен фугорез за асфалт</t>
  </si>
  <si>
    <t>МСМ</t>
  </si>
  <si>
    <t>Труд</t>
  </si>
  <si>
    <t>Ч.Ч.</t>
  </si>
  <si>
    <t>Допълнителни разходи</t>
  </si>
  <si>
    <t>върху Труд</t>
  </si>
  <si>
    <t>%</t>
  </si>
  <si>
    <t>върху Механизация</t>
  </si>
  <si>
    <t>преки</t>
  </si>
  <si>
    <t>допълнителни</t>
  </si>
  <si>
    <t>общо</t>
  </si>
  <si>
    <t>печалба</t>
  </si>
  <si>
    <t>10</t>
  </si>
  <si>
    <t>Позиция: , Основание: Анализ 2</t>
  </si>
  <si>
    <t>за м2</t>
  </si>
  <si>
    <t>Багер с хидр. чук</t>
  </si>
  <si>
    <t>Позиция: , Основание: Анализ 3</t>
  </si>
  <si>
    <t>за м3</t>
  </si>
  <si>
    <t xml:space="preserve">Багер </t>
  </si>
  <si>
    <t>Позиция: , Основание: Анализ 4</t>
  </si>
  <si>
    <t>Позиция: , Основание: Анализ 5</t>
  </si>
  <si>
    <t>Позиция: , Основание: Анализ 6</t>
  </si>
  <si>
    <t>Багер</t>
  </si>
  <si>
    <t>Позиция: , Основание: Анализ 7</t>
  </si>
  <si>
    <t>Булдозер</t>
  </si>
  <si>
    <t>Позиция: , Основание: Анализ 8</t>
  </si>
  <si>
    <t>Самосвал</t>
  </si>
  <si>
    <t>Позиция: , Основание: Анализ 9</t>
  </si>
  <si>
    <t>Материали</t>
  </si>
  <si>
    <t>М2</t>
  </si>
  <si>
    <t>Багер - за монтаж и демонтаж</t>
  </si>
  <si>
    <t>върху Материали</t>
  </si>
  <si>
    <t>Позиция: , Основание: Анализ 10</t>
  </si>
  <si>
    <t>Пясък -фракция 0/4 мм</t>
  </si>
  <si>
    <t>М3</t>
  </si>
  <si>
    <t>Позиция: , Основание: Анализ 11</t>
  </si>
  <si>
    <t>Позиция: , Основание: Анализ 12</t>
  </si>
  <si>
    <t>Позиция: , Основание: Анализ 13</t>
  </si>
  <si>
    <t>Мини челен товарач</t>
  </si>
  <si>
    <t>Позиция: , Основание: Анализ 14</t>
  </si>
  <si>
    <t>Позиция: , Основание: Анализ 15</t>
  </si>
  <si>
    <t>Позиция: , Основание: Анализ 16</t>
  </si>
  <si>
    <t>Позиция: , Основание: Анализ 17</t>
  </si>
  <si>
    <t>Тръмбовка тип пачи крак - ръчна</t>
  </si>
  <si>
    <t>Позиция: , Основание: Анализ 18</t>
  </si>
  <si>
    <t>Предпазна ограда</t>
  </si>
  <si>
    <t>Позиция: , Основание: Анализ 19</t>
  </si>
  <si>
    <t>за бр.</t>
  </si>
  <si>
    <t>Мостчета за преминаване през изкоп</t>
  </si>
  <si>
    <t>БР</t>
  </si>
  <si>
    <t>Позиция: , Основание: Анализ 20</t>
  </si>
  <si>
    <t>Позиция: , Основание: Анализ 21</t>
  </si>
  <si>
    <t>Позиция: , Основание: Анализ 22</t>
  </si>
  <si>
    <t>ПЕВП тръби ø125мм. (PN10)</t>
  </si>
  <si>
    <t>М</t>
  </si>
  <si>
    <t>Водопроводчик</t>
  </si>
  <si>
    <t>Позиция: , Основание: Анализ 23</t>
  </si>
  <si>
    <t>ПЕВП тръби ø90мм. (PN10)</t>
  </si>
  <si>
    <t>Позиция: , Основание: Анализ 24</t>
  </si>
  <si>
    <t>ПЕВП тръби ø32мм. (PN10)</t>
  </si>
  <si>
    <t>Позиция: , Основание: Анализ 25</t>
  </si>
  <si>
    <t>БОБ - (бетотн опорен блок)</t>
  </si>
  <si>
    <t>бр</t>
  </si>
  <si>
    <t>Позиция: , Основание: Анализ 26</t>
  </si>
  <si>
    <t>ВС ф125/1"  - водовз. скоба ел. зав.</t>
  </si>
  <si>
    <t>Ел. дифузна машиза</t>
  </si>
  <si>
    <t>Позиция: , Основание: Анализ 27</t>
  </si>
  <si>
    <t>Челна машина за заваряване</t>
  </si>
  <si>
    <t>Позиция: , Основание: Анализ 28</t>
  </si>
  <si>
    <t>Позиция: , Основание: Анализ 29</t>
  </si>
  <si>
    <t>Позиция: , Основание: Анализ 30</t>
  </si>
  <si>
    <t>Ко ф32/1"  - ел. зав.</t>
  </si>
  <si>
    <t>Машина за дифузно зав.</t>
  </si>
  <si>
    <t>Позиция: , Основание: Анализ 31</t>
  </si>
  <si>
    <t>ПМ  ф32/1" -преход месинг заваряем</t>
  </si>
  <si>
    <t>Позиция: , Основание: Анализ 32</t>
  </si>
  <si>
    <t>Позиция: , Основание: Анализ 33</t>
  </si>
  <si>
    <t>ПХ ф70/80 - компл. с пета</t>
  </si>
  <si>
    <t>Позиция: , Основание: Анализ 34</t>
  </si>
  <si>
    <t>Болт, гайка и шайба</t>
  </si>
  <si>
    <t>Позиция: , Основание: Анализ 35</t>
  </si>
  <si>
    <t>СК ф80 с охр. гарн. (с вкл. гърне)</t>
  </si>
  <si>
    <t>Позиция: , Основание: Анализ 36</t>
  </si>
  <si>
    <t>ТН ф125/ф90 ( тройник редуктивен челна заварка 125/90/125)</t>
  </si>
  <si>
    <t>Машина за челно заваряване</t>
  </si>
  <si>
    <t>Позиция: , Основание: Анализ 37</t>
  </si>
  <si>
    <t>Позиция: , Основание: Анализ 38</t>
  </si>
  <si>
    <t>ФС Ф80 (фл. свободен)</t>
  </si>
  <si>
    <t>Позиция: , Основание: Анализ 39</t>
  </si>
  <si>
    <t>Помпа за повишаване на налягането</t>
  </si>
  <si>
    <t>Позиция: , Основание: Анализ 40</t>
  </si>
  <si>
    <t>Хлораторен р-р за дезинфекция</t>
  </si>
  <si>
    <t>Помпа за вкарване на дезифектант</t>
  </si>
  <si>
    <t>Позиция: , Основание: Анализ 41</t>
  </si>
  <si>
    <t>Бетонова стъпка за укрепване на гърне- готова</t>
  </si>
  <si>
    <t>Обсадна тръба за укрепване</t>
  </si>
  <si>
    <t>Позиция: , Основание: Анализ 42</t>
  </si>
  <si>
    <t>Табела за СК -готова</t>
  </si>
  <si>
    <t>Монтажни елементи за тебела</t>
  </si>
  <si>
    <t>Позиция: , Основание: Анализ 43</t>
  </si>
  <si>
    <t>Табела за ПК -готова</t>
  </si>
  <si>
    <t>Позиция: , Основание: Анализ 44</t>
  </si>
  <si>
    <t>Позиция: , Основание: Анализ 45</t>
  </si>
  <si>
    <t>каменна фракция 35/75 с Н=40см</t>
  </si>
  <si>
    <t>Мини челен товарач (полагане)</t>
  </si>
  <si>
    <t>Позиция: , Основание: Анализ 46</t>
  </si>
  <si>
    <t>Гудронатор</t>
  </si>
  <si>
    <t>Позиция: , Основание: Анализ 47</t>
  </si>
  <si>
    <t>за тон</t>
  </si>
  <si>
    <t>Т</t>
  </si>
  <si>
    <t>Асфалтополагаща машина ( компактен тип до 2,5шир.)</t>
  </si>
  <si>
    <t>Позиция: , Основание: Анализ 48</t>
  </si>
  <si>
    <t>Сигнална лента</t>
  </si>
  <si>
    <t>Позиция: , Основание: Анализ 49</t>
  </si>
  <si>
    <t>Детекторна лента</t>
  </si>
  <si>
    <t>Позиция: , Основание: Анализ 50</t>
  </si>
  <si>
    <t>Позиция: , Основание: Анализ 51</t>
  </si>
  <si>
    <t>Позиция: , Основание: Анализ 52</t>
  </si>
  <si>
    <t>Позиция: , Основание: Анализ 53</t>
  </si>
  <si>
    <t>Позиция: , Основание: Анализ 54</t>
  </si>
  <si>
    <t>Позиция: , Основание: Анализ 55</t>
  </si>
  <si>
    <t>Фреза за асфалт -( мини фреза до 1,0м)</t>
  </si>
  <si>
    <t>Позиция: , Основание: Анализ 56</t>
  </si>
  <si>
    <t>Позиция: , Основание: Анализ 57</t>
  </si>
  <si>
    <t>за т</t>
  </si>
  <si>
    <t>Позиция: , Основание: Анализ 58</t>
  </si>
  <si>
    <t>за м</t>
  </si>
  <si>
    <t>Позиция: , Основание: Анализ 59</t>
  </si>
  <si>
    <t>Позиция: , Основание: Анализ 60</t>
  </si>
  <si>
    <t>Позиция: , Основание: Анализ 61</t>
  </si>
  <si>
    <t>Позиция: , Основание: Анализ 62</t>
  </si>
  <si>
    <t>Позиция: , Основание: Анализ 63</t>
  </si>
  <si>
    <t>Миничелен товарач с четка</t>
  </si>
  <si>
    <t>Позиция: , Основание: Анализ 64</t>
  </si>
  <si>
    <t>плътен асфалтобетон</t>
  </si>
  <si>
    <t>Позиция: , Основание: Анализ 65</t>
  </si>
  <si>
    <t>Позиция: , Основание: Анализ 66</t>
  </si>
  <si>
    <t>Позиция: , Основание: Анализ 67</t>
  </si>
  <si>
    <t>Пясък (сипица) фр. 0/4мм</t>
  </si>
  <si>
    <t>Позиция: , Основание: Анализ 68</t>
  </si>
  <si>
    <t>Позиция: , Основание: Анализ 69</t>
  </si>
  <si>
    <t>Позиция: , Основание: Анализ 70</t>
  </si>
  <si>
    <t>Коляно ф125/60  - челно зав.</t>
  </si>
  <si>
    <t>Позиция: , Основание: Анализ 71</t>
  </si>
  <si>
    <t>Позиция: , Основание: Анализ 72</t>
  </si>
  <si>
    <t>Позиция: , Основание: Анализ 73</t>
  </si>
  <si>
    <t>СК ф125 с охр. гарн. (с вкл. гърне)</t>
  </si>
  <si>
    <t>Позиция: , Основание: Анализ 74</t>
  </si>
  <si>
    <t>ТН ф110/ф110 (тройник челна зав)</t>
  </si>
  <si>
    <t>Позиция: , Основание: Анализ 75</t>
  </si>
  <si>
    <t>ФС Ф125 (фл. свободен)</t>
  </si>
  <si>
    <t>Позиция: , Основание: Анализ 76</t>
  </si>
  <si>
    <t>Позиция: , Основание: Анализ 77</t>
  </si>
  <si>
    <t>ПЕВП тръби ø110мм. (PN10)</t>
  </si>
  <si>
    <t>Позиция: , Основание: Анализ 78</t>
  </si>
  <si>
    <t>ВС ф110/1"  - водовз. скоба ел. зав.</t>
  </si>
  <si>
    <t>Позиция: , Основание: Анализ 79</t>
  </si>
  <si>
    <t>Коляно ф110/90  - челно зав.</t>
  </si>
  <si>
    <t>Позиция: , Основание: Анализ 80</t>
  </si>
  <si>
    <t>ТН ф110/ф90 ( тройник редуктивен челна заварка 110/90/110)</t>
  </si>
  <si>
    <t>Позиция: , Основание: Анализ 81</t>
  </si>
  <si>
    <t>Позиция: , Основание: Анализ 82</t>
  </si>
  <si>
    <t>Позиция: , Основание: Анализ 83</t>
  </si>
  <si>
    <t>Позиция: , Основание: Анализ 84</t>
  </si>
  <si>
    <t>СК ф100 с охр. гарн. (с вкл. гърне)</t>
  </si>
  <si>
    <t>Позиция: , Основание: Анализ 85</t>
  </si>
  <si>
    <t>ТН ф90/ф90 (тройник челна зав.)</t>
  </si>
  <si>
    <t>Позиция: , Основание: Анализ 86</t>
  </si>
  <si>
    <t>Позиция: , Основание: Анализ 87</t>
  </si>
  <si>
    <t>ФС Ф100 (фл. свободен)</t>
  </si>
  <si>
    <t>Позиция: , Основание: Анализ 88</t>
  </si>
  <si>
    <t>ВС ф90/1"  - водовз. скоба ел. зав.</t>
  </si>
  <si>
    <t>Позиция: , Основание: Анализ 89</t>
  </si>
  <si>
    <t>Дъга ф90/12</t>
  </si>
  <si>
    <t>Позиция: , Основание: Анализ 90</t>
  </si>
  <si>
    <t>Коляно ф90/45   - челно зав.</t>
  </si>
  <si>
    <t>Позиция: , Основание: Анализ 91</t>
  </si>
  <si>
    <t>ПЕВП тръби ø63мм. (PN10)</t>
  </si>
  <si>
    <t>Позиция: , Основание: Анализ 92</t>
  </si>
  <si>
    <t>Позиция: , Основание: Анализ 93</t>
  </si>
  <si>
    <t>ВС ф90/2"  - водовз. скоба ел. зав.</t>
  </si>
  <si>
    <t>Позиция: , Основание: Анализ 94</t>
  </si>
  <si>
    <t>Ко ф63/2"  - ел. зав.</t>
  </si>
  <si>
    <t>Позиция: , Основание: Анализ 95</t>
  </si>
  <si>
    <t>ПМ  ф63/2" -преход месинг заваряем</t>
  </si>
  <si>
    <t>Позиция: , Основание: Анализ 96</t>
  </si>
  <si>
    <t>Позиция: , Основание: Анализ 97</t>
  </si>
  <si>
    <t>Дъга ф90/21</t>
  </si>
  <si>
    <t>Позиция: , Основание: Анализ 98</t>
  </si>
  <si>
    <t>Дъга ф90/24</t>
  </si>
  <si>
    <t>Позиция: , Основание: Анализ 99</t>
  </si>
  <si>
    <t>Дъга ф90/10</t>
  </si>
  <si>
    <t>Възложител:</t>
  </si>
  <si>
    <t>Изпълнител:</t>
  </si>
  <si>
    <t>УЧАСТНИК: ЕВРОКАНАЛ ЕООД</t>
  </si>
  <si>
    <t>Багер товарач</t>
  </si>
  <si>
    <t>Боксово упрепване (тип SBH леко) - амортизация</t>
  </si>
  <si>
    <t>тръмбовка ръчна</t>
  </si>
  <si>
    <t>нестандартна скална маса</t>
  </si>
  <si>
    <t>Багер за полагане</t>
  </si>
  <si>
    <t>Спирт</t>
  </si>
  <si>
    <t>Л</t>
  </si>
  <si>
    <t>конци</t>
  </si>
  <si>
    <t>кг</t>
  </si>
  <si>
    <t>ТСК ф1"  (с вкл. гърне и охр. гар)</t>
  </si>
  <si>
    <t>Бетон B15 C12/15 (за възстановяване, подложка и укрепване на Бордюр)</t>
  </si>
  <si>
    <t xml:space="preserve">Валяк </t>
  </si>
  <si>
    <t>Тръмбовка пневматична</t>
  </si>
  <si>
    <t>Битум емулсия</t>
  </si>
  <si>
    <t>Компресор подвижен</t>
  </si>
  <si>
    <t>Механична четка</t>
  </si>
  <si>
    <t>неплътен асфалтобетон</t>
  </si>
  <si>
    <t>Вода</t>
  </si>
  <si>
    <t>Валяк - самоходен статичен над 10Т</t>
  </si>
  <si>
    <t>Валяк - самоходен пневматичен до 22Т</t>
  </si>
  <si>
    <t>Бетон B15 (C12/15) (за подложка и укрепване на Бордюр)</t>
  </si>
  <si>
    <t>Бетонов Бордюр 15/25/50</t>
  </si>
  <si>
    <t xml:space="preserve">Трошенокаменна настилка- </t>
  </si>
  <si>
    <t>Багер (полагане)</t>
  </si>
  <si>
    <t>Гудронаотр- грундирае настилки</t>
  </si>
  <si>
    <t>Ръчна дъхачка с въздхук</t>
  </si>
  <si>
    <t>вода</t>
  </si>
  <si>
    <t>Валяк - вибрационен до 2Т</t>
  </si>
  <si>
    <t>Тръмбовка - Виброплочаа</t>
  </si>
  <si>
    <t>ТСК ф2"  (с вкл. гърне и охр. гарн.)</t>
  </si>
  <si>
    <t>РАБОТНИК - смр</t>
  </si>
  <si>
    <t>/[Евроканал ЕООД]/</t>
  </si>
  <si>
    <t>/[общ. Дългопол]/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</si>
</sst>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\ &quot;лв.&quot;"/>
    <numFmt numFmtId="165" formatCode="#,##0.00\ [$EUR]"/>
    <numFmt numFmtId="166" formatCode="#\ ##0.00"/>
    <numFmt numFmtId="167" formatCode="#,##0.00\ [$BGN]"/>
    <numFmt numFmtId="168" formatCode="#\ ##0.0000"/>
    <numFmt numFmtId="169" formatCode="#\ ##0"/>
  </numFmts>
  <fonts count="28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color theme="1"/>
      <name val="Cambria"/>
      <family val="1"/>
      <charset val="204"/>
    </font>
    <font>
      <sz val="10"/>
      <name val="Cambria"/>
      <family val="1"/>
      <charset val="204"/>
    </font>
    <font>
      <sz val="11"/>
      <color theme="1"/>
      <name val="Cambria"/>
      <family val="1"/>
      <charset val="204"/>
    </font>
    <font>
      <b/>
      <sz val="10"/>
      <color theme="1"/>
      <name val="Cambria"/>
      <family val="1"/>
      <charset val="204"/>
    </font>
    <font>
      <sz val="10"/>
      <color theme="1"/>
      <name val="Cambria"/>
      <family val="1"/>
      <charset val="204"/>
    </font>
    <font>
      <b/>
      <sz val="12"/>
      <color theme="1"/>
      <name val="Cambria"/>
      <family val="1"/>
      <charset val="204"/>
    </font>
    <font>
      <b/>
      <sz val="9"/>
      <color theme="1"/>
      <name val="Cambria"/>
      <family val="1"/>
      <charset val="204"/>
    </font>
    <font>
      <b/>
      <sz val="9"/>
      <name val="Cambria"/>
      <family val="1"/>
      <charset val="204"/>
    </font>
    <font>
      <sz val="6"/>
      <name val="Cambria"/>
      <family val="1"/>
      <charset val="204"/>
    </font>
    <font>
      <b/>
      <sz val="11"/>
      <name val="Cambria"/>
      <family val="1"/>
      <charset val="204"/>
    </font>
    <font>
      <sz val="9"/>
      <color theme="1"/>
      <name val="Cambria"/>
      <family val="1"/>
      <charset val="204"/>
    </font>
    <font>
      <sz val="9"/>
      <name val="Cambria"/>
      <family val="1"/>
      <charset val="204"/>
    </font>
    <font>
      <sz val="11"/>
      <name val="Cambria"/>
      <family val="1"/>
      <charset val="204"/>
    </font>
    <font>
      <b/>
      <sz val="9"/>
      <color rgb="FFC00000"/>
      <name val="Cambria"/>
      <family val="1"/>
      <charset val="204"/>
    </font>
    <font>
      <sz val="8"/>
      <name val="Cambria"/>
      <family val="1"/>
      <charset val="204"/>
    </font>
    <font>
      <b/>
      <sz val="8"/>
      <name val="Cambria"/>
      <family val="1"/>
      <charset val="204"/>
    </font>
    <font>
      <b/>
      <i/>
      <u/>
      <sz val="11"/>
      <color theme="1"/>
      <name val="Cambria"/>
      <family val="1"/>
      <charset val="204"/>
    </font>
    <font>
      <u/>
      <sz val="11"/>
      <color theme="1"/>
      <name val="Cambria"/>
      <family val="1"/>
      <charset val="204"/>
    </font>
    <font>
      <sz val="12"/>
      <color rgb="FF000000"/>
      <name val="Cambria"/>
      <family val="1"/>
      <charset val="204"/>
    </font>
    <font>
      <b/>
      <i/>
      <sz val="11"/>
      <color theme="1"/>
      <name val="Cambria"/>
      <family val="1"/>
      <charset val="204"/>
    </font>
    <font>
      <sz val="10"/>
      <color rgb="FFFF0000"/>
      <name val="Cambria"/>
      <family val="1"/>
      <charset val="204"/>
    </font>
    <font>
      <sz val="11"/>
      <color rgb="FFFF0000"/>
      <name val="Cambria"/>
      <family val="1"/>
      <charset val="204"/>
    </font>
    <font>
      <sz val="8"/>
      <name val="Courier New"/>
    </font>
    <font>
      <b/>
      <sz val="18"/>
      <name val="Courier New"/>
    </font>
    <font>
      <b/>
      <sz val="8"/>
      <name val="Courier New"/>
    </font>
    <font>
      <sz val="7"/>
      <name val="Courier New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D3D3D3"/>
      </patternFill>
    </fill>
  </fills>
  <borders count="4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7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center"/>
    </xf>
    <xf numFmtId="2" fontId="3" fillId="0" borderId="0" xfId="0" applyNumberFormat="1" applyFont="1" applyFill="1" applyAlignment="1">
      <alignment vertical="center" wrapText="1"/>
    </xf>
    <xf numFmtId="2" fontId="6" fillId="0" borderId="0" xfId="0" applyNumberFormat="1" applyFont="1" applyFill="1" applyAlignment="1">
      <alignment horizontal="left" vertical="center" wrapText="1"/>
    </xf>
    <xf numFmtId="2" fontId="5" fillId="0" borderId="0" xfId="0" applyNumberFormat="1" applyFont="1" applyFill="1" applyAlignment="1">
      <alignment vertical="center" wrapText="1"/>
    </xf>
    <xf numFmtId="1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Fill="1" applyAlignment="1">
      <alignment vertical="center" wrapText="1"/>
    </xf>
    <xf numFmtId="2" fontId="6" fillId="0" borderId="0" xfId="0" applyNumberFormat="1" applyFont="1" applyFill="1" applyAlignment="1">
      <alignment vertical="center" wrapText="1"/>
    </xf>
    <xf numFmtId="1" fontId="10" fillId="0" borderId="11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2" fontId="13" fillId="0" borderId="5" xfId="0" applyNumberFormat="1" applyFont="1" applyFill="1" applyBorder="1" applyAlignment="1">
      <alignment horizontal="left" vertical="center" wrapText="1"/>
    </xf>
    <xf numFmtId="2" fontId="13" fillId="0" borderId="5" xfId="0" applyNumberFormat="1" applyFont="1" applyFill="1" applyBorder="1" applyAlignment="1">
      <alignment horizontal="center" vertical="center" wrapText="1"/>
    </xf>
    <xf numFmtId="4" fontId="13" fillId="0" borderId="5" xfId="0" applyNumberFormat="1" applyFont="1" applyFill="1" applyBorder="1" applyAlignment="1">
      <alignment horizontal="right" vertical="center" wrapText="1"/>
    </xf>
    <xf numFmtId="2" fontId="13" fillId="0" borderId="5" xfId="0" applyNumberFormat="1" applyFont="1" applyFill="1" applyBorder="1" applyAlignment="1">
      <alignment vertical="center" wrapText="1"/>
    </xf>
    <xf numFmtId="2" fontId="13" fillId="0" borderId="16" xfId="0" applyNumberFormat="1" applyFont="1" applyFill="1" applyBorder="1" applyAlignment="1">
      <alignment horizontal="center" vertical="center" wrapText="1"/>
    </xf>
    <xf numFmtId="4" fontId="13" fillId="0" borderId="16" xfId="0" applyNumberFormat="1" applyFont="1" applyFill="1" applyBorder="1" applyAlignment="1">
      <alignment horizontal="right" vertical="center" wrapText="1"/>
    </xf>
    <xf numFmtId="4" fontId="13" fillId="0" borderId="5" xfId="0" applyNumberFormat="1" applyFont="1" applyFill="1" applyBorder="1" applyAlignment="1">
      <alignment vertical="center" wrapText="1"/>
    </xf>
    <xf numFmtId="0" fontId="13" fillId="0" borderId="5" xfId="0" applyFont="1" applyFill="1" applyBorder="1"/>
    <xf numFmtId="2" fontId="13" fillId="0" borderId="20" xfId="0" applyNumberFormat="1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wrapText="1"/>
    </xf>
    <xf numFmtId="2" fontId="13" fillId="0" borderId="11" xfId="0" applyNumberFormat="1" applyFont="1" applyFill="1" applyBorder="1" applyAlignment="1">
      <alignment horizontal="left" vertical="center" wrapText="1"/>
    </xf>
    <xf numFmtId="2" fontId="13" fillId="0" borderId="11" xfId="0" applyNumberFormat="1" applyFont="1" applyFill="1" applyBorder="1" applyAlignment="1">
      <alignment vertical="center" wrapText="1"/>
    </xf>
    <xf numFmtId="0" fontId="3" fillId="0" borderId="5" xfId="0" applyFont="1" applyFill="1" applyBorder="1"/>
    <xf numFmtId="0" fontId="3" fillId="0" borderId="5" xfId="0" applyFont="1" applyBorder="1"/>
    <xf numFmtId="1" fontId="3" fillId="0" borderId="5" xfId="0" applyNumberFormat="1" applyFont="1" applyFill="1" applyBorder="1"/>
    <xf numFmtId="1" fontId="3" fillId="0" borderId="5" xfId="0" applyNumberFormat="1" applyFont="1" applyBorder="1"/>
    <xf numFmtId="0" fontId="13" fillId="0" borderId="5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 wrapText="1"/>
    </xf>
    <xf numFmtId="4" fontId="13" fillId="0" borderId="11" xfId="0" applyNumberFormat="1" applyFont="1" applyFill="1" applyBorder="1" applyAlignment="1">
      <alignment horizontal="right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 wrapText="1"/>
    </xf>
    <xf numFmtId="2" fontId="9" fillId="0" borderId="2" xfId="0" applyNumberFormat="1" applyFont="1" applyFill="1" applyBorder="1" applyAlignment="1">
      <alignment horizontal="right" vertical="center" wrapText="1"/>
    </xf>
    <xf numFmtId="2" fontId="9" fillId="0" borderId="2" xfId="0" applyNumberFormat="1" applyFont="1" applyFill="1" applyBorder="1" applyAlignment="1">
      <alignment vertical="center" wrapText="1"/>
    </xf>
    <xf numFmtId="4" fontId="9" fillId="0" borderId="2" xfId="0" applyNumberFormat="1" applyFont="1" applyFill="1" applyBorder="1" applyAlignment="1">
      <alignment vertical="center" wrapText="1"/>
    </xf>
    <xf numFmtId="2" fontId="9" fillId="0" borderId="11" xfId="0" applyNumberFormat="1" applyFont="1" applyFill="1" applyBorder="1" applyAlignment="1">
      <alignment vertical="center" wrapText="1"/>
    </xf>
    <xf numFmtId="4" fontId="9" fillId="0" borderId="11" xfId="0" applyNumberFormat="1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4" fontId="13" fillId="0" borderId="11" xfId="0" applyNumberFormat="1" applyFont="1" applyFill="1" applyBorder="1" applyAlignment="1">
      <alignment vertical="center" wrapText="1"/>
    </xf>
    <xf numFmtId="0" fontId="4" fillId="0" borderId="5" xfId="0" applyFont="1" applyBorder="1" applyAlignment="1">
      <alignment vertical="top" wrapText="1"/>
    </xf>
    <xf numFmtId="1" fontId="4" fillId="0" borderId="10" xfId="0" applyNumberFormat="1" applyFont="1" applyFill="1" applyBorder="1" applyAlignment="1">
      <alignment horizontal="center" vertical="center" wrapText="1"/>
    </xf>
    <xf numFmtId="2" fontId="9" fillId="0" borderId="11" xfId="0" applyNumberFormat="1" applyFont="1" applyFill="1" applyBorder="1" applyAlignment="1">
      <alignment horizontal="right" vertical="center" wrapText="1"/>
    </xf>
    <xf numFmtId="1" fontId="3" fillId="0" borderId="0" xfId="0" applyNumberFormat="1" applyFont="1" applyFill="1" applyAlignment="1">
      <alignment horizontal="center" vertical="center" wrapText="1"/>
    </xf>
    <xf numFmtId="2" fontId="9" fillId="3" borderId="11" xfId="0" applyNumberFormat="1" applyFont="1" applyFill="1" applyBorder="1" applyAlignment="1">
      <alignment horizontal="right" vertical="center" wrapText="1"/>
    </xf>
    <xf numFmtId="2" fontId="9" fillId="3" borderId="11" xfId="0" applyNumberFormat="1" applyFont="1" applyFill="1" applyBorder="1" applyAlignment="1">
      <alignment vertical="center" wrapText="1"/>
    </xf>
    <xf numFmtId="4" fontId="9" fillId="3" borderId="11" xfId="0" applyNumberFormat="1" applyFont="1" applyFill="1" applyBorder="1" applyAlignment="1">
      <alignment vertical="center" wrapText="1"/>
    </xf>
    <xf numFmtId="2" fontId="9" fillId="0" borderId="24" xfId="0" applyNumberFormat="1" applyFont="1" applyFill="1" applyBorder="1" applyAlignment="1">
      <alignment horizontal="right" vertical="center" wrapText="1"/>
    </xf>
    <xf numFmtId="2" fontId="9" fillId="0" borderId="24" xfId="0" applyNumberFormat="1" applyFont="1" applyFill="1" applyBorder="1" applyAlignment="1">
      <alignment vertical="center" wrapText="1"/>
    </xf>
    <xf numFmtId="4" fontId="9" fillId="0" borderId="24" xfId="0" applyNumberFormat="1" applyFont="1" applyFill="1" applyBorder="1" applyAlignment="1">
      <alignment vertical="center" wrapText="1"/>
    </xf>
    <xf numFmtId="2" fontId="9" fillId="3" borderId="18" xfId="0" applyNumberFormat="1" applyFont="1" applyFill="1" applyBorder="1" applyAlignment="1">
      <alignment horizontal="right" vertical="center" wrapText="1"/>
    </xf>
    <xf numFmtId="2" fontId="9" fillId="3" borderId="18" xfId="0" applyNumberFormat="1" applyFont="1" applyFill="1" applyBorder="1" applyAlignment="1">
      <alignment vertical="center" wrapText="1"/>
    </xf>
    <xf numFmtId="4" fontId="9" fillId="3" borderId="18" xfId="0" applyNumberFormat="1" applyFont="1" applyFill="1" applyBorder="1" applyAlignment="1">
      <alignment vertical="center" wrapText="1"/>
    </xf>
    <xf numFmtId="2" fontId="9" fillId="3" borderId="29" xfId="0" applyNumberFormat="1" applyFont="1" applyFill="1" applyBorder="1" applyAlignment="1">
      <alignment horizontal="right" vertical="center" wrapText="1"/>
    </xf>
    <xf numFmtId="2" fontId="9" fillId="3" borderId="29" xfId="0" applyNumberFormat="1" applyFont="1" applyFill="1" applyBorder="1" applyAlignment="1">
      <alignment vertical="center" wrapText="1"/>
    </xf>
    <xf numFmtId="4" fontId="9" fillId="3" borderId="29" xfId="0" applyNumberFormat="1" applyFont="1" applyFill="1" applyBorder="1" applyAlignment="1">
      <alignment vertical="center" wrapText="1"/>
    </xf>
    <xf numFmtId="2" fontId="13" fillId="0" borderId="0" xfId="0" applyNumberFormat="1" applyFont="1" applyFill="1" applyAlignment="1">
      <alignment vertical="center" wrapText="1"/>
    </xf>
    <xf numFmtId="2" fontId="8" fillId="0" borderId="0" xfId="0" applyNumberFormat="1" applyFont="1" applyFill="1" applyAlignment="1">
      <alignment horizontal="left" vertical="center" wrapText="1"/>
    </xf>
    <xf numFmtId="2" fontId="12" fillId="0" borderId="0" xfId="0" applyNumberFormat="1" applyFont="1" applyFill="1" applyAlignment="1">
      <alignment horizontal="left" vertical="center" wrapText="1"/>
    </xf>
    <xf numFmtId="2" fontId="8" fillId="0" borderId="0" xfId="0" applyNumberFormat="1" applyFont="1" applyFill="1" applyAlignment="1">
      <alignment vertical="center" wrapText="1"/>
    </xf>
    <xf numFmtId="2" fontId="8" fillId="0" borderId="0" xfId="0" applyNumberFormat="1" applyFont="1" applyFill="1" applyAlignment="1">
      <alignment horizontal="center" vertical="center" wrapText="1"/>
    </xf>
    <xf numFmtId="1" fontId="8" fillId="0" borderId="0" xfId="0" applyNumberFormat="1" applyFont="1" applyFill="1" applyAlignment="1">
      <alignment horizontal="center" vertical="center" wrapText="1"/>
    </xf>
    <xf numFmtId="2" fontId="15" fillId="0" borderId="0" xfId="0" applyNumberFormat="1" applyFont="1" applyFill="1" applyAlignment="1">
      <alignment horizontal="left" vertical="center" wrapText="1"/>
    </xf>
    <xf numFmtId="2" fontId="15" fillId="0" borderId="0" xfId="0" applyNumberFormat="1" applyFont="1" applyFill="1" applyAlignment="1">
      <alignment horizontal="center" vertical="center" wrapText="1"/>
    </xf>
    <xf numFmtId="1" fontId="12" fillId="0" borderId="0" xfId="0" applyNumberFormat="1" applyFont="1" applyFill="1" applyAlignment="1">
      <alignment horizontal="center" vertical="center" wrapText="1"/>
    </xf>
    <xf numFmtId="2" fontId="12" fillId="0" borderId="0" xfId="0" applyNumberFormat="1" applyFont="1" applyFill="1" applyAlignment="1">
      <alignment vertical="center" wrapText="1"/>
    </xf>
    <xf numFmtId="1" fontId="12" fillId="0" borderId="10" xfId="0" applyNumberFormat="1" applyFont="1" applyFill="1" applyBorder="1" applyAlignment="1">
      <alignment horizontal="center" vertical="center" wrapText="1"/>
    </xf>
    <xf numFmtId="1" fontId="13" fillId="0" borderId="11" xfId="0" applyNumberFormat="1" applyFont="1" applyFill="1" applyBorder="1" applyAlignment="1">
      <alignment horizontal="center" vertical="center" wrapText="1"/>
    </xf>
    <xf numFmtId="0" fontId="12" fillId="0" borderId="0" xfId="0" applyFont="1" applyFill="1"/>
    <xf numFmtId="2" fontId="12" fillId="0" borderId="5" xfId="0" applyNumberFormat="1" applyFont="1" applyFill="1" applyBorder="1"/>
    <xf numFmtId="2" fontId="13" fillId="0" borderId="0" xfId="0" applyNumberFormat="1" applyFont="1" applyFill="1" applyBorder="1" applyAlignment="1">
      <alignment vertical="center" wrapText="1"/>
    </xf>
    <xf numFmtId="2" fontId="13" fillId="0" borderId="17" xfId="0" applyNumberFormat="1" applyFont="1" applyFill="1" applyBorder="1" applyAlignment="1">
      <alignment vertical="center" wrapText="1"/>
    </xf>
    <xf numFmtId="1" fontId="13" fillId="0" borderId="5" xfId="0" applyNumberFormat="1" applyFont="1" applyFill="1" applyBorder="1"/>
    <xf numFmtId="2" fontId="13" fillId="0" borderId="5" xfId="0" applyNumberFormat="1" applyFont="1" applyFill="1" applyBorder="1"/>
    <xf numFmtId="1" fontId="12" fillId="0" borderId="1" xfId="0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wrapText="1"/>
    </xf>
    <xf numFmtId="0" fontId="12" fillId="0" borderId="5" xfId="0" applyFont="1" applyFill="1" applyBorder="1" applyAlignment="1">
      <alignment vertical="top" wrapText="1"/>
    </xf>
    <xf numFmtId="1" fontId="12" fillId="0" borderId="23" xfId="0" applyNumberFormat="1" applyFont="1" applyFill="1" applyBorder="1" applyAlignment="1">
      <alignment horizontal="center" vertical="center" wrapText="1"/>
    </xf>
    <xf numFmtId="1" fontId="12" fillId="3" borderId="21" xfId="0" applyNumberFormat="1" applyFont="1" applyFill="1" applyBorder="1" applyAlignment="1">
      <alignment horizontal="center" vertical="center" wrapText="1"/>
    </xf>
    <xf numFmtId="1" fontId="12" fillId="3" borderId="26" xfId="0" applyNumberFormat="1" applyFont="1" applyFill="1" applyBorder="1" applyAlignment="1">
      <alignment horizontal="center" vertical="center" wrapText="1"/>
    </xf>
    <xf numFmtId="1" fontId="12" fillId="3" borderId="28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Fill="1" applyAlignment="1">
      <alignment horizontal="center" vertical="center" wrapText="1"/>
    </xf>
    <xf numFmtId="2" fontId="13" fillId="0" borderId="1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" xfId="0" applyFont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wrapText="1"/>
    </xf>
    <xf numFmtId="2" fontId="13" fillId="0" borderId="5" xfId="0" applyNumberFormat="1" applyFont="1" applyBorder="1"/>
    <xf numFmtId="0" fontId="12" fillId="0" borderId="5" xfId="0" applyFont="1" applyBorder="1" applyAlignment="1">
      <alignment vertical="top" wrapText="1"/>
    </xf>
    <xf numFmtId="1" fontId="12" fillId="2" borderId="21" xfId="0" applyNumberFormat="1" applyFont="1" applyFill="1" applyBorder="1" applyAlignment="1">
      <alignment horizontal="center" vertical="center" wrapText="1"/>
    </xf>
    <xf numFmtId="2" fontId="9" fillId="2" borderId="18" xfId="0" applyNumberFormat="1" applyFont="1" applyFill="1" applyBorder="1" applyAlignment="1">
      <alignment horizontal="right" vertical="center" wrapText="1"/>
    </xf>
    <xf numFmtId="2" fontId="9" fillId="2" borderId="18" xfId="0" applyNumberFormat="1" applyFont="1" applyFill="1" applyBorder="1" applyAlignment="1">
      <alignment vertical="center" wrapText="1"/>
    </xf>
    <xf numFmtId="4" fontId="9" fillId="2" borderId="18" xfId="0" applyNumberFormat="1" applyFont="1" applyFill="1" applyBorder="1" applyAlignment="1">
      <alignment vertical="center" wrapText="1"/>
    </xf>
    <xf numFmtId="1" fontId="13" fillId="2" borderId="31" xfId="0" applyNumberFormat="1" applyFont="1" applyFill="1" applyBorder="1" applyAlignment="1">
      <alignment horizontal="center" vertical="center" wrapText="1"/>
    </xf>
    <xf numFmtId="2" fontId="9" fillId="2" borderId="11" xfId="0" applyNumberFormat="1" applyFont="1" applyFill="1" applyBorder="1" applyAlignment="1">
      <alignment horizontal="right" vertical="center" wrapText="1"/>
    </xf>
    <xf numFmtId="2" fontId="9" fillId="2" borderId="11" xfId="0" applyNumberFormat="1" applyFont="1" applyFill="1" applyBorder="1" applyAlignment="1">
      <alignment vertical="center" wrapText="1"/>
    </xf>
    <xf numFmtId="4" fontId="9" fillId="2" borderId="11" xfId="0" applyNumberFormat="1" applyFont="1" applyFill="1" applyBorder="1" applyAlignment="1">
      <alignment vertical="center" wrapText="1"/>
    </xf>
    <xf numFmtId="1" fontId="13" fillId="2" borderId="32" xfId="0" applyNumberFormat="1" applyFont="1" applyFill="1" applyBorder="1" applyAlignment="1">
      <alignment horizontal="center" vertical="center" wrapText="1"/>
    </xf>
    <xf numFmtId="2" fontId="9" fillId="2" borderId="29" xfId="0" applyNumberFormat="1" applyFont="1" applyFill="1" applyBorder="1" applyAlignment="1">
      <alignment horizontal="right" vertical="center" wrapText="1"/>
    </xf>
    <xf numFmtId="2" fontId="9" fillId="2" borderId="29" xfId="0" applyNumberFormat="1" applyFont="1" applyFill="1" applyBorder="1" applyAlignment="1">
      <alignment vertical="center" wrapText="1"/>
    </xf>
    <xf numFmtId="4" fontId="9" fillId="2" borderId="29" xfId="0" applyNumberFormat="1" applyFont="1" applyFill="1" applyBorder="1" applyAlignment="1">
      <alignment vertical="center" wrapText="1"/>
    </xf>
    <xf numFmtId="1" fontId="10" fillId="0" borderId="10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1" fontId="13" fillId="0" borderId="10" xfId="0" applyNumberFormat="1" applyFont="1" applyFill="1" applyBorder="1" applyAlignment="1">
      <alignment horizontal="center" vertical="center" wrapText="1"/>
    </xf>
    <xf numFmtId="1" fontId="13" fillId="0" borderId="5" xfId="0" applyNumberFormat="1" applyFont="1" applyBorder="1"/>
    <xf numFmtId="1" fontId="13" fillId="0" borderId="1" xfId="0" applyNumberFormat="1" applyFont="1" applyFill="1" applyBorder="1" applyAlignment="1">
      <alignment horizontal="center" vertical="center" wrapText="1"/>
    </xf>
    <xf numFmtId="3" fontId="13" fillId="0" borderId="11" xfId="0" applyNumberFormat="1" applyFont="1" applyFill="1" applyBorder="1" applyAlignment="1">
      <alignment horizontal="right" vertical="center" wrapText="1"/>
    </xf>
    <xf numFmtId="2" fontId="8" fillId="0" borderId="0" xfId="0" applyNumberFormat="1" applyFont="1" applyFill="1" applyAlignment="1">
      <alignment horizontal="center" vertical="center" wrapText="1"/>
    </xf>
    <xf numFmtId="2" fontId="8" fillId="0" borderId="0" xfId="0" applyNumberFormat="1" applyFont="1" applyFill="1" applyAlignment="1">
      <alignment horizontal="left" vertical="center" wrapText="1"/>
    </xf>
    <xf numFmtId="2" fontId="8" fillId="0" borderId="0" xfId="0" applyNumberFormat="1" applyFont="1" applyFill="1" applyAlignment="1">
      <alignment horizontal="center" vertical="center" wrapText="1"/>
    </xf>
    <xf numFmtId="2" fontId="13" fillId="0" borderId="5" xfId="0" applyNumberFormat="1" applyFont="1" applyFill="1" applyBorder="1" applyAlignment="1">
      <alignment horizontal="right" vertical="center" wrapText="1"/>
    </xf>
    <xf numFmtId="2" fontId="13" fillId="0" borderId="16" xfId="0" applyNumberFormat="1" applyFont="1" applyFill="1" applyBorder="1" applyAlignment="1">
      <alignment horizontal="right" vertical="center" wrapText="1"/>
    </xf>
    <xf numFmtId="2" fontId="8" fillId="0" borderId="0" xfId="0" applyNumberFormat="1" applyFont="1" applyFill="1" applyAlignment="1">
      <alignment horizontal="left" vertical="center" wrapText="1"/>
    </xf>
    <xf numFmtId="2" fontId="8" fillId="0" borderId="0" xfId="0" applyNumberFormat="1" applyFont="1" applyFill="1" applyAlignment="1">
      <alignment horizontal="center" vertical="center" wrapText="1"/>
    </xf>
    <xf numFmtId="1" fontId="8" fillId="0" borderId="33" xfId="0" applyNumberFormat="1" applyFont="1" applyFill="1" applyBorder="1" applyAlignment="1">
      <alignment horizontal="center" vertical="center" wrapText="1"/>
    </xf>
    <xf numFmtId="1" fontId="8" fillId="0" borderId="15" xfId="0" applyNumberFormat="1" applyFont="1" applyFill="1" applyBorder="1" applyAlignment="1">
      <alignment horizontal="center" vertical="center" wrapText="1"/>
    </xf>
    <xf numFmtId="1" fontId="8" fillId="0" borderId="34" xfId="0" applyNumberFormat="1" applyFont="1" applyFill="1" applyBorder="1" applyAlignment="1">
      <alignment horizontal="center" vertical="center" wrapText="1"/>
    </xf>
    <xf numFmtId="1" fontId="12" fillId="0" borderId="35" xfId="0" applyNumberFormat="1" applyFont="1" applyFill="1" applyBorder="1" applyAlignment="1">
      <alignment horizontal="center" vertical="center" wrapText="1"/>
    </xf>
    <xf numFmtId="0" fontId="12" fillId="0" borderId="11" xfId="0" applyNumberFormat="1" applyFont="1" applyFill="1" applyBorder="1" applyAlignment="1">
      <alignment horizontal="center" vertical="center" wrapText="1"/>
    </xf>
    <xf numFmtId="1" fontId="12" fillId="0" borderId="33" xfId="0" applyNumberFormat="1" applyFont="1" applyFill="1" applyBorder="1" applyAlignment="1">
      <alignment horizontal="center" vertical="center" wrapText="1"/>
    </xf>
    <xf numFmtId="1" fontId="12" fillId="0" borderId="36" xfId="0" applyNumberFormat="1" applyFont="1" applyFill="1" applyBorder="1" applyAlignment="1">
      <alignment horizontal="center" vertical="center" wrapTex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 wrapText="1"/>
    </xf>
    <xf numFmtId="1" fontId="12" fillId="3" borderId="38" xfId="0" applyNumberFormat="1" applyFont="1" applyFill="1" applyBorder="1" applyAlignment="1">
      <alignment horizontal="center" vertical="center" wrapText="1"/>
    </xf>
    <xf numFmtId="1" fontId="12" fillId="2" borderId="37" xfId="0" applyNumberFormat="1" applyFont="1" applyFill="1" applyBorder="1" applyAlignment="1">
      <alignment horizontal="center" vertical="center" wrapText="1"/>
    </xf>
    <xf numFmtId="1" fontId="13" fillId="2" borderId="0" xfId="0" applyNumberFormat="1" applyFont="1" applyFill="1" applyBorder="1" applyAlignment="1">
      <alignment horizontal="center" vertical="center" wrapText="1"/>
    </xf>
    <xf numFmtId="1" fontId="13" fillId="2" borderId="39" xfId="0" applyNumberFormat="1" applyFont="1" applyFill="1" applyBorder="1" applyAlignment="1">
      <alignment horizontal="center" vertical="center" wrapText="1"/>
    </xf>
    <xf numFmtId="1" fontId="9" fillId="0" borderId="33" xfId="0" applyNumberFormat="1" applyFont="1" applyFill="1" applyBorder="1" applyAlignment="1">
      <alignment horizontal="center" vertical="center" wrapText="1"/>
    </xf>
    <xf numFmtId="1" fontId="9" fillId="0" borderId="15" xfId="0" applyNumberFormat="1" applyFont="1" applyFill="1" applyBorder="1" applyAlignment="1">
      <alignment horizontal="center" vertical="center" wrapText="1"/>
    </xf>
    <xf numFmtId="1" fontId="9" fillId="0" borderId="34" xfId="0" applyNumberFormat="1" applyFont="1" applyFill="1" applyBorder="1" applyAlignment="1">
      <alignment horizontal="center" vertical="center" wrapText="1"/>
    </xf>
    <xf numFmtId="1" fontId="10" fillId="0" borderId="35" xfId="0" applyNumberFormat="1" applyFont="1" applyFill="1" applyBorder="1" applyAlignment="1">
      <alignment horizontal="center" vertical="center" wrapText="1"/>
    </xf>
    <xf numFmtId="1" fontId="14" fillId="0" borderId="33" xfId="0" applyNumberFormat="1" applyFont="1" applyFill="1" applyBorder="1" applyAlignment="1">
      <alignment horizontal="center" vertical="center" wrapText="1"/>
    </xf>
    <xf numFmtId="1" fontId="4" fillId="0" borderId="35" xfId="0" applyNumberFormat="1" applyFont="1" applyFill="1" applyBorder="1" applyAlignment="1">
      <alignment horizontal="center" vertical="center" wrapText="1"/>
    </xf>
    <xf numFmtId="1" fontId="13" fillId="0" borderId="35" xfId="0" applyNumberFormat="1" applyFont="1" applyFill="1" applyBorder="1" applyAlignment="1">
      <alignment horizontal="center" vertical="center" wrapText="1"/>
    </xf>
    <xf numFmtId="1" fontId="13" fillId="0" borderId="33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/>
    <xf numFmtId="2" fontId="12" fillId="0" borderId="18" xfId="0" applyNumberFormat="1" applyFont="1" applyFill="1" applyBorder="1"/>
    <xf numFmtId="2" fontId="13" fillId="0" borderId="11" xfId="0" applyNumberFormat="1" applyFont="1" applyFill="1" applyBorder="1" applyAlignment="1">
      <alignment horizontal="right" vertical="center" wrapText="1"/>
    </xf>
    <xf numFmtId="2" fontId="12" fillId="0" borderId="0" xfId="0" applyNumberFormat="1" applyFont="1"/>
    <xf numFmtId="2" fontId="10" fillId="0" borderId="11" xfId="0" applyNumberFormat="1" applyFont="1" applyFill="1" applyBorder="1" applyAlignment="1">
      <alignment horizontal="center" vertical="center" wrapText="1"/>
    </xf>
    <xf numFmtId="2" fontId="4" fillId="0" borderId="0" xfId="0" applyNumberFormat="1" applyFont="1"/>
    <xf numFmtId="2" fontId="13" fillId="0" borderId="5" xfId="2" applyNumberFormat="1" applyFont="1" applyFill="1" applyBorder="1" applyAlignment="1">
      <alignment horizontal="right" vertical="center" wrapText="1"/>
    </xf>
    <xf numFmtId="165" fontId="16" fillId="0" borderId="5" xfId="0" applyNumberFormat="1" applyFont="1" applyFill="1" applyBorder="1" applyAlignment="1">
      <alignment horizontal="right" vertical="center" wrapText="1"/>
    </xf>
    <xf numFmtId="165" fontId="17" fillId="0" borderId="5" xfId="0" applyNumberFormat="1" applyFont="1" applyFill="1" applyBorder="1" applyAlignment="1">
      <alignment horizontal="right" vertical="center" wrapText="1"/>
    </xf>
    <xf numFmtId="0" fontId="3" fillId="0" borderId="0" xfId="0" applyFont="1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4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 wrapText="1"/>
    </xf>
    <xf numFmtId="0" fontId="4" fillId="0" borderId="16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right"/>
    </xf>
    <xf numFmtId="0" fontId="2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5" fontId="9" fillId="3" borderId="22" xfId="0" applyNumberFormat="1" applyFont="1" applyFill="1" applyBorder="1" applyAlignment="1">
      <alignment vertical="center" wrapText="1"/>
    </xf>
    <xf numFmtId="165" fontId="9" fillId="3" borderId="27" xfId="0" applyNumberFormat="1" applyFont="1" applyFill="1" applyBorder="1" applyAlignment="1">
      <alignment vertical="center" wrapText="1"/>
    </xf>
    <xf numFmtId="165" fontId="9" fillId="3" borderId="30" xfId="0" applyNumberFormat="1" applyFont="1" applyFill="1" applyBorder="1" applyAlignment="1">
      <alignment vertical="center" wrapText="1"/>
    </xf>
    <xf numFmtId="165" fontId="8" fillId="0" borderId="0" xfId="0" applyNumberFormat="1" applyFont="1" applyFill="1" applyAlignment="1">
      <alignment vertical="center" wrapText="1"/>
    </xf>
    <xf numFmtId="165" fontId="8" fillId="0" borderId="0" xfId="0" applyNumberFormat="1" applyFont="1" applyFill="1" applyAlignment="1">
      <alignment horizontal="center" vertical="center" wrapText="1"/>
    </xf>
    <xf numFmtId="165" fontId="12" fillId="0" borderId="0" xfId="0" applyNumberFormat="1" applyFont="1" applyFill="1" applyAlignment="1">
      <alignment vertical="center" wrapText="1"/>
    </xf>
    <xf numFmtId="165" fontId="13" fillId="0" borderId="12" xfId="0" applyNumberFormat="1" applyFont="1" applyFill="1" applyBorder="1" applyAlignment="1">
      <alignment horizontal="center" vertical="center" wrapText="1"/>
    </xf>
    <xf numFmtId="165" fontId="12" fillId="0" borderId="0" xfId="0" applyNumberFormat="1" applyFont="1" applyFill="1"/>
    <xf numFmtId="165" fontId="9" fillId="0" borderId="12" xfId="0" applyNumberFormat="1" applyFont="1" applyFill="1" applyBorder="1" applyAlignment="1">
      <alignment vertical="center" wrapText="1"/>
    </xf>
    <xf numFmtId="165" fontId="12" fillId="0" borderId="0" xfId="0" applyNumberFormat="1" applyFont="1"/>
    <xf numFmtId="165" fontId="13" fillId="0" borderId="5" xfId="0" applyNumberFormat="1" applyFont="1" applyFill="1" applyBorder="1" applyAlignment="1">
      <alignment horizontal="right" vertical="center" wrapText="1"/>
    </xf>
    <xf numFmtId="165" fontId="9" fillId="0" borderId="3" xfId="0" applyNumberFormat="1" applyFont="1" applyFill="1" applyBorder="1" applyAlignment="1">
      <alignment vertical="center" wrapText="1"/>
    </xf>
    <xf numFmtId="165" fontId="13" fillId="0" borderId="12" xfId="0" applyNumberFormat="1" applyFont="1" applyFill="1" applyBorder="1" applyAlignment="1">
      <alignment vertical="center" wrapText="1"/>
    </xf>
    <xf numFmtId="165" fontId="9" fillId="0" borderId="25" xfId="0" applyNumberFormat="1" applyFont="1" applyFill="1" applyBorder="1" applyAlignment="1">
      <alignment vertical="center" wrapText="1"/>
    </xf>
    <xf numFmtId="165" fontId="9" fillId="2" borderId="22" xfId="0" applyNumberFormat="1" applyFont="1" applyFill="1" applyBorder="1" applyAlignment="1">
      <alignment vertical="center" wrapText="1"/>
    </xf>
    <xf numFmtId="165" fontId="9" fillId="2" borderId="27" xfId="0" applyNumberFormat="1" applyFont="1" applyFill="1" applyBorder="1" applyAlignment="1">
      <alignment vertical="center" wrapText="1"/>
    </xf>
    <xf numFmtId="165" fontId="9" fillId="2" borderId="30" xfId="0" applyNumberFormat="1" applyFont="1" applyFill="1" applyBorder="1" applyAlignment="1">
      <alignment vertical="center" wrapText="1"/>
    </xf>
    <xf numFmtId="165" fontId="13" fillId="0" borderId="0" xfId="0" applyNumberFormat="1" applyFont="1" applyFill="1" applyAlignment="1">
      <alignment vertical="center" wrapText="1"/>
    </xf>
    <xf numFmtId="165" fontId="5" fillId="0" borderId="0" xfId="0" applyNumberFormat="1" applyFont="1" applyFill="1" applyAlignment="1">
      <alignment vertical="center" wrapText="1"/>
    </xf>
    <xf numFmtId="165" fontId="7" fillId="0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Fill="1" applyAlignment="1">
      <alignment vertical="center" wrapText="1"/>
    </xf>
    <xf numFmtId="165" fontId="10" fillId="0" borderId="1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65" fontId="3" fillId="0" borderId="0" xfId="0" applyNumberFormat="1" applyFont="1" applyFill="1" applyAlignment="1">
      <alignment vertical="center" wrapText="1"/>
    </xf>
    <xf numFmtId="165" fontId="9" fillId="0" borderId="0" xfId="0" applyNumberFormat="1" applyFont="1" applyFill="1" applyAlignment="1">
      <alignment horizontal="center" vertical="center" wrapText="1"/>
    </xf>
    <xf numFmtId="0" fontId="12" fillId="4" borderId="5" xfId="0" applyFont="1" applyFill="1" applyBorder="1" applyAlignment="1">
      <alignment vertical="top" wrapText="1"/>
    </xf>
    <xf numFmtId="0" fontId="12" fillId="4" borderId="5" xfId="0" applyFont="1" applyFill="1" applyBorder="1"/>
    <xf numFmtId="165" fontId="2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65" fontId="2" fillId="2" borderId="18" xfId="0" applyNumberFormat="1" applyFont="1" applyFill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right" vertical="center"/>
    </xf>
    <xf numFmtId="165" fontId="2" fillId="3" borderId="18" xfId="0" applyNumberFormat="1" applyFont="1" applyFill="1" applyBorder="1" applyAlignment="1">
      <alignment vertical="center"/>
    </xf>
    <xf numFmtId="165" fontId="2" fillId="3" borderId="5" xfId="0" applyNumberFormat="1" applyFont="1" applyFill="1" applyBorder="1" applyAlignment="1">
      <alignment horizontal="right" vertical="center"/>
    </xf>
    <xf numFmtId="165" fontId="2" fillId="3" borderId="44" xfId="0" applyNumberFormat="1" applyFont="1" applyFill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5" fontId="5" fillId="2" borderId="22" xfId="0" applyNumberFormat="1" applyFont="1" applyFill="1" applyBorder="1" applyAlignment="1">
      <alignment horizontal="center" vertical="center" wrapText="1"/>
    </xf>
    <xf numFmtId="165" fontId="4" fillId="0" borderId="41" xfId="0" applyNumberFormat="1" applyFont="1" applyBorder="1" applyAlignment="1">
      <alignment horizontal="right" vertical="center"/>
    </xf>
    <xf numFmtId="165" fontId="2" fillId="3" borderId="22" xfId="0" applyNumberFormat="1" applyFont="1" applyFill="1" applyBorder="1" applyAlignment="1">
      <alignment vertical="center"/>
    </xf>
    <xf numFmtId="165" fontId="2" fillId="3" borderId="41" xfId="0" applyNumberFormat="1" applyFont="1" applyFill="1" applyBorder="1" applyAlignment="1">
      <alignment vertical="center"/>
    </xf>
    <xf numFmtId="165" fontId="2" fillId="3" borderId="45" xfId="0" applyNumberFormat="1" applyFont="1" applyFill="1" applyBorder="1" applyAlignment="1">
      <alignment vertical="center"/>
    </xf>
    <xf numFmtId="165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right" vertical="center"/>
    </xf>
    <xf numFmtId="165" fontId="2" fillId="3" borderId="0" xfId="0" applyNumberFormat="1" applyFont="1" applyFill="1" applyBorder="1" applyAlignment="1">
      <alignment vertical="center"/>
    </xf>
    <xf numFmtId="2" fontId="8" fillId="0" borderId="0" xfId="0" applyNumberFormat="1" applyFont="1" applyFill="1" applyAlignment="1">
      <alignment horizontal="left" vertical="center" wrapText="1"/>
    </xf>
    <xf numFmtId="2" fontId="8" fillId="0" borderId="0" xfId="0" applyNumberFormat="1" applyFont="1" applyFill="1" applyAlignment="1">
      <alignment horizontal="center" vertical="center" wrapText="1"/>
    </xf>
    <xf numFmtId="2" fontId="5" fillId="0" borderId="0" xfId="0" applyNumberFormat="1" applyFont="1" applyFill="1" applyAlignment="1">
      <alignment horizontal="left" vertical="center" wrapText="1"/>
    </xf>
    <xf numFmtId="2" fontId="7" fillId="0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Fill="1" applyAlignment="1">
      <alignment horizontal="center" vertical="center" wrapText="1"/>
    </xf>
    <xf numFmtId="165" fontId="3" fillId="0" borderId="0" xfId="0" applyNumberFormat="1" applyFont="1"/>
    <xf numFmtId="164" fontId="22" fillId="0" borderId="0" xfId="0" applyNumberFormat="1" applyFont="1"/>
    <xf numFmtId="0" fontId="22" fillId="0" borderId="0" xfId="0" applyFont="1" applyAlignment="1">
      <alignment horizontal="right"/>
    </xf>
    <xf numFmtId="1" fontId="13" fillId="4" borderId="0" xfId="0" applyNumberFormat="1" applyFont="1" applyFill="1" applyAlignment="1">
      <alignment horizontal="center" vertical="center" wrapText="1"/>
    </xf>
    <xf numFmtId="2" fontId="13" fillId="4" borderId="0" xfId="0" applyNumberFormat="1" applyFont="1" applyFill="1" applyAlignment="1">
      <alignment vertical="center" wrapText="1"/>
    </xf>
    <xf numFmtId="165" fontId="13" fillId="4" borderId="0" xfId="0" applyNumberFormat="1" applyFont="1" applyFill="1" applyAlignment="1">
      <alignment vertical="center" wrapText="1"/>
    </xf>
    <xf numFmtId="0" fontId="13" fillId="4" borderId="5" xfId="0" applyNumberFormat="1" applyFont="1" applyFill="1" applyBorder="1" applyAlignment="1">
      <alignment horizontal="center" vertical="center" wrapText="1"/>
    </xf>
    <xf numFmtId="0" fontId="12" fillId="4" borderId="5" xfId="0" applyNumberFormat="1" applyFont="1" applyFill="1" applyBorder="1" applyAlignment="1">
      <alignment horizontal="center" vertical="center" wrapText="1"/>
    </xf>
    <xf numFmtId="165" fontId="4" fillId="3" borderId="0" xfId="0" applyNumberFormat="1" applyFont="1" applyFill="1" applyBorder="1" applyAlignment="1">
      <alignment vertical="center"/>
    </xf>
    <xf numFmtId="167" fontId="3" fillId="0" borderId="0" xfId="0" applyNumberFormat="1" applyFont="1"/>
    <xf numFmtId="165" fontId="12" fillId="0" borderId="5" xfId="0" applyNumberFormat="1" applyFont="1" applyFill="1" applyBorder="1"/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2" fillId="4" borderId="11" xfId="0" applyNumberFormat="1" applyFont="1" applyFill="1" applyBorder="1" applyAlignment="1">
      <alignment horizontal="center" vertical="center" wrapText="1"/>
    </xf>
    <xf numFmtId="2" fontId="12" fillId="4" borderId="5" xfId="0" applyNumberFormat="1" applyFont="1" applyFill="1" applyBorder="1" applyAlignment="1">
      <alignment horizontal="left" vertical="center" wrapText="1"/>
    </xf>
    <xf numFmtId="2" fontId="12" fillId="4" borderId="5" xfId="0" applyNumberFormat="1" applyFont="1" applyFill="1" applyBorder="1" applyAlignment="1">
      <alignment horizontal="center" vertical="center" wrapText="1"/>
    </xf>
    <xf numFmtId="2" fontId="12" fillId="4" borderId="5" xfId="0" applyNumberFormat="1" applyFont="1" applyFill="1" applyBorder="1" applyAlignment="1">
      <alignment horizontal="right" vertical="center" wrapText="1"/>
    </xf>
    <xf numFmtId="2" fontId="12" fillId="4" borderId="5" xfId="0" applyNumberFormat="1" applyFont="1" applyFill="1" applyBorder="1" applyAlignment="1">
      <alignment vertical="center" wrapText="1"/>
    </xf>
    <xf numFmtId="2" fontId="12" fillId="4" borderId="16" xfId="0" applyNumberFormat="1" applyFont="1" applyFill="1" applyBorder="1" applyAlignment="1">
      <alignment horizontal="center" vertical="center" wrapText="1"/>
    </xf>
    <xf numFmtId="2" fontId="12" fillId="4" borderId="20" xfId="0" applyNumberFormat="1" applyFont="1" applyFill="1" applyBorder="1" applyAlignment="1">
      <alignment horizontal="center" vertical="center" wrapText="1"/>
    </xf>
    <xf numFmtId="2" fontId="12" fillId="4" borderId="11" xfId="0" applyNumberFormat="1" applyFont="1" applyFill="1" applyBorder="1" applyAlignment="1">
      <alignment horizontal="left" vertical="center" wrapText="1"/>
    </xf>
    <xf numFmtId="2" fontId="12" fillId="4" borderId="11" xfId="0" applyNumberFormat="1" applyFont="1" applyFill="1" applyBorder="1" applyAlignment="1">
      <alignment vertical="center" wrapText="1"/>
    </xf>
    <xf numFmtId="0" fontId="12" fillId="4" borderId="5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/>
    <xf numFmtId="166" fontId="24" fillId="0" borderId="0" xfId="0" applyNumberFormat="1" applyFont="1"/>
    <xf numFmtId="166" fontId="24" fillId="0" borderId="0" xfId="0" applyNumberFormat="1" applyFont="1" applyAlignment="1">
      <alignment horizontal="center"/>
    </xf>
    <xf numFmtId="166" fontId="26" fillId="5" borderId="0" xfId="0" applyNumberFormat="1" applyFont="1" applyFill="1" applyAlignment="1">
      <alignment horizontal="left"/>
    </xf>
    <xf numFmtId="166" fontId="26" fillId="5" borderId="0" xfId="0" applyNumberFormat="1" applyFont="1" applyFill="1" applyAlignment="1">
      <alignment horizontal="center"/>
    </xf>
    <xf numFmtId="166" fontId="27" fillId="0" borderId="0" xfId="0" applyNumberFormat="1" applyFont="1" applyAlignment="1">
      <alignment horizontal="center"/>
    </xf>
    <xf numFmtId="166" fontId="26" fillId="6" borderId="0" xfId="0" applyNumberFormat="1" applyFont="1" applyFill="1"/>
    <xf numFmtId="166" fontId="26" fillId="6" borderId="0" xfId="0" applyNumberFormat="1" applyFont="1" applyFill="1" applyAlignment="1">
      <alignment horizontal="center"/>
    </xf>
    <xf numFmtId="166" fontId="26" fillId="0" borderId="0" xfId="0" applyNumberFormat="1" applyFont="1"/>
    <xf numFmtId="166" fontId="26" fillId="0" borderId="0" xfId="0" applyNumberFormat="1" applyFont="1" applyAlignment="1">
      <alignment horizontal="right"/>
    </xf>
    <xf numFmtId="166" fontId="26" fillId="0" borderId="0" xfId="0" applyNumberFormat="1" applyFont="1" applyAlignment="1">
      <alignment horizontal="center"/>
    </xf>
    <xf numFmtId="168" fontId="24" fillId="0" borderId="0" xfId="0" applyNumberFormat="1" applyFont="1"/>
    <xf numFmtId="169" fontId="24" fillId="0" borderId="0" xfId="0" applyNumberFormat="1" applyFont="1" applyAlignment="1">
      <alignment horizontal="center"/>
    </xf>
    <xf numFmtId="168" fontId="26" fillId="0" borderId="0" xfId="0" applyNumberFormat="1" applyFont="1"/>
    <xf numFmtId="2" fontId="13" fillId="0" borderId="19" xfId="0" applyNumberFormat="1" applyFont="1" applyFill="1" applyBorder="1" applyAlignment="1">
      <alignment horizontal="left" vertical="center" wrapText="1"/>
    </xf>
    <xf numFmtId="2" fontId="13" fillId="0" borderId="0" xfId="0" applyNumberFormat="1" applyFont="1" applyFill="1" applyBorder="1" applyAlignment="1">
      <alignment horizontal="left" vertical="center" wrapText="1"/>
    </xf>
    <xf numFmtId="1" fontId="9" fillId="0" borderId="13" xfId="1" applyNumberFormat="1" applyFont="1" applyFill="1" applyBorder="1" applyAlignment="1">
      <alignment horizontal="left" vertical="center" wrapText="1"/>
    </xf>
    <xf numFmtId="1" fontId="9" fillId="0" borderId="14" xfId="1" applyNumberFormat="1" applyFont="1" applyFill="1" applyBorder="1" applyAlignment="1">
      <alignment horizontal="left" vertical="center" wrapText="1"/>
    </xf>
    <xf numFmtId="1" fontId="9" fillId="0" borderId="15" xfId="1" applyNumberFormat="1" applyFont="1" applyFill="1" applyBorder="1" applyAlignment="1">
      <alignment horizontal="left" vertical="center" wrapText="1"/>
    </xf>
    <xf numFmtId="2" fontId="9" fillId="0" borderId="2" xfId="0" applyNumberFormat="1" applyFont="1" applyFill="1" applyBorder="1" applyAlignment="1">
      <alignment horizontal="center" vertical="center" wrapText="1"/>
    </xf>
    <xf numFmtId="2" fontId="9" fillId="0" borderId="5" xfId="0" applyNumberFormat="1" applyFont="1" applyFill="1" applyBorder="1" applyAlignment="1">
      <alignment horizontal="center" vertical="center" wrapText="1"/>
    </xf>
    <xf numFmtId="2" fontId="9" fillId="0" borderId="8" xfId="0" applyNumberFormat="1" applyFont="1" applyFill="1" applyBorder="1" applyAlignment="1">
      <alignment horizontal="center" vertical="center" wrapText="1"/>
    </xf>
    <xf numFmtId="165" fontId="9" fillId="0" borderId="3" xfId="0" applyNumberFormat="1" applyFont="1" applyFill="1" applyBorder="1" applyAlignment="1">
      <alignment horizontal="center" vertical="center" wrapText="1"/>
    </xf>
    <xf numFmtId="165" fontId="9" fillId="0" borderId="6" xfId="0" applyNumberFormat="1" applyFont="1" applyFill="1" applyBorder="1" applyAlignment="1">
      <alignment horizontal="center" vertical="center" wrapText="1"/>
    </xf>
    <xf numFmtId="165" fontId="9" fillId="0" borderId="9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Fill="1" applyAlignment="1">
      <alignment horizontal="left" vertical="center" wrapText="1"/>
    </xf>
    <xf numFmtId="2" fontId="8" fillId="0" borderId="0" xfId="0" applyNumberFormat="1" applyFont="1" applyFill="1" applyAlignment="1">
      <alignment horizontal="left" vertical="center" wrapText="1"/>
    </xf>
    <xf numFmtId="2" fontId="8" fillId="0" borderId="0" xfId="0" applyNumberFormat="1" applyFont="1" applyFill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1" fontId="8" fillId="0" borderId="4" xfId="0" applyNumberFormat="1" applyFont="1" applyFill="1" applyBorder="1" applyAlignment="1">
      <alignment horizontal="center" vertical="center" wrapText="1"/>
    </xf>
    <xf numFmtId="1" fontId="8" fillId="0" borderId="7" xfId="0" applyNumberFormat="1" applyFont="1" applyFill="1" applyBorder="1" applyAlignment="1">
      <alignment horizontal="center" vertical="center" wrapText="1"/>
    </xf>
    <xf numFmtId="1" fontId="9" fillId="2" borderId="13" xfId="1" applyNumberFormat="1" applyFont="1" applyFill="1" applyBorder="1" applyAlignment="1">
      <alignment horizontal="left" vertical="center" wrapText="1"/>
    </xf>
    <xf numFmtId="1" fontId="9" fillId="2" borderId="14" xfId="1" applyNumberFormat="1" applyFont="1" applyFill="1" applyBorder="1" applyAlignment="1">
      <alignment horizontal="left" vertical="center" wrapText="1"/>
    </xf>
    <xf numFmtId="1" fontId="9" fillId="2" borderId="15" xfId="1" applyNumberFormat="1" applyFont="1" applyFill="1" applyBorder="1" applyAlignment="1">
      <alignment horizontal="left" vertical="center" wrapText="1"/>
    </xf>
    <xf numFmtId="1" fontId="11" fillId="2" borderId="13" xfId="1" applyNumberFormat="1" applyFont="1" applyFill="1" applyBorder="1" applyAlignment="1">
      <alignment horizontal="left" vertical="center" wrapText="1"/>
    </xf>
    <xf numFmtId="1" fontId="11" fillId="2" borderId="14" xfId="1" applyNumberFormat="1" applyFont="1" applyFill="1" applyBorder="1" applyAlignment="1">
      <alignment horizontal="left" vertical="center" wrapText="1"/>
    </xf>
    <xf numFmtId="1" fontId="11" fillId="2" borderId="15" xfId="1" applyNumberFormat="1" applyFont="1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1" fontId="9" fillId="0" borderId="4" xfId="0" applyNumberFormat="1" applyFont="1" applyFill="1" applyBorder="1" applyAlignment="1">
      <alignment horizontal="center" vertical="center" wrapText="1"/>
    </xf>
    <xf numFmtId="1" fontId="9" fillId="0" borderId="7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Alignment="1">
      <alignment horizontal="left" vertical="center" wrapText="1"/>
    </xf>
    <xf numFmtId="2" fontId="7" fillId="0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Fill="1" applyAlignment="1">
      <alignment horizontal="center" vertical="center" wrapText="1"/>
    </xf>
    <xf numFmtId="1" fontId="9" fillId="0" borderId="13" xfId="1" applyNumberFormat="1" applyFont="1" applyFill="1" applyBorder="1" applyAlignment="1">
      <alignment horizontal="center" vertical="center" wrapText="1"/>
    </xf>
    <xf numFmtId="1" fontId="9" fillId="0" borderId="14" xfId="1" applyNumberFormat="1" applyFont="1" applyFill="1" applyBorder="1" applyAlignment="1">
      <alignment horizontal="center" vertical="center" wrapText="1"/>
    </xf>
    <xf numFmtId="0" fontId="21" fillId="3" borderId="43" xfId="0" applyFont="1" applyFill="1" applyBorder="1" applyAlignment="1">
      <alignment horizontal="right" vertical="center"/>
    </xf>
    <xf numFmtId="0" fontId="21" fillId="3" borderId="44" xfId="0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21" fillId="3" borderId="21" xfId="0" applyFont="1" applyFill="1" applyBorder="1" applyAlignment="1">
      <alignment horizontal="right" vertical="center"/>
    </xf>
    <xf numFmtId="0" fontId="21" fillId="3" borderId="18" xfId="0" applyFont="1" applyFill="1" applyBorder="1" applyAlignment="1">
      <alignment horizontal="right" vertical="center"/>
    </xf>
    <xf numFmtId="0" fontId="21" fillId="3" borderId="40" xfId="0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right" vertical="center"/>
    </xf>
    <xf numFmtId="166" fontId="25" fillId="0" borderId="0" xfId="0" applyNumberFormat="1" applyFont="1" applyAlignment="1">
      <alignment horizontal="center"/>
    </xf>
  </cellXfs>
  <cellStyles count="3">
    <cellStyle name="Normal" xfId="0" builtinId="0"/>
    <cellStyle name="Normal 2" xfId="2"/>
    <cellStyle name="Нормален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164523</xdr:colOff>
      <xdr:row>1</xdr:row>
      <xdr:rowOff>17317</xdr:rowOff>
    </xdr:from>
    <xdr:to>
      <xdr:col>6</xdr:col>
      <xdr:colOff>810054</xdr:colOff>
      <xdr:row>2</xdr:row>
      <xdr:rowOff>145601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3818" y="173181"/>
          <a:ext cx="1217031" cy="284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155864</xdr:colOff>
      <xdr:row>1</xdr:row>
      <xdr:rowOff>25977</xdr:rowOff>
    </xdr:from>
    <xdr:to>
      <xdr:col>6</xdr:col>
      <xdr:colOff>801395</xdr:colOff>
      <xdr:row>2</xdr:row>
      <xdr:rowOff>154261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5159" y="181841"/>
          <a:ext cx="1217031" cy="2841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121227</xdr:colOff>
      <xdr:row>1</xdr:row>
      <xdr:rowOff>25976</xdr:rowOff>
    </xdr:from>
    <xdr:to>
      <xdr:col>6</xdr:col>
      <xdr:colOff>766758</xdr:colOff>
      <xdr:row>2</xdr:row>
      <xdr:rowOff>145601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0522" y="181840"/>
          <a:ext cx="1217031" cy="284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147205</xdr:colOff>
      <xdr:row>1</xdr:row>
      <xdr:rowOff>25977</xdr:rowOff>
    </xdr:from>
    <xdr:to>
      <xdr:col>6</xdr:col>
      <xdr:colOff>792736</xdr:colOff>
      <xdr:row>2</xdr:row>
      <xdr:rowOff>154261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81841"/>
          <a:ext cx="1217031" cy="2841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147205</xdr:colOff>
      <xdr:row>1</xdr:row>
      <xdr:rowOff>17317</xdr:rowOff>
    </xdr:from>
    <xdr:to>
      <xdr:col>6</xdr:col>
      <xdr:colOff>792736</xdr:colOff>
      <xdr:row>2</xdr:row>
      <xdr:rowOff>145601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73181"/>
          <a:ext cx="1217031" cy="2841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121227</xdr:colOff>
      <xdr:row>1</xdr:row>
      <xdr:rowOff>34635</xdr:rowOff>
    </xdr:from>
    <xdr:to>
      <xdr:col>6</xdr:col>
      <xdr:colOff>766758</xdr:colOff>
      <xdr:row>3</xdr:row>
      <xdr:rowOff>7055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0522" y="190499"/>
          <a:ext cx="1217031" cy="2841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138546</xdr:colOff>
      <xdr:row>1</xdr:row>
      <xdr:rowOff>8658</xdr:rowOff>
    </xdr:from>
    <xdr:to>
      <xdr:col>6</xdr:col>
      <xdr:colOff>784077</xdr:colOff>
      <xdr:row>2</xdr:row>
      <xdr:rowOff>136942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7841" y="164522"/>
          <a:ext cx="1217031" cy="2841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155864</xdr:colOff>
      <xdr:row>0</xdr:row>
      <xdr:rowOff>147204</xdr:rowOff>
    </xdr:from>
    <xdr:to>
      <xdr:col>6</xdr:col>
      <xdr:colOff>801395</xdr:colOff>
      <xdr:row>2</xdr:row>
      <xdr:rowOff>119624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5159" y="147204"/>
          <a:ext cx="1217031" cy="2841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138545</xdr:colOff>
      <xdr:row>1</xdr:row>
      <xdr:rowOff>25977</xdr:rowOff>
    </xdr:from>
    <xdr:to>
      <xdr:col>6</xdr:col>
      <xdr:colOff>784076</xdr:colOff>
      <xdr:row>2</xdr:row>
      <xdr:rowOff>154261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7840" y="181841"/>
          <a:ext cx="1217031" cy="2841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147205</xdr:colOff>
      <xdr:row>1</xdr:row>
      <xdr:rowOff>17317</xdr:rowOff>
    </xdr:from>
    <xdr:to>
      <xdr:col>6</xdr:col>
      <xdr:colOff>792736</xdr:colOff>
      <xdr:row>2</xdr:row>
      <xdr:rowOff>145601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73181"/>
          <a:ext cx="1217031" cy="2841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103909</xdr:colOff>
      <xdr:row>1</xdr:row>
      <xdr:rowOff>8659</xdr:rowOff>
    </xdr:from>
    <xdr:to>
      <xdr:col>6</xdr:col>
      <xdr:colOff>749440</xdr:colOff>
      <xdr:row>2</xdr:row>
      <xdr:rowOff>136943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3204" y="164523"/>
          <a:ext cx="1217031" cy="2841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129886</xdr:colOff>
      <xdr:row>1</xdr:row>
      <xdr:rowOff>17317</xdr:rowOff>
    </xdr:from>
    <xdr:to>
      <xdr:col>6</xdr:col>
      <xdr:colOff>775417</xdr:colOff>
      <xdr:row>2</xdr:row>
      <xdr:rowOff>145601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9181" y="173181"/>
          <a:ext cx="1217031" cy="2841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1</xdr:row>
      <xdr:rowOff>47625</xdr:rowOff>
    </xdr:from>
    <xdr:to>
      <xdr:col>5</xdr:col>
      <xdr:colOff>664581</xdr:colOff>
      <xdr:row>3</xdr:row>
      <xdr:rowOff>26972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6925" y="200025"/>
          <a:ext cx="1217031" cy="2841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19050</xdr:rowOff>
    </xdr:from>
    <xdr:to>
      <xdr:col>4</xdr:col>
      <xdr:colOff>1283706</xdr:colOff>
      <xdr:row>3</xdr:row>
      <xdr:rowOff>122222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609600"/>
          <a:ext cx="1217031" cy="2841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0</xdr:row>
      <xdr:rowOff>66675</xdr:rowOff>
    </xdr:from>
    <xdr:to>
      <xdr:col>6</xdr:col>
      <xdr:colOff>483606</xdr:colOff>
      <xdr:row>0</xdr:row>
      <xdr:rowOff>350822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6675"/>
          <a:ext cx="1217031" cy="2841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%20&#1055;&#1056;&#1054;&#1045;&#1050;&#1058;&#1048;/36%20&#1042;&#1086;&#1076;&#1086;&#1087;&#1088;&#1086;&#1074;&#1086;&#1076;&#1080;%20&#1040;&#1089;&#1087;&#1072;&#1088;&#1091;&#1093;&#1086;&#1074;&#1086;/6.%20&#1063;&#1077;&#1090;&#1074;&#1098;&#1088;&#1090;&#1086;%20&#1080;&#1079;&#1084;&#1077;&#1085;&#1077;&#1085;&#1080;&#1077;%20&#1087;&#1086;%20154/KS-%20etap%202-%20Asparuhovo-&#1085;&#1086;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капитулация"/>
      <sheetName val="кл.I.3"/>
      <sheetName val="кл.I.4"/>
      <sheetName val="кл.I.5"/>
      <sheetName val="кл.I.6"/>
      <sheetName val="кл.I.7"/>
      <sheetName val="кл.I.8"/>
      <sheetName val="II.1"/>
      <sheetName val="II.2"/>
      <sheetName val="III.1"/>
      <sheetName val="кл.III.2"/>
      <sheetName val="кл.III.3"/>
      <sheetName val="кл.III.4"/>
      <sheetName val="кл.III.5"/>
      <sheetName val="кл.1.1"/>
      <sheetName val="кл.1.2"/>
      <sheetName val="кл.2"/>
      <sheetName val="кл.3"/>
      <sheetName val="кл.4"/>
      <sheetName val="кл.5"/>
      <sheetName val="кл.10.1"/>
      <sheetName val="кл.12"/>
      <sheetName val="кл.15"/>
      <sheetName val="кл.23"/>
      <sheetName val="кл.24"/>
      <sheetName val="кл.25.1"/>
      <sheetName val="кл.25.2"/>
      <sheetName val="кл.25.3"/>
      <sheetName val="Sheet1"/>
      <sheetName val="Sheet2"/>
      <sheetName val="Sheet3"/>
      <sheetName val="Sheet4"/>
    </sheetNames>
    <sheetDataSet>
      <sheetData sheetId="0"/>
      <sheetData sheetId="1">
        <row r="43">
          <cell r="H43">
            <v>376.2</v>
          </cell>
        </row>
      </sheetData>
      <sheetData sheetId="2">
        <row r="43">
          <cell r="H43">
            <v>99.8</v>
          </cell>
        </row>
      </sheetData>
      <sheetData sheetId="3">
        <row r="43">
          <cell r="H43">
            <v>29.7</v>
          </cell>
        </row>
      </sheetData>
      <sheetData sheetId="4">
        <row r="43">
          <cell r="H43">
            <v>108</v>
          </cell>
        </row>
      </sheetData>
      <sheetData sheetId="5">
        <row r="43">
          <cell r="H43">
            <v>25.4</v>
          </cell>
        </row>
      </sheetData>
      <sheetData sheetId="6">
        <row r="43">
          <cell r="H43">
            <v>134.4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3">
          <cell r="H43">
            <v>221.8</v>
          </cell>
        </row>
      </sheetData>
      <sheetData sheetId="21">
        <row r="43">
          <cell r="H43">
            <v>184.8</v>
          </cell>
        </row>
      </sheetData>
      <sheetData sheetId="22">
        <row r="43">
          <cell r="H43">
            <v>152.4</v>
          </cell>
        </row>
      </sheetData>
      <sheetData sheetId="23"/>
      <sheetData sheetId="24"/>
      <sheetData sheetId="25"/>
      <sheetData sheetId="26">
        <row r="43">
          <cell r="H43">
            <v>145.4</v>
          </cell>
        </row>
      </sheetData>
      <sheetData sheetId="27">
        <row r="43">
          <cell r="H43">
            <v>206.6</v>
          </cell>
        </row>
      </sheetData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M94"/>
  <sheetViews>
    <sheetView tabSelected="1"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57"/>
      <c r="B3" s="110"/>
      <c r="C3" s="58"/>
      <c r="D3" s="58"/>
      <c r="E3" s="58"/>
      <c r="F3" s="59"/>
      <c r="G3" s="167"/>
    </row>
    <row r="4" spans="1:7" ht="15.75" customHeight="1" x14ac:dyDescent="0.2">
      <c r="A4" s="269" t="s">
        <v>140</v>
      </c>
      <c r="B4" s="269"/>
      <c r="C4" s="269"/>
      <c r="D4" s="269"/>
      <c r="E4" s="269"/>
      <c r="F4" s="269"/>
      <c r="G4" s="269"/>
    </row>
    <row r="5" spans="1:7" ht="15.75" customHeight="1" x14ac:dyDescent="0.2">
      <c r="A5" s="60"/>
      <c r="B5" s="111"/>
      <c r="C5" s="60"/>
      <c r="D5" s="60"/>
      <c r="E5" s="109"/>
      <c r="F5" s="111"/>
      <c r="G5" s="168"/>
    </row>
    <row r="6" spans="1:7" ht="15.75" hidden="1" customHeight="1" x14ac:dyDescent="0.2">
      <c r="A6" s="60"/>
      <c r="B6" s="111"/>
      <c r="C6" s="60"/>
      <c r="D6" s="60"/>
      <c r="E6" s="109"/>
      <c r="F6" s="111"/>
      <c r="G6" s="168"/>
    </row>
    <row r="7" spans="1:7" ht="15.75" hidden="1" customHeight="1" x14ac:dyDescent="0.2">
      <c r="A7" s="60"/>
      <c r="B7" s="111"/>
      <c r="C7" s="57" t="s">
        <v>1</v>
      </c>
      <c r="D7" s="61">
        <v>11</v>
      </c>
      <c r="E7" s="109"/>
      <c r="F7" s="111"/>
      <c r="G7" s="168"/>
    </row>
    <row r="8" spans="1:7" ht="15.75" hidden="1" customHeight="1" x14ac:dyDescent="0.2">
      <c r="A8" s="60"/>
      <c r="B8" s="111"/>
      <c r="C8" s="57" t="s">
        <v>2</v>
      </c>
      <c r="D8" s="61">
        <v>15</v>
      </c>
      <c r="E8" s="109"/>
      <c r="F8" s="111"/>
      <c r="G8" s="168"/>
    </row>
    <row r="9" spans="1:7" ht="15.75" hidden="1" customHeight="1" x14ac:dyDescent="0.2">
      <c r="A9" s="60"/>
      <c r="B9" s="111"/>
      <c r="C9" s="57" t="s">
        <v>3</v>
      </c>
      <c r="D9" s="61">
        <v>2</v>
      </c>
      <c r="E9" s="109"/>
      <c r="F9" s="111"/>
      <c r="G9" s="168"/>
    </row>
    <row r="10" spans="1:7" ht="15.75" hidden="1" customHeight="1" x14ac:dyDescent="0.2">
      <c r="A10" s="60"/>
      <c r="B10" s="111"/>
      <c r="C10" s="57" t="s">
        <v>4</v>
      </c>
      <c r="D10" s="60">
        <v>1.1000000000000001</v>
      </c>
      <c r="E10" s="109"/>
      <c r="F10" s="111"/>
      <c r="G10" s="168"/>
    </row>
    <row r="11" spans="1:7" ht="15.75" hidden="1" customHeight="1" x14ac:dyDescent="0.2">
      <c r="A11" s="60"/>
      <c r="B11" s="111"/>
      <c r="C11" s="62" t="s">
        <v>5</v>
      </c>
      <c r="D11" s="63">
        <v>1.4</v>
      </c>
      <c r="E11" s="109"/>
      <c r="F11" s="111"/>
      <c r="G11" s="168"/>
    </row>
    <row r="12" spans="1:7" ht="15.75" hidden="1" customHeight="1" x14ac:dyDescent="0.2">
      <c r="A12" s="60"/>
      <c r="B12" s="111"/>
      <c r="C12" s="57" t="s">
        <v>6</v>
      </c>
      <c r="D12" s="63">
        <v>1.71</v>
      </c>
      <c r="E12" s="109"/>
      <c r="F12" s="111"/>
      <c r="G12" s="168"/>
    </row>
    <row r="13" spans="1:7" ht="15.75" hidden="1" customHeight="1" x14ac:dyDescent="0.2">
      <c r="A13" s="60"/>
      <c r="B13" s="111"/>
      <c r="C13" s="57" t="s">
        <v>7</v>
      </c>
      <c r="D13" s="63">
        <v>10</v>
      </c>
      <c r="E13" s="109"/>
      <c r="F13" s="111"/>
      <c r="G13" s="168"/>
    </row>
    <row r="14" spans="1:7" ht="15.75" hidden="1" customHeight="1" x14ac:dyDescent="0.2">
      <c r="A14" s="60"/>
      <c r="B14" s="111"/>
      <c r="C14" s="57" t="s">
        <v>8</v>
      </c>
      <c r="D14" s="60">
        <v>6</v>
      </c>
      <c r="E14" s="109"/>
      <c r="F14" s="111"/>
      <c r="G14" s="168"/>
    </row>
    <row r="15" spans="1:7" ht="12.75" thickBot="1" x14ac:dyDescent="0.25">
      <c r="A15" s="64"/>
      <c r="B15" s="64"/>
      <c r="C15" s="65"/>
      <c r="D15" s="65"/>
      <c r="E15" s="65"/>
      <c r="F15" s="65"/>
      <c r="G15" s="169"/>
    </row>
    <row r="16" spans="1:7" ht="15.75" customHeight="1" thickTop="1" x14ac:dyDescent="0.2">
      <c r="A16" s="270" t="s">
        <v>9</v>
      </c>
      <c r="B16" s="116"/>
      <c r="C16" s="261" t="s">
        <v>10</v>
      </c>
      <c r="D16" s="261" t="s">
        <v>11</v>
      </c>
      <c r="E16" s="261" t="s">
        <v>12</v>
      </c>
      <c r="F16" s="261" t="s">
        <v>13</v>
      </c>
      <c r="G16" s="264" t="s">
        <v>14</v>
      </c>
    </row>
    <row r="17" spans="1:11" ht="12.75" customHeight="1" x14ac:dyDescent="0.2">
      <c r="A17" s="271"/>
      <c r="B17" s="117"/>
      <c r="C17" s="262"/>
      <c r="D17" s="262"/>
      <c r="E17" s="262"/>
      <c r="F17" s="262"/>
      <c r="G17" s="265"/>
    </row>
    <row r="18" spans="1:11" ht="12.75" customHeight="1" thickBot="1" x14ac:dyDescent="0.25">
      <c r="A18" s="272"/>
      <c r="B18" s="118"/>
      <c r="C18" s="263"/>
      <c r="D18" s="263"/>
      <c r="E18" s="263"/>
      <c r="F18" s="263"/>
      <c r="G18" s="266"/>
    </row>
    <row r="19" spans="1:11" ht="8.25" customHeight="1" thickTop="1" x14ac:dyDescent="0.2">
      <c r="A19" s="66">
        <v>1</v>
      </c>
      <c r="B19" s="119"/>
      <c r="C19" s="67">
        <v>2</v>
      </c>
      <c r="D19" s="67">
        <v>3</v>
      </c>
      <c r="E19" s="67">
        <v>4</v>
      </c>
      <c r="F19" s="83">
        <v>5</v>
      </c>
      <c r="G19" s="83">
        <v>6</v>
      </c>
    </row>
    <row r="20" spans="1:11" s="68" customFormat="1" ht="15.75" customHeight="1" thickBot="1" x14ac:dyDescent="0.25">
      <c r="A20" s="258" t="s">
        <v>15</v>
      </c>
      <c r="B20" s="259"/>
      <c r="C20" s="259"/>
      <c r="D20" s="259"/>
      <c r="F20" s="137"/>
      <c r="G20" s="171"/>
    </row>
    <row r="21" spans="1:11" x14ac:dyDescent="0.2">
      <c r="A21" s="10">
        <v>1</v>
      </c>
      <c r="B21" s="10" t="s">
        <v>152</v>
      </c>
      <c r="C21" s="11" t="s">
        <v>16</v>
      </c>
      <c r="D21" s="12" t="s">
        <v>17</v>
      </c>
      <c r="E21" s="112">
        <v>1052.4000000000001</v>
      </c>
      <c r="F21" s="138">
        <f>'Ед. Цени'!F21</f>
        <v>3.53</v>
      </c>
      <c r="G21" s="144">
        <f>ROUND((E21*F21),2)</f>
        <v>3714.97</v>
      </c>
    </row>
    <row r="22" spans="1:11" x14ac:dyDescent="0.2">
      <c r="A22" s="10">
        <v>2</v>
      </c>
      <c r="B22" s="10" t="s">
        <v>153</v>
      </c>
      <c r="C22" s="14" t="s">
        <v>18</v>
      </c>
      <c r="D22" s="15" t="s">
        <v>19</v>
      </c>
      <c r="E22" s="113">
        <v>736.68000000000006</v>
      </c>
      <c r="F22" s="69">
        <f>'Ед. Цени'!F22</f>
        <v>6.89</v>
      </c>
      <c r="G22" s="144">
        <f t="shared" ref="G22:G69" si="0">ROUND((E22*F22),2)</f>
        <v>5075.7299999999996</v>
      </c>
    </row>
    <row r="23" spans="1:11" x14ac:dyDescent="0.2">
      <c r="A23" s="10">
        <v>3</v>
      </c>
      <c r="B23" s="10" t="s">
        <v>154</v>
      </c>
      <c r="C23" s="14" t="s">
        <v>20</v>
      </c>
      <c r="D23" s="12" t="s">
        <v>21</v>
      </c>
      <c r="E23" s="112">
        <v>694.16424000000006</v>
      </c>
      <c r="F23" s="69">
        <f>'Ед. Цени'!F23</f>
        <v>5.5</v>
      </c>
      <c r="G23" s="144">
        <f t="shared" si="0"/>
        <v>3817.9</v>
      </c>
    </row>
    <row r="24" spans="1:11" x14ac:dyDescent="0.2">
      <c r="A24" s="10">
        <v>4</v>
      </c>
      <c r="B24" s="10" t="s">
        <v>155</v>
      </c>
      <c r="C24" s="14" t="s">
        <v>100</v>
      </c>
      <c r="D24" s="12" t="s">
        <v>21</v>
      </c>
      <c r="E24" s="112">
        <v>297.49896000000001</v>
      </c>
      <c r="F24" s="69">
        <f>'Ед. Цени'!F24</f>
        <v>24.35</v>
      </c>
      <c r="G24" s="144">
        <f t="shared" si="0"/>
        <v>7244.1</v>
      </c>
    </row>
    <row r="25" spans="1:11" ht="24" x14ac:dyDescent="0.2">
      <c r="A25" s="10">
        <v>5</v>
      </c>
      <c r="B25" s="10" t="s">
        <v>156</v>
      </c>
      <c r="C25" s="11" t="s">
        <v>23</v>
      </c>
      <c r="D25" s="12" t="s">
        <v>21</v>
      </c>
      <c r="E25" s="112">
        <v>297.49896000000001</v>
      </c>
      <c r="F25" s="69">
        <f>'Ед. Цени'!F25</f>
        <v>12.47</v>
      </c>
      <c r="G25" s="144">
        <f t="shared" si="0"/>
        <v>3709.81</v>
      </c>
      <c r="H25" s="70"/>
    </row>
    <row r="26" spans="1:11" x14ac:dyDescent="0.2">
      <c r="A26" s="10">
        <v>6</v>
      </c>
      <c r="B26" s="10" t="s">
        <v>157</v>
      </c>
      <c r="C26" s="11" t="s">
        <v>24</v>
      </c>
      <c r="D26" s="12" t="s">
        <v>21</v>
      </c>
      <c r="E26" s="14">
        <v>991.66320000000007</v>
      </c>
      <c r="F26" s="69">
        <f>'Ед. Цени'!F26</f>
        <v>2.79</v>
      </c>
      <c r="G26" s="144">
        <f t="shared" si="0"/>
        <v>2766.74</v>
      </c>
      <c r="H26" s="70"/>
    </row>
    <row r="27" spans="1:11" x14ac:dyDescent="0.2">
      <c r="A27" s="10">
        <v>7</v>
      </c>
      <c r="B27" s="10" t="s">
        <v>158</v>
      </c>
      <c r="C27" s="11" t="s">
        <v>25</v>
      </c>
      <c r="D27" s="12" t="s">
        <v>21</v>
      </c>
      <c r="E27" s="14">
        <v>991.66320000000007</v>
      </c>
      <c r="F27" s="69">
        <f>'Ед. Цени'!F27</f>
        <v>1.98</v>
      </c>
      <c r="G27" s="144">
        <f t="shared" si="0"/>
        <v>1963.49</v>
      </c>
      <c r="H27" s="70"/>
    </row>
    <row r="28" spans="1:11" x14ac:dyDescent="0.2">
      <c r="A28" s="10">
        <v>8</v>
      </c>
      <c r="B28" s="10" t="s">
        <v>159</v>
      </c>
      <c r="C28" s="11" t="s">
        <v>26</v>
      </c>
      <c r="D28" s="12" t="s">
        <v>21</v>
      </c>
      <c r="E28" s="14">
        <v>991.66320000000007</v>
      </c>
      <c r="F28" s="69">
        <f>'Ед. Цени'!F28</f>
        <v>2.79</v>
      </c>
      <c r="G28" s="144">
        <f t="shared" si="0"/>
        <v>2766.74</v>
      </c>
      <c r="H28" s="70"/>
    </row>
    <row r="29" spans="1:11" x14ac:dyDescent="0.2">
      <c r="A29" s="10">
        <v>9</v>
      </c>
      <c r="B29" s="10" t="s">
        <v>160</v>
      </c>
      <c r="C29" s="18" t="s">
        <v>27</v>
      </c>
      <c r="D29" s="12" t="s">
        <v>19</v>
      </c>
      <c r="E29" s="14">
        <v>1799.604</v>
      </c>
      <c r="F29" s="69">
        <f>'Ед. Цени'!F29</f>
        <v>2.42</v>
      </c>
      <c r="G29" s="144">
        <f t="shared" si="0"/>
        <v>4355.04</v>
      </c>
      <c r="H29" s="70"/>
    </row>
    <row r="30" spans="1:11" x14ac:dyDescent="0.2">
      <c r="A30" s="10">
        <v>10</v>
      </c>
      <c r="B30" s="10" t="s">
        <v>161</v>
      </c>
      <c r="C30" s="11" t="s">
        <v>28</v>
      </c>
      <c r="D30" s="12" t="s">
        <v>21</v>
      </c>
      <c r="E30" s="14">
        <v>289.96000000000004</v>
      </c>
      <c r="F30" s="112">
        <f>'Ед. Цени'!F30</f>
        <v>19.04</v>
      </c>
      <c r="G30" s="144">
        <f t="shared" si="0"/>
        <v>5520.84</v>
      </c>
      <c r="H30" s="70"/>
    </row>
    <row r="31" spans="1:11" x14ac:dyDescent="0.2">
      <c r="A31" s="10">
        <v>11</v>
      </c>
      <c r="B31" s="10" t="s">
        <v>162</v>
      </c>
      <c r="C31" s="11" t="s">
        <v>29</v>
      </c>
      <c r="D31" s="12" t="s">
        <v>21</v>
      </c>
      <c r="E31" s="14">
        <v>289.96000000000004</v>
      </c>
      <c r="F31" s="112">
        <f>'Ед. Цени'!F31</f>
        <v>6.14</v>
      </c>
      <c r="G31" s="144">
        <f t="shared" si="0"/>
        <v>1780.35</v>
      </c>
      <c r="H31" s="256"/>
      <c r="I31" s="257"/>
      <c r="J31" s="257"/>
      <c r="K31" s="257"/>
    </row>
    <row r="32" spans="1:11" x14ac:dyDescent="0.2">
      <c r="A32" s="10">
        <v>12</v>
      </c>
      <c r="B32" s="10" t="s">
        <v>163</v>
      </c>
      <c r="C32" s="14" t="s">
        <v>30</v>
      </c>
      <c r="D32" s="12" t="s">
        <v>21</v>
      </c>
      <c r="E32" s="14">
        <v>57.992000000000012</v>
      </c>
      <c r="F32" s="112">
        <f>'Ед. Цени'!F32</f>
        <v>8.17</v>
      </c>
      <c r="G32" s="144">
        <f t="shared" si="0"/>
        <v>473.79</v>
      </c>
    </row>
    <row r="33" spans="1:221" x14ac:dyDescent="0.2">
      <c r="A33" s="10">
        <v>13</v>
      </c>
      <c r="B33" s="10" t="s">
        <v>164</v>
      </c>
      <c r="C33" s="14" t="s">
        <v>31</v>
      </c>
      <c r="D33" s="12" t="s">
        <v>21</v>
      </c>
      <c r="E33" s="14">
        <v>231.96800000000005</v>
      </c>
      <c r="F33" s="112">
        <f>'Ед. Цени'!F33</f>
        <v>4.75</v>
      </c>
      <c r="G33" s="144">
        <f t="shared" si="0"/>
        <v>1101.8499999999999</v>
      </c>
    </row>
    <row r="34" spans="1:221" s="71" customFormat="1" x14ac:dyDescent="0.2">
      <c r="A34" s="10">
        <v>14</v>
      </c>
      <c r="B34" s="10" t="s">
        <v>165</v>
      </c>
      <c r="C34" s="11" t="s">
        <v>32</v>
      </c>
      <c r="D34" s="12" t="s">
        <v>21</v>
      </c>
      <c r="E34" s="14">
        <v>289.96000000000004</v>
      </c>
      <c r="F34" s="112">
        <f>'Ед. Цени'!F34</f>
        <v>3.66</v>
      </c>
      <c r="G34" s="144">
        <f t="shared" si="0"/>
        <v>1061.25</v>
      </c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</row>
    <row r="35" spans="1:221" x14ac:dyDescent="0.2">
      <c r="A35" s="10">
        <v>15</v>
      </c>
      <c r="B35" s="10" t="s">
        <v>166</v>
      </c>
      <c r="C35" s="11" t="s">
        <v>33</v>
      </c>
      <c r="D35" s="12" t="s">
        <v>21</v>
      </c>
      <c r="E35" s="14">
        <v>470.17520000000002</v>
      </c>
      <c r="F35" s="112">
        <f>'Ед. Цени'!F35</f>
        <v>17.82</v>
      </c>
      <c r="G35" s="144">
        <f t="shared" si="0"/>
        <v>8378.52</v>
      </c>
    </row>
    <row r="36" spans="1:221" x14ac:dyDescent="0.2">
      <c r="A36" s="10">
        <v>16</v>
      </c>
      <c r="B36" s="10" t="s">
        <v>167</v>
      </c>
      <c r="C36" s="11" t="s">
        <v>34</v>
      </c>
      <c r="D36" s="12" t="s">
        <v>21</v>
      </c>
      <c r="E36" s="14">
        <v>470.17520000000002</v>
      </c>
      <c r="F36" s="112">
        <f>'Ед. Цени'!F36</f>
        <v>6.14</v>
      </c>
      <c r="G36" s="144">
        <f t="shared" si="0"/>
        <v>2886.88</v>
      </c>
      <c r="H36" s="256"/>
      <c r="I36" s="257"/>
      <c r="J36" s="257"/>
      <c r="K36" s="257"/>
    </row>
    <row r="37" spans="1:221" ht="12.75" customHeight="1" x14ac:dyDescent="0.2">
      <c r="A37" s="10">
        <v>17</v>
      </c>
      <c r="B37" s="10" t="s">
        <v>168</v>
      </c>
      <c r="C37" s="11" t="s">
        <v>35</v>
      </c>
      <c r="D37" s="12" t="s">
        <v>21</v>
      </c>
      <c r="E37" s="14">
        <v>470.17520000000002</v>
      </c>
      <c r="F37" s="112">
        <f>'Ед. Цени'!F37</f>
        <v>3.15</v>
      </c>
      <c r="G37" s="144">
        <f t="shared" si="0"/>
        <v>1481.05</v>
      </c>
    </row>
    <row r="38" spans="1:221" x14ac:dyDescent="0.2">
      <c r="A38" s="10">
        <v>18</v>
      </c>
      <c r="B38" s="10" t="s">
        <v>169</v>
      </c>
      <c r="C38" s="14" t="s">
        <v>36</v>
      </c>
      <c r="D38" s="19" t="s">
        <v>19</v>
      </c>
      <c r="E38" s="113">
        <v>210.88000000000002</v>
      </c>
      <c r="F38" s="112">
        <f>'Ед. Цени'!F38</f>
        <v>1.85</v>
      </c>
      <c r="G38" s="144">
        <f t="shared" si="0"/>
        <v>390.13</v>
      </c>
    </row>
    <row r="39" spans="1:221" x14ac:dyDescent="0.2">
      <c r="A39" s="10">
        <v>19</v>
      </c>
      <c r="B39" s="10" t="s">
        <v>170</v>
      </c>
      <c r="C39" s="20" t="s">
        <v>37</v>
      </c>
      <c r="D39" s="19" t="s">
        <v>38</v>
      </c>
      <c r="E39" s="113">
        <v>5.2720000000000002</v>
      </c>
      <c r="F39" s="112">
        <f>'Ед. Цени'!F39</f>
        <v>44.73</v>
      </c>
      <c r="G39" s="144">
        <f t="shared" si="0"/>
        <v>235.82</v>
      </c>
    </row>
    <row r="40" spans="1:221" x14ac:dyDescent="0.2">
      <c r="A40" s="10">
        <v>20</v>
      </c>
      <c r="B40" s="10" t="s">
        <v>171</v>
      </c>
      <c r="C40" s="21" t="s">
        <v>39</v>
      </c>
      <c r="D40" s="12" t="s">
        <v>21</v>
      </c>
      <c r="E40" s="112">
        <v>73.668000000000006</v>
      </c>
      <c r="F40" s="112">
        <f>'Ед. Цени'!F40</f>
        <v>3.09</v>
      </c>
      <c r="G40" s="144">
        <f t="shared" si="0"/>
        <v>227.63</v>
      </c>
    </row>
    <row r="41" spans="1:221" x14ac:dyDescent="0.2">
      <c r="A41" s="10">
        <v>21</v>
      </c>
      <c r="B41" s="10" t="s">
        <v>172</v>
      </c>
      <c r="C41" s="22" t="s">
        <v>40</v>
      </c>
      <c r="D41" s="12" t="s">
        <v>21</v>
      </c>
      <c r="E41" s="112">
        <v>73.668000000000006</v>
      </c>
      <c r="F41" s="112">
        <f>'Ед. Цени'!F41</f>
        <v>2.2999999999999998</v>
      </c>
      <c r="G41" s="144">
        <f t="shared" si="0"/>
        <v>169.44</v>
      </c>
    </row>
    <row r="42" spans="1:221" x14ac:dyDescent="0.2">
      <c r="A42" s="10">
        <v>22</v>
      </c>
      <c r="B42" s="10" t="s">
        <v>173</v>
      </c>
      <c r="C42" s="11" t="s">
        <v>101</v>
      </c>
      <c r="D42" s="12" t="s">
        <v>17</v>
      </c>
      <c r="E42" s="112">
        <v>376.2</v>
      </c>
      <c r="F42" s="112">
        <f>'Ед. Цени'!F42</f>
        <v>30.97</v>
      </c>
      <c r="G42" s="144">
        <f t="shared" si="0"/>
        <v>11650.91</v>
      </c>
    </row>
    <row r="43" spans="1:221" x14ac:dyDescent="0.2">
      <c r="A43" s="10">
        <v>23</v>
      </c>
      <c r="B43" s="10" t="s">
        <v>174</v>
      </c>
      <c r="C43" s="11" t="s">
        <v>41</v>
      </c>
      <c r="D43" s="12" t="s">
        <v>17</v>
      </c>
      <c r="E43" s="112">
        <v>13</v>
      </c>
      <c r="F43" s="112">
        <f>'Ед. Цени'!F43</f>
        <v>26.13</v>
      </c>
      <c r="G43" s="144">
        <f t="shared" si="0"/>
        <v>339.69</v>
      </c>
    </row>
    <row r="44" spans="1:221" x14ac:dyDescent="0.2">
      <c r="A44" s="10">
        <v>24</v>
      </c>
      <c r="B44" s="10" t="s">
        <v>175</v>
      </c>
      <c r="C44" s="11" t="s">
        <v>93</v>
      </c>
      <c r="D44" s="12" t="s">
        <v>17</v>
      </c>
      <c r="E44" s="112">
        <v>138</v>
      </c>
      <c r="F44" s="112">
        <f>'Ед. Цени'!F44</f>
        <v>7.79</v>
      </c>
      <c r="G44" s="144">
        <f t="shared" si="0"/>
        <v>1075.02</v>
      </c>
    </row>
    <row r="45" spans="1:221" x14ac:dyDescent="0.2">
      <c r="A45" s="10">
        <v>25</v>
      </c>
      <c r="B45" s="10" t="s">
        <v>176</v>
      </c>
      <c r="C45" s="18" t="s">
        <v>102</v>
      </c>
      <c r="D45" s="12" t="s">
        <v>38</v>
      </c>
      <c r="E45" s="73">
        <v>13</v>
      </c>
      <c r="F45" s="112">
        <f>'Ед. Цени'!F45</f>
        <v>14.87</v>
      </c>
      <c r="G45" s="144">
        <f t="shared" si="0"/>
        <v>193.31</v>
      </c>
    </row>
    <row r="46" spans="1:221" x14ac:dyDescent="0.2">
      <c r="A46" s="10">
        <v>26</v>
      </c>
      <c r="B46" s="10" t="s">
        <v>177</v>
      </c>
      <c r="C46" s="18" t="s">
        <v>103</v>
      </c>
      <c r="D46" s="12" t="s">
        <v>38</v>
      </c>
      <c r="E46" s="73">
        <v>26</v>
      </c>
      <c r="F46" s="112">
        <f>'Ед. Цени'!F46</f>
        <v>72.23</v>
      </c>
      <c r="G46" s="144">
        <f t="shared" si="0"/>
        <v>1877.98</v>
      </c>
    </row>
    <row r="47" spans="1:221" x14ac:dyDescent="0.2">
      <c r="A47" s="10">
        <v>27</v>
      </c>
      <c r="B47" s="10" t="s">
        <v>178</v>
      </c>
      <c r="C47" s="18" t="s">
        <v>104</v>
      </c>
      <c r="D47" s="12" t="s">
        <v>38</v>
      </c>
      <c r="E47" s="73">
        <v>1</v>
      </c>
      <c r="F47" s="112">
        <f>'Ед. Цени'!F47</f>
        <v>48.61</v>
      </c>
      <c r="G47" s="144">
        <f t="shared" si="0"/>
        <v>48.61</v>
      </c>
    </row>
    <row r="48" spans="1:221" x14ac:dyDescent="0.2">
      <c r="A48" s="10">
        <v>28</v>
      </c>
      <c r="B48" s="10" t="s">
        <v>179</v>
      </c>
      <c r="C48" s="20" t="s">
        <v>105</v>
      </c>
      <c r="D48" s="12" t="s">
        <v>38</v>
      </c>
      <c r="E48" s="73">
        <v>48.349999999999994</v>
      </c>
      <c r="F48" s="112">
        <f>'Ед. Цени'!F48</f>
        <v>18.670000000000002</v>
      </c>
      <c r="G48" s="144">
        <f t="shared" si="0"/>
        <v>902.69</v>
      </c>
    </row>
    <row r="49" spans="1:7" x14ac:dyDescent="0.2">
      <c r="A49" s="10">
        <v>29</v>
      </c>
      <c r="B49" s="10" t="s">
        <v>180</v>
      </c>
      <c r="C49" s="18" t="s">
        <v>106</v>
      </c>
      <c r="D49" s="12" t="s">
        <v>38</v>
      </c>
      <c r="E49" s="73">
        <v>4</v>
      </c>
      <c r="F49" s="112">
        <f>'Ед. Цени'!F49</f>
        <v>15.4</v>
      </c>
      <c r="G49" s="144">
        <f t="shared" si="0"/>
        <v>61.6</v>
      </c>
    </row>
    <row r="50" spans="1:7" x14ac:dyDescent="0.2">
      <c r="A50" s="10">
        <v>30</v>
      </c>
      <c r="B50" s="10" t="s">
        <v>181</v>
      </c>
      <c r="C50" s="18" t="s">
        <v>90</v>
      </c>
      <c r="D50" s="12" t="s">
        <v>38</v>
      </c>
      <c r="E50" s="73">
        <v>26</v>
      </c>
      <c r="F50" s="112">
        <f>'Ед. Цени'!F50</f>
        <v>15.9</v>
      </c>
      <c r="G50" s="144">
        <f t="shared" si="0"/>
        <v>413.4</v>
      </c>
    </row>
    <row r="51" spans="1:7" x14ac:dyDescent="0.2">
      <c r="A51" s="10">
        <v>31</v>
      </c>
      <c r="B51" s="10" t="s">
        <v>182</v>
      </c>
      <c r="C51" s="18" t="s">
        <v>89</v>
      </c>
      <c r="D51" s="12" t="s">
        <v>38</v>
      </c>
      <c r="E51" s="73">
        <v>26</v>
      </c>
      <c r="F51" s="112">
        <f>'Ед. Цени'!F51</f>
        <v>18.32</v>
      </c>
      <c r="G51" s="144">
        <f t="shared" si="0"/>
        <v>476.32</v>
      </c>
    </row>
    <row r="52" spans="1:7" x14ac:dyDescent="0.2">
      <c r="A52" s="10">
        <v>32</v>
      </c>
      <c r="B52" s="10" t="s">
        <v>183</v>
      </c>
      <c r="C52" s="18" t="s">
        <v>49</v>
      </c>
      <c r="D52" s="12" t="s">
        <v>38</v>
      </c>
      <c r="E52" s="73">
        <v>2</v>
      </c>
      <c r="F52" s="112">
        <f>'Ед. Цени'!F52</f>
        <v>35.82</v>
      </c>
      <c r="G52" s="144">
        <f t="shared" si="0"/>
        <v>71.64</v>
      </c>
    </row>
    <row r="53" spans="1:7" x14ac:dyDescent="0.2">
      <c r="A53" s="10">
        <v>33</v>
      </c>
      <c r="B53" s="10" t="s">
        <v>184</v>
      </c>
      <c r="C53" s="18" t="s">
        <v>50</v>
      </c>
      <c r="D53" s="12" t="s">
        <v>38</v>
      </c>
      <c r="E53" s="73">
        <v>2</v>
      </c>
      <c r="F53" s="112">
        <f>'Ед. Цени'!F53</f>
        <v>324.5</v>
      </c>
      <c r="G53" s="144">
        <f t="shared" si="0"/>
        <v>649</v>
      </c>
    </row>
    <row r="54" spans="1:7" x14ac:dyDescent="0.2">
      <c r="A54" s="10">
        <v>34</v>
      </c>
      <c r="B54" s="10" t="s">
        <v>185</v>
      </c>
      <c r="C54" s="18" t="s">
        <v>51</v>
      </c>
      <c r="D54" s="12" t="s">
        <v>38</v>
      </c>
      <c r="E54" s="73">
        <v>2</v>
      </c>
      <c r="F54" s="112">
        <f>'Ед. Цени'!F54</f>
        <v>39.450000000000003</v>
      </c>
      <c r="G54" s="144">
        <f t="shared" si="0"/>
        <v>78.900000000000006</v>
      </c>
    </row>
    <row r="55" spans="1:7" x14ac:dyDescent="0.2">
      <c r="A55" s="10">
        <v>35</v>
      </c>
      <c r="B55" s="10" t="s">
        <v>186</v>
      </c>
      <c r="C55" s="18" t="s">
        <v>52</v>
      </c>
      <c r="D55" s="12" t="s">
        <v>38</v>
      </c>
      <c r="E55" s="73">
        <v>2</v>
      </c>
      <c r="F55" s="112">
        <f>'Ед. Цени'!F55</f>
        <v>150.69999999999999</v>
      </c>
      <c r="G55" s="144">
        <f t="shared" si="0"/>
        <v>301.39999999999998</v>
      </c>
    </row>
    <row r="56" spans="1:7" x14ac:dyDescent="0.2">
      <c r="A56" s="10">
        <v>36</v>
      </c>
      <c r="B56" s="10" t="s">
        <v>187</v>
      </c>
      <c r="C56" s="18" t="s">
        <v>107</v>
      </c>
      <c r="D56" s="12" t="s">
        <v>38</v>
      </c>
      <c r="E56" s="73">
        <v>10</v>
      </c>
      <c r="F56" s="112">
        <f>'Ед. Цени'!F56</f>
        <v>65.400000000000006</v>
      </c>
      <c r="G56" s="144">
        <f t="shared" si="0"/>
        <v>654</v>
      </c>
    </row>
    <row r="57" spans="1:7" x14ac:dyDescent="0.2">
      <c r="A57" s="10">
        <v>37</v>
      </c>
      <c r="B57" s="10" t="s">
        <v>188</v>
      </c>
      <c r="C57" s="18" t="s">
        <v>88</v>
      </c>
      <c r="D57" s="12" t="s">
        <v>38</v>
      </c>
      <c r="E57" s="73">
        <v>26</v>
      </c>
      <c r="F57" s="73">
        <f>'Ед. Цени'!F57</f>
        <v>132.99</v>
      </c>
      <c r="G57" s="144">
        <f t="shared" si="0"/>
        <v>3457.74</v>
      </c>
    </row>
    <row r="58" spans="1:7" x14ac:dyDescent="0.2">
      <c r="A58" s="10">
        <v>38</v>
      </c>
      <c r="B58" s="10" t="s">
        <v>189</v>
      </c>
      <c r="C58" s="11" t="s">
        <v>55</v>
      </c>
      <c r="D58" s="12" t="s">
        <v>38</v>
      </c>
      <c r="E58" s="73">
        <v>2</v>
      </c>
      <c r="F58" s="112">
        <f>'Ед. Цени'!F58</f>
        <v>39.450000000000003</v>
      </c>
      <c r="G58" s="144">
        <f t="shared" si="0"/>
        <v>78.900000000000006</v>
      </c>
    </row>
    <row r="59" spans="1:7" x14ac:dyDescent="0.2">
      <c r="A59" s="10">
        <v>39</v>
      </c>
      <c r="B59" s="10" t="s">
        <v>190</v>
      </c>
      <c r="C59" s="11" t="s">
        <v>56</v>
      </c>
      <c r="D59" s="12" t="s">
        <v>17</v>
      </c>
      <c r="E59" s="112">
        <v>527.20000000000005</v>
      </c>
      <c r="F59" s="112">
        <f>'Ед. Цени'!F59</f>
        <v>1.78</v>
      </c>
      <c r="G59" s="144">
        <f t="shared" si="0"/>
        <v>938.42</v>
      </c>
    </row>
    <row r="60" spans="1:7" x14ac:dyDescent="0.2">
      <c r="A60" s="10">
        <v>40</v>
      </c>
      <c r="B60" s="10" t="s">
        <v>191</v>
      </c>
      <c r="C60" s="18" t="s">
        <v>57</v>
      </c>
      <c r="D60" s="12" t="s">
        <v>17</v>
      </c>
      <c r="E60" s="112">
        <v>527.20000000000005</v>
      </c>
      <c r="F60" s="112">
        <f>'Ед. Цени'!F60</f>
        <v>1.61</v>
      </c>
      <c r="G60" s="144">
        <f t="shared" si="0"/>
        <v>848.79</v>
      </c>
    </row>
    <row r="61" spans="1:7" x14ac:dyDescent="0.2">
      <c r="A61" s="10">
        <v>41</v>
      </c>
      <c r="B61" s="10" t="s">
        <v>192</v>
      </c>
      <c r="C61" s="27" t="s">
        <v>58</v>
      </c>
      <c r="D61" s="12" t="s">
        <v>38</v>
      </c>
      <c r="E61" s="112">
        <v>28</v>
      </c>
      <c r="F61" s="112">
        <f>'Ед. Цени'!F61</f>
        <v>10.45</v>
      </c>
      <c r="G61" s="144">
        <f t="shared" si="0"/>
        <v>292.60000000000002</v>
      </c>
    </row>
    <row r="62" spans="1:7" x14ac:dyDescent="0.2">
      <c r="A62" s="10">
        <v>42</v>
      </c>
      <c r="B62" s="10" t="s">
        <v>193</v>
      </c>
      <c r="C62" s="28" t="s">
        <v>59</v>
      </c>
      <c r="D62" s="12" t="s">
        <v>38</v>
      </c>
      <c r="E62" s="112">
        <v>2</v>
      </c>
      <c r="F62" s="112">
        <f>'Ед. Цени'!F62</f>
        <v>18.52</v>
      </c>
      <c r="G62" s="144">
        <f t="shared" si="0"/>
        <v>37.04</v>
      </c>
    </row>
    <row r="63" spans="1:7" x14ac:dyDescent="0.2">
      <c r="A63" s="10">
        <v>43</v>
      </c>
      <c r="B63" s="10" t="s">
        <v>194</v>
      </c>
      <c r="C63" s="28" t="s">
        <v>60</v>
      </c>
      <c r="D63" s="12" t="s">
        <v>38</v>
      </c>
      <c r="E63" s="112">
        <v>2</v>
      </c>
      <c r="F63" s="112">
        <f>'Ед. Цени'!F63</f>
        <v>18.52</v>
      </c>
      <c r="G63" s="144">
        <f t="shared" si="0"/>
        <v>37.04</v>
      </c>
    </row>
    <row r="64" spans="1:7" x14ac:dyDescent="0.2">
      <c r="A64" s="10">
        <v>44</v>
      </c>
      <c r="B64" s="10" t="s">
        <v>195</v>
      </c>
      <c r="C64" s="11" t="s">
        <v>61</v>
      </c>
      <c r="D64" s="12" t="s">
        <v>17</v>
      </c>
      <c r="E64" s="112">
        <v>56</v>
      </c>
      <c r="F64" s="139">
        <f>'Ед. Цени'!F64</f>
        <v>8.9499999999999993</v>
      </c>
      <c r="G64" s="144">
        <f t="shared" si="0"/>
        <v>501.2</v>
      </c>
    </row>
    <row r="65" spans="1:7" x14ac:dyDescent="0.2">
      <c r="A65" s="10">
        <v>45</v>
      </c>
      <c r="B65" s="10" t="s">
        <v>196</v>
      </c>
      <c r="C65" s="11" t="s">
        <v>62</v>
      </c>
      <c r="D65" s="12" t="s">
        <v>21</v>
      </c>
      <c r="E65" s="112">
        <v>294.67200000000003</v>
      </c>
      <c r="F65" s="112">
        <f>'Ед. Цени'!F65</f>
        <v>18.940000000000001</v>
      </c>
      <c r="G65" s="144">
        <f t="shared" si="0"/>
        <v>5581.09</v>
      </c>
    </row>
    <row r="66" spans="1:7" x14ac:dyDescent="0.2">
      <c r="A66" s="10">
        <v>46</v>
      </c>
      <c r="B66" s="10" t="s">
        <v>197</v>
      </c>
      <c r="C66" s="11" t="s">
        <v>63</v>
      </c>
      <c r="D66" s="12" t="s">
        <v>19</v>
      </c>
      <c r="E66" s="112">
        <v>736.68000000000006</v>
      </c>
      <c r="F66" s="112">
        <f>'Ед. Цени'!F66</f>
        <v>1.77</v>
      </c>
      <c r="G66" s="144">
        <f t="shared" si="0"/>
        <v>1303.92</v>
      </c>
    </row>
    <row r="67" spans="1:7" x14ac:dyDescent="0.2">
      <c r="A67" s="10">
        <v>47</v>
      </c>
      <c r="B67" s="10" t="s">
        <v>198</v>
      </c>
      <c r="C67" s="11" t="s">
        <v>134</v>
      </c>
      <c r="D67" s="12" t="s">
        <v>64</v>
      </c>
      <c r="E67" s="112">
        <v>88.401600000000002</v>
      </c>
      <c r="F67" s="112">
        <f>'Ед. Цени'!F67</f>
        <v>125.37</v>
      </c>
      <c r="G67" s="144">
        <f t="shared" si="0"/>
        <v>11082.91</v>
      </c>
    </row>
    <row r="68" spans="1:7" x14ac:dyDescent="0.2">
      <c r="A68" s="10">
        <v>48</v>
      </c>
      <c r="B68" s="10" t="s">
        <v>199</v>
      </c>
      <c r="C68" s="11" t="s">
        <v>65</v>
      </c>
      <c r="D68" s="12" t="s">
        <v>17</v>
      </c>
      <c r="E68" s="112">
        <v>527.20000000000005</v>
      </c>
      <c r="F68" s="112">
        <f>'Ед. Цени'!F68</f>
        <v>0.92</v>
      </c>
      <c r="G68" s="144">
        <f t="shared" si="0"/>
        <v>485.02</v>
      </c>
    </row>
    <row r="69" spans="1:7" ht="12.75" thickBot="1" x14ac:dyDescent="0.25">
      <c r="A69" s="10">
        <v>49</v>
      </c>
      <c r="B69" s="10" t="s">
        <v>200</v>
      </c>
      <c r="C69" s="30" t="s">
        <v>66</v>
      </c>
      <c r="D69" s="31" t="s">
        <v>17</v>
      </c>
      <c r="E69" s="112">
        <v>527.20000000000005</v>
      </c>
      <c r="F69" s="112">
        <f>'Ед. Цени'!F69</f>
        <v>1.41</v>
      </c>
      <c r="G69" s="144">
        <f t="shared" si="0"/>
        <v>743.35</v>
      </c>
    </row>
    <row r="70" spans="1:7" ht="12.75" thickTop="1" x14ac:dyDescent="0.2">
      <c r="A70" s="74"/>
      <c r="B70" s="121"/>
      <c r="C70" s="32" t="s">
        <v>67</v>
      </c>
      <c r="D70" s="33"/>
      <c r="E70" s="33"/>
      <c r="F70" s="33"/>
      <c r="G70" s="145">
        <f>SUM(G21:G69)</f>
        <v>103304.55999999998</v>
      </c>
    </row>
    <row r="71" spans="1:7" ht="13.9" customHeight="1" x14ac:dyDescent="0.2">
      <c r="A71" s="258" t="s">
        <v>68</v>
      </c>
      <c r="B71" s="259"/>
      <c r="C71" s="259"/>
      <c r="D71" s="260"/>
      <c r="E71" s="35"/>
      <c r="F71" s="35"/>
      <c r="G71" s="172"/>
    </row>
    <row r="72" spans="1:7" x14ac:dyDescent="0.2">
      <c r="A72" s="75">
        <v>1</v>
      </c>
      <c r="B72" s="75" t="s">
        <v>201</v>
      </c>
      <c r="C72" s="76" t="s">
        <v>69</v>
      </c>
      <c r="D72" s="75" t="s">
        <v>21</v>
      </c>
      <c r="E72" s="22">
        <v>76.33</v>
      </c>
      <c r="F72" s="22">
        <f>'Ед. Цени'!F70</f>
        <v>7.8</v>
      </c>
      <c r="G72" s="144">
        <f t="shared" ref="G72:G87" si="1">ROUND((E72*F72),2)</f>
        <v>595.37</v>
      </c>
    </row>
    <row r="73" spans="1:7" x14ac:dyDescent="0.2">
      <c r="A73" s="75">
        <v>2</v>
      </c>
      <c r="B73" s="75" t="s">
        <v>202</v>
      </c>
      <c r="C73" s="76" t="s">
        <v>70</v>
      </c>
      <c r="D73" s="75" t="s">
        <v>21</v>
      </c>
      <c r="E73" s="22">
        <v>32.709999999999994</v>
      </c>
      <c r="F73" s="22">
        <f>'Ед. Цени'!F71</f>
        <v>16.63</v>
      </c>
      <c r="G73" s="144">
        <f t="shared" si="1"/>
        <v>543.97</v>
      </c>
    </row>
    <row r="74" spans="1:7" x14ac:dyDescent="0.2">
      <c r="A74" s="75">
        <v>3</v>
      </c>
      <c r="B74" s="75" t="s">
        <v>203</v>
      </c>
      <c r="C74" s="77" t="s">
        <v>71</v>
      </c>
      <c r="D74" s="75" t="s">
        <v>19</v>
      </c>
      <c r="E74" s="22">
        <v>180.48</v>
      </c>
      <c r="F74" s="22">
        <f>'Ед. Цени'!F72</f>
        <v>6.09</v>
      </c>
      <c r="G74" s="144">
        <f t="shared" si="1"/>
        <v>1099.1199999999999</v>
      </c>
    </row>
    <row r="75" spans="1:7" x14ac:dyDescent="0.2">
      <c r="A75" s="75">
        <v>4</v>
      </c>
      <c r="B75" s="75" t="s">
        <v>204</v>
      </c>
      <c r="C75" s="76" t="s">
        <v>72</v>
      </c>
      <c r="D75" s="75" t="s">
        <v>21</v>
      </c>
      <c r="E75" s="22">
        <v>39.25</v>
      </c>
      <c r="F75" s="22">
        <f>'Ед. Цени'!F73</f>
        <v>1.64</v>
      </c>
      <c r="G75" s="144">
        <f t="shared" si="1"/>
        <v>64.37</v>
      </c>
    </row>
    <row r="76" spans="1:7" x14ac:dyDescent="0.2">
      <c r="A76" s="75">
        <v>5</v>
      </c>
      <c r="B76" s="75" t="s">
        <v>205</v>
      </c>
      <c r="C76" s="76" t="s">
        <v>73</v>
      </c>
      <c r="D76" s="75" t="s">
        <v>21</v>
      </c>
      <c r="E76" s="22">
        <v>112.8</v>
      </c>
      <c r="F76" s="22">
        <f>'Ед. Цени'!F74</f>
        <v>8.5399999999999991</v>
      </c>
      <c r="G76" s="144">
        <f t="shared" si="1"/>
        <v>963.31</v>
      </c>
    </row>
    <row r="77" spans="1:7" x14ac:dyDescent="0.2">
      <c r="A77" s="75">
        <v>6</v>
      </c>
      <c r="B77" s="10" t="s">
        <v>158</v>
      </c>
      <c r="C77" s="189" t="s">
        <v>25</v>
      </c>
      <c r="D77" s="75" t="s">
        <v>21</v>
      </c>
      <c r="E77" s="22">
        <v>112.8</v>
      </c>
      <c r="F77" s="69">
        <f>'Ед. Цени'!F27</f>
        <v>1.98</v>
      </c>
      <c r="G77" s="144">
        <f t="shared" si="1"/>
        <v>223.34</v>
      </c>
    </row>
    <row r="78" spans="1:7" x14ac:dyDescent="0.2">
      <c r="A78" s="75">
        <v>7</v>
      </c>
      <c r="B78" s="75" t="s">
        <v>206</v>
      </c>
      <c r="C78" s="76" t="s">
        <v>74</v>
      </c>
      <c r="D78" s="75" t="s">
        <v>19</v>
      </c>
      <c r="E78" s="22">
        <v>1880</v>
      </c>
      <c r="F78" s="22">
        <f>'Ед. Цени'!F75</f>
        <v>1.78</v>
      </c>
      <c r="G78" s="144">
        <f t="shared" si="1"/>
        <v>3346.4</v>
      </c>
    </row>
    <row r="79" spans="1:7" x14ac:dyDescent="0.2">
      <c r="A79" s="75">
        <v>8</v>
      </c>
      <c r="B79" s="75" t="s">
        <v>207</v>
      </c>
      <c r="C79" s="76" t="s">
        <v>75</v>
      </c>
      <c r="D79" s="75" t="s">
        <v>21</v>
      </c>
      <c r="E79" s="22">
        <v>90.24</v>
      </c>
      <c r="F79" s="22">
        <f>'Ед. Цени'!F76</f>
        <v>1.78</v>
      </c>
      <c r="G79" s="144">
        <f t="shared" si="1"/>
        <v>160.63</v>
      </c>
    </row>
    <row r="80" spans="1:7" x14ac:dyDescent="0.2">
      <c r="A80" s="75">
        <v>9</v>
      </c>
      <c r="B80" s="75" t="s">
        <v>208</v>
      </c>
      <c r="C80" s="76" t="s">
        <v>76</v>
      </c>
      <c r="D80" s="75" t="s">
        <v>77</v>
      </c>
      <c r="E80" s="22">
        <v>131.6</v>
      </c>
      <c r="F80" s="22">
        <f>'Ед. Цени'!F77</f>
        <v>21.54</v>
      </c>
      <c r="G80" s="144">
        <f t="shared" si="1"/>
        <v>2834.66</v>
      </c>
    </row>
    <row r="81" spans="1:7" x14ac:dyDescent="0.2">
      <c r="A81" s="75">
        <v>10</v>
      </c>
      <c r="B81" s="75" t="s">
        <v>209</v>
      </c>
      <c r="C81" s="76" t="s">
        <v>78</v>
      </c>
      <c r="D81" s="75" t="s">
        <v>79</v>
      </c>
      <c r="E81" s="22">
        <v>250</v>
      </c>
      <c r="F81" s="22">
        <f>'Ед. Цени'!F78</f>
        <v>6.93</v>
      </c>
      <c r="G81" s="144">
        <f t="shared" si="1"/>
        <v>1732.5</v>
      </c>
    </row>
    <row r="82" spans="1:7" x14ac:dyDescent="0.2">
      <c r="A82" s="75">
        <v>11</v>
      </c>
      <c r="B82" s="75" t="s">
        <v>210</v>
      </c>
      <c r="C82" s="76" t="s">
        <v>80</v>
      </c>
      <c r="D82" s="75" t="s">
        <v>79</v>
      </c>
      <c r="E82" s="22">
        <v>250</v>
      </c>
      <c r="F82" s="22">
        <f>'Ед. Цени'!F79</f>
        <v>27.54</v>
      </c>
      <c r="G82" s="144">
        <f t="shared" si="1"/>
        <v>6885</v>
      </c>
    </row>
    <row r="83" spans="1:7" x14ac:dyDescent="0.2">
      <c r="A83" s="75">
        <v>12</v>
      </c>
      <c r="B83" s="75" t="s">
        <v>211</v>
      </c>
      <c r="C83" s="76" t="s">
        <v>81</v>
      </c>
      <c r="D83" s="75" t="s">
        <v>19</v>
      </c>
      <c r="E83" s="22">
        <v>210.56000000000003</v>
      </c>
      <c r="F83" s="22">
        <f>'Ед. Цени'!F80</f>
        <v>7.88</v>
      </c>
      <c r="G83" s="144">
        <f t="shared" si="1"/>
        <v>1659.21</v>
      </c>
    </row>
    <row r="84" spans="1:7" x14ac:dyDescent="0.2">
      <c r="A84" s="75">
        <v>13</v>
      </c>
      <c r="B84" s="75" t="s">
        <v>212</v>
      </c>
      <c r="C84" s="76" t="s">
        <v>82</v>
      </c>
      <c r="D84" s="75" t="s">
        <v>19</v>
      </c>
      <c r="E84" s="22">
        <v>210.56000000000003</v>
      </c>
      <c r="F84" s="22">
        <f>'Ед. Цени'!F81</f>
        <v>14.48</v>
      </c>
      <c r="G84" s="144">
        <f t="shared" si="1"/>
        <v>3048.91</v>
      </c>
    </row>
    <row r="85" spans="1:7" x14ac:dyDescent="0.2">
      <c r="A85" s="75">
        <v>14</v>
      </c>
      <c r="B85" s="75" t="s">
        <v>213</v>
      </c>
      <c r="C85" s="76" t="s">
        <v>83</v>
      </c>
      <c r="D85" s="75" t="s">
        <v>19</v>
      </c>
      <c r="E85" s="22">
        <v>1710.8</v>
      </c>
      <c r="F85" s="22">
        <f>'Ед. Цени'!F82</f>
        <v>11.72</v>
      </c>
      <c r="G85" s="144">
        <f t="shared" si="1"/>
        <v>20050.580000000002</v>
      </c>
    </row>
    <row r="86" spans="1:7" x14ac:dyDescent="0.2">
      <c r="A86" s="75">
        <v>15</v>
      </c>
      <c r="B86" s="75" t="s">
        <v>214</v>
      </c>
      <c r="C86" s="76" t="s">
        <v>84</v>
      </c>
      <c r="D86" s="75" t="s">
        <v>19</v>
      </c>
      <c r="E86" s="22">
        <v>2256</v>
      </c>
      <c r="F86" s="22">
        <f>'Ед. Цени'!F83</f>
        <v>1.89</v>
      </c>
      <c r="G86" s="144">
        <f t="shared" si="1"/>
        <v>4263.84</v>
      </c>
    </row>
    <row r="87" spans="1:7" x14ac:dyDescent="0.2">
      <c r="A87" s="75">
        <v>16</v>
      </c>
      <c r="B87" s="75" t="s">
        <v>215</v>
      </c>
      <c r="C87" s="76" t="s">
        <v>85</v>
      </c>
      <c r="D87" s="75" t="s">
        <v>77</v>
      </c>
      <c r="E87" s="22">
        <v>270.71999999999997</v>
      </c>
      <c r="F87" s="22">
        <f>'Ед. Цени'!F84</f>
        <v>134.12</v>
      </c>
      <c r="G87" s="144">
        <f t="shared" si="1"/>
        <v>36308.97</v>
      </c>
    </row>
    <row r="88" spans="1:7" x14ac:dyDescent="0.2">
      <c r="A88" s="66"/>
      <c r="B88" s="119"/>
      <c r="C88" s="42"/>
      <c r="D88" s="35"/>
      <c r="E88" s="36"/>
      <c r="F88" s="35"/>
      <c r="G88" s="144"/>
    </row>
    <row r="89" spans="1:7" ht="12.75" thickBot="1" x14ac:dyDescent="0.25">
      <c r="A89" s="78"/>
      <c r="B89" s="122"/>
      <c r="C89" s="47" t="s">
        <v>86</v>
      </c>
      <c r="D89" s="48"/>
      <c r="E89" s="49"/>
      <c r="F89" s="48"/>
      <c r="G89" s="145">
        <f>SUM(G72:G88)</f>
        <v>83780.179999999993</v>
      </c>
    </row>
    <row r="90" spans="1:7" x14ac:dyDescent="0.2">
      <c r="A90" s="79"/>
      <c r="B90" s="123"/>
      <c r="C90" s="50" t="s">
        <v>87</v>
      </c>
      <c r="D90" s="51"/>
      <c r="E90" s="52"/>
      <c r="F90" s="51"/>
      <c r="G90" s="164">
        <f>SUM(G70+G89)</f>
        <v>187084.74</v>
      </c>
    </row>
    <row r="91" spans="1:7" x14ac:dyDescent="0.2">
      <c r="A91" s="80"/>
      <c r="B91" s="124"/>
      <c r="C91" s="44" t="s">
        <v>138</v>
      </c>
      <c r="D91" s="45"/>
      <c r="E91" s="46"/>
      <c r="F91" s="45"/>
      <c r="G91" s="165">
        <f>+G89*0.2</f>
        <v>16756.036</v>
      </c>
    </row>
    <row r="92" spans="1:7" ht="12.75" thickBot="1" x14ac:dyDescent="0.25">
      <c r="A92" s="81"/>
      <c r="B92" s="125"/>
      <c r="C92" s="53" t="s">
        <v>136</v>
      </c>
      <c r="D92" s="54"/>
      <c r="E92" s="55"/>
      <c r="F92" s="54"/>
      <c r="G92" s="166">
        <f>+G91+G90</f>
        <v>203840.77599999998</v>
      </c>
    </row>
    <row r="94" spans="1:7" s="220" customFormat="1" x14ac:dyDescent="0.2">
      <c r="A94" s="219"/>
      <c r="B94" s="219"/>
      <c r="G94" s="221"/>
    </row>
  </sheetData>
  <autoFilter ref="A19:G94"/>
  <mergeCells count="13">
    <mergeCell ref="A1:G1"/>
    <mergeCell ref="A2:G2"/>
    <mergeCell ref="A4:G4"/>
    <mergeCell ref="A16:A18"/>
    <mergeCell ref="C16:C18"/>
    <mergeCell ref="D16:D18"/>
    <mergeCell ref="E16:E18"/>
    <mergeCell ref="H36:K36"/>
    <mergeCell ref="A71:D71"/>
    <mergeCell ref="F16:F18"/>
    <mergeCell ref="G16:G18"/>
    <mergeCell ref="A20:D20"/>
    <mergeCell ref="H31:K31"/>
  </mergeCells>
  <pageMargins left="0.7" right="0.7" top="0.75" bottom="0.75" header="0.3" footer="0.3"/>
  <pageSetup paperSize="9"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5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141</v>
      </c>
      <c r="B4" s="269"/>
      <c r="C4" s="269"/>
      <c r="D4" s="269"/>
      <c r="E4" s="269"/>
      <c r="F4" s="269"/>
      <c r="G4" s="269"/>
    </row>
    <row r="5" spans="1:7" x14ac:dyDescent="0.2">
      <c r="A5" s="212"/>
      <c r="B5" s="212"/>
      <c r="C5" s="212"/>
      <c r="D5" s="212"/>
      <c r="E5" s="212"/>
      <c r="F5" s="212"/>
      <c r="G5" s="168"/>
    </row>
    <row r="6" spans="1:7" x14ac:dyDescent="0.2">
      <c r="A6" s="212"/>
      <c r="B6" s="212"/>
      <c r="C6" s="212"/>
      <c r="D6" s="212"/>
      <c r="E6" s="212"/>
      <c r="F6" s="212"/>
      <c r="G6" s="168"/>
    </row>
    <row r="7" spans="1:7" ht="12.75" thickBot="1" x14ac:dyDescent="0.25">
      <c r="A7" s="64"/>
      <c r="B7" s="64"/>
      <c r="C7" s="65"/>
      <c r="D7" s="65"/>
      <c r="E7" s="65"/>
      <c r="F7" s="65"/>
      <c r="G7" s="169"/>
    </row>
    <row r="8" spans="1:7" ht="12.75" thickTop="1" x14ac:dyDescent="0.2">
      <c r="A8" s="270" t="s">
        <v>9</v>
      </c>
      <c r="B8" s="116"/>
      <c r="C8" s="261" t="s">
        <v>10</v>
      </c>
      <c r="D8" s="261" t="s">
        <v>11</v>
      </c>
      <c r="E8" s="261" t="s">
        <v>12</v>
      </c>
      <c r="F8" s="261" t="s">
        <v>13</v>
      </c>
      <c r="G8" s="264" t="s">
        <v>14</v>
      </c>
    </row>
    <row r="9" spans="1:7" x14ac:dyDescent="0.2">
      <c r="A9" s="271"/>
      <c r="B9" s="117"/>
      <c r="C9" s="262"/>
      <c r="D9" s="262"/>
      <c r="E9" s="262"/>
      <c r="F9" s="262"/>
      <c r="G9" s="265"/>
    </row>
    <row r="10" spans="1:7" ht="12.75" thickBot="1" x14ac:dyDescent="0.25">
      <c r="A10" s="272"/>
      <c r="B10" s="118"/>
      <c r="C10" s="263"/>
      <c r="D10" s="263"/>
      <c r="E10" s="263"/>
      <c r="F10" s="263"/>
      <c r="G10" s="266"/>
    </row>
    <row r="11" spans="1:7" ht="12.75" thickTop="1" x14ac:dyDescent="0.2">
      <c r="A11" s="66">
        <v>1</v>
      </c>
      <c r="B11" s="119"/>
      <c r="C11" s="67">
        <v>2</v>
      </c>
      <c r="D11" s="67">
        <v>3</v>
      </c>
      <c r="E11" s="67">
        <v>4</v>
      </c>
      <c r="F11" s="83">
        <v>5</v>
      </c>
      <c r="G11" s="170">
        <v>6</v>
      </c>
    </row>
    <row r="12" spans="1:7" x14ac:dyDescent="0.2">
      <c r="A12" s="273" t="s">
        <v>15</v>
      </c>
      <c r="B12" s="274"/>
      <c r="C12" s="274"/>
      <c r="D12" s="274"/>
      <c r="E12" s="84"/>
      <c r="F12" s="140"/>
      <c r="G12" s="173"/>
    </row>
    <row r="13" spans="1:7" x14ac:dyDescent="0.2">
      <c r="A13" s="10">
        <v>1</v>
      </c>
      <c r="B13" s="10" t="s">
        <v>152</v>
      </c>
      <c r="C13" s="11" t="s">
        <v>16</v>
      </c>
      <c r="D13" s="12" t="s">
        <v>17</v>
      </c>
      <c r="E13" s="13">
        <v>267.60000000000002</v>
      </c>
      <c r="F13" s="112">
        <f>'Ед. Цени'!F21</f>
        <v>3.53</v>
      </c>
      <c r="G13" s="174">
        <f>ROUND((E13*F13),2)</f>
        <v>944.63</v>
      </c>
    </row>
    <row r="14" spans="1:7" x14ac:dyDescent="0.2">
      <c r="A14" s="10">
        <v>2</v>
      </c>
      <c r="B14" s="10" t="s">
        <v>153</v>
      </c>
      <c r="C14" s="14" t="s">
        <v>18</v>
      </c>
      <c r="D14" s="15" t="s">
        <v>19</v>
      </c>
      <c r="E14" s="16">
        <v>187.32</v>
      </c>
      <c r="F14" s="112">
        <f>'Ед. Цени'!F22</f>
        <v>6.89</v>
      </c>
      <c r="G14" s="174">
        <f t="shared" ref="G14:G62" si="0">ROUND((E14*F14),2)</f>
        <v>1290.6300000000001</v>
      </c>
    </row>
    <row r="15" spans="1:7" x14ac:dyDescent="0.2">
      <c r="A15" s="10">
        <v>3</v>
      </c>
      <c r="B15" s="10" t="s">
        <v>154</v>
      </c>
      <c r="C15" s="14" t="s">
        <v>20</v>
      </c>
      <c r="D15" s="12" t="s">
        <v>21</v>
      </c>
      <c r="E15" s="13">
        <v>176.83281000000002</v>
      </c>
      <c r="F15" s="69">
        <f>'Ед. Цени'!F23</f>
        <v>5.5</v>
      </c>
      <c r="G15" s="174">
        <f t="shared" si="0"/>
        <v>972.58</v>
      </c>
    </row>
    <row r="16" spans="1:7" x14ac:dyDescent="0.2">
      <c r="A16" s="10">
        <v>4</v>
      </c>
      <c r="B16" s="10" t="s">
        <v>236</v>
      </c>
      <c r="C16" s="14" t="s">
        <v>22</v>
      </c>
      <c r="D16" s="12" t="s">
        <v>21</v>
      </c>
      <c r="E16" s="13">
        <v>75.78549000000001</v>
      </c>
      <c r="F16" s="112">
        <f>'Ед. Цени'!F85</f>
        <v>24.35</v>
      </c>
      <c r="G16" s="174">
        <f t="shared" si="0"/>
        <v>1845.38</v>
      </c>
    </row>
    <row r="17" spans="1:7" ht="24" x14ac:dyDescent="0.2">
      <c r="A17" s="10">
        <v>5</v>
      </c>
      <c r="B17" s="10" t="s">
        <v>156</v>
      </c>
      <c r="C17" s="11" t="s">
        <v>23</v>
      </c>
      <c r="D17" s="12" t="s">
        <v>21</v>
      </c>
      <c r="E17" s="13">
        <v>75.78549000000001</v>
      </c>
      <c r="F17" s="69">
        <f>'Ед. Цени'!F25</f>
        <v>12.47</v>
      </c>
      <c r="G17" s="174">
        <f t="shared" si="0"/>
        <v>945.05</v>
      </c>
    </row>
    <row r="18" spans="1:7" x14ac:dyDescent="0.2">
      <c r="A18" s="10">
        <v>6</v>
      </c>
      <c r="B18" s="10" t="s">
        <v>157</v>
      </c>
      <c r="C18" s="11" t="s">
        <v>24</v>
      </c>
      <c r="D18" s="12" t="s">
        <v>21</v>
      </c>
      <c r="E18" s="17">
        <v>252.61830000000003</v>
      </c>
      <c r="F18" s="69">
        <f>'Ед. Цени'!F26</f>
        <v>2.79</v>
      </c>
      <c r="G18" s="174">
        <f t="shared" si="0"/>
        <v>704.81</v>
      </c>
    </row>
    <row r="19" spans="1:7" x14ac:dyDescent="0.2">
      <c r="A19" s="10">
        <v>7</v>
      </c>
      <c r="B19" s="10" t="s">
        <v>158</v>
      </c>
      <c r="C19" s="11" t="s">
        <v>25</v>
      </c>
      <c r="D19" s="12" t="s">
        <v>21</v>
      </c>
      <c r="E19" s="17">
        <v>252.61830000000003</v>
      </c>
      <c r="F19" s="69">
        <f>'Ед. Цени'!F27</f>
        <v>1.98</v>
      </c>
      <c r="G19" s="174">
        <f t="shared" si="0"/>
        <v>500.18</v>
      </c>
    </row>
    <row r="20" spans="1:7" x14ac:dyDescent="0.2">
      <c r="A20" s="10">
        <v>8</v>
      </c>
      <c r="B20" s="10" t="s">
        <v>159</v>
      </c>
      <c r="C20" s="11" t="s">
        <v>26</v>
      </c>
      <c r="D20" s="12" t="s">
        <v>21</v>
      </c>
      <c r="E20" s="17">
        <v>252.61830000000003</v>
      </c>
      <c r="F20" s="69">
        <f>'Ед. Цени'!F28</f>
        <v>2.79</v>
      </c>
      <c r="G20" s="174">
        <f t="shared" si="0"/>
        <v>704.81</v>
      </c>
    </row>
    <row r="21" spans="1:7" x14ac:dyDescent="0.2">
      <c r="A21" s="10">
        <v>9</v>
      </c>
      <c r="B21" s="10" t="s">
        <v>160</v>
      </c>
      <c r="C21" s="18" t="s">
        <v>27</v>
      </c>
      <c r="D21" s="12" t="s">
        <v>19</v>
      </c>
      <c r="E21" s="17">
        <v>457.596</v>
      </c>
      <c r="F21" s="69">
        <f>'Ед. Цени'!F29</f>
        <v>2.42</v>
      </c>
      <c r="G21" s="174">
        <f t="shared" si="0"/>
        <v>1107.3800000000001</v>
      </c>
    </row>
    <row r="22" spans="1:7" x14ac:dyDescent="0.2">
      <c r="A22" s="10">
        <v>10</v>
      </c>
      <c r="B22" s="10" t="s">
        <v>161</v>
      </c>
      <c r="C22" s="11" t="s">
        <v>28</v>
      </c>
      <c r="D22" s="12" t="s">
        <v>21</v>
      </c>
      <c r="E22" s="17">
        <v>73.865000000000009</v>
      </c>
      <c r="F22" s="112">
        <f>'Ед. Цени'!F30</f>
        <v>19.04</v>
      </c>
      <c r="G22" s="174">
        <f t="shared" si="0"/>
        <v>1406.39</v>
      </c>
    </row>
    <row r="23" spans="1:7" x14ac:dyDescent="0.2">
      <c r="A23" s="10">
        <v>11</v>
      </c>
      <c r="B23" s="10" t="s">
        <v>162</v>
      </c>
      <c r="C23" s="11" t="s">
        <v>29</v>
      </c>
      <c r="D23" s="12" t="s">
        <v>21</v>
      </c>
      <c r="E23" s="17">
        <v>73.865000000000009</v>
      </c>
      <c r="F23" s="112">
        <f>'Ед. Цени'!F31</f>
        <v>6.14</v>
      </c>
      <c r="G23" s="174">
        <f t="shared" si="0"/>
        <v>453.53</v>
      </c>
    </row>
    <row r="24" spans="1:7" x14ac:dyDescent="0.2">
      <c r="A24" s="10">
        <v>12</v>
      </c>
      <c r="B24" s="10" t="s">
        <v>163</v>
      </c>
      <c r="C24" s="14" t="s">
        <v>30</v>
      </c>
      <c r="D24" s="12" t="s">
        <v>21</v>
      </c>
      <c r="E24" s="17">
        <v>14.773000000000003</v>
      </c>
      <c r="F24" s="112">
        <f>'Ед. Цени'!F32</f>
        <v>8.17</v>
      </c>
      <c r="G24" s="174">
        <f t="shared" si="0"/>
        <v>120.7</v>
      </c>
    </row>
    <row r="25" spans="1:7" x14ac:dyDescent="0.2">
      <c r="A25" s="10">
        <v>13</v>
      </c>
      <c r="B25" s="10" t="s">
        <v>164</v>
      </c>
      <c r="C25" s="14" t="s">
        <v>31</v>
      </c>
      <c r="D25" s="12" t="s">
        <v>21</v>
      </c>
      <c r="E25" s="17">
        <v>59.092000000000013</v>
      </c>
      <c r="F25" s="112">
        <f>'Ед. Цени'!F33</f>
        <v>4.75</v>
      </c>
      <c r="G25" s="174">
        <f t="shared" si="0"/>
        <v>280.69</v>
      </c>
    </row>
    <row r="26" spans="1:7" x14ac:dyDescent="0.2">
      <c r="A26" s="10">
        <v>14</v>
      </c>
      <c r="B26" s="10" t="s">
        <v>165</v>
      </c>
      <c r="C26" s="11" t="s">
        <v>32</v>
      </c>
      <c r="D26" s="12" t="s">
        <v>21</v>
      </c>
      <c r="E26" s="17">
        <v>73.865000000000009</v>
      </c>
      <c r="F26" s="112">
        <f>'Ед. Цени'!F34</f>
        <v>3.66</v>
      </c>
      <c r="G26" s="174">
        <f t="shared" si="0"/>
        <v>270.35000000000002</v>
      </c>
    </row>
    <row r="27" spans="1:7" x14ac:dyDescent="0.2">
      <c r="A27" s="10">
        <v>15</v>
      </c>
      <c r="B27" s="10" t="s">
        <v>166</v>
      </c>
      <c r="C27" s="11" t="s">
        <v>33</v>
      </c>
      <c r="D27" s="12" t="s">
        <v>21</v>
      </c>
      <c r="E27" s="17">
        <v>119.88130000000001</v>
      </c>
      <c r="F27" s="112">
        <f>'Ед. Цени'!F35</f>
        <v>17.82</v>
      </c>
      <c r="G27" s="174">
        <f t="shared" si="0"/>
        <v>2136.2800000000002</v>
      </c>
    </row>
    <row r="28" spans="1:7" x14ac:dyDescent="0.2">
      <c r="A28" s="10">
        <v>16</v>
      </c>
      <c r="B28" s="10" t="s">
        <v>167</v>
      </c>
      <c r="C28" s="11" t="s">
        <v>34</v>
      </c>
      <c r="D28" s="12" t="s">
        <v>21</v>
      </c>
      <c r="E28" s="17">
        <v>119.88130000000001</v>
      </c>
      <c r="F28" s="112">
        <f>'Ед. Цени'!F36</f>
        <v>6.14</v>
      </c>
      <c r="G28" s="174">
        <f t="shared" si="0"/>
        <v>736.07</v>
      </c>
    </row>
    <row r="29" spans="1:7" x14ac:dyDescent="0.2">
      <c r="A29" s="10">
        <v>17</v>
      </c>
      <c r="B29" s="10" t="s">
        <v>168</v>
      </c>
      <c r="C29" s="11" t="s">
        <v>35</v>
      </c>
      <c r="D29" s="12" t="s">
        <v>21</v>
      </c>
      <c r="E29" s="17">
        <v>119.88130000000001</v>
      </c>
      <c r="F29" s="112">
        <f>'Ед. Цени'!F37</f>
        <v>3.15</v>
      </c>
      <c r="G29" s="174">
        <f t="shared" si="0"/>
        <v>377.63</v>
      </c>
    </row>
    <row r="30" spans="1:7" x14ac:dyDescent="0.2">
      <c r="A30" s="10">
        <v>18</v>
      </c>
      <c r="B30" s="10" t="s">
        <v>169</v>
      </c>
      <c r="C30" s="14" t="s">
        <v>36</v>
      </c>
      <c r="D30" s="19" t="s">
        <v>19</v>
      </c>
      <c r="E30" s="16">
        <v>53.720000000000006</v>
      </c>
      <c r="F30" s="112">
        <f>'Ед. Цени'!F38</f>
        <v>1.85</v>
      </c>
      <c r="G30" s="174">
        <f t="shared" si="0"/>
        <v>99.38</v>
      </c>
    </row>
    <row r="31" spans="1:7" x14ac:dyDescent="0.2">
      <c r="A31" s="10">
        <v>19</v>
      </c>
      <c r="B31" s="10" t="s">
        <v>170</v>
      </c>
      <c r="C31" s="20" t="s">
        <v>37</v>
      </c>
      <c r="D31" s="19" t="s">
        <v>38</v>
      </c>
      <c r="E31" s="16">
        <v>1.3430000000000002</v>
      </c>
      <c r="F31" s="112">
        <f>'Ед. Цени'!F39</f>
        <v>44.73</v>
      </c>
      <c r="G31" s="174">
        <f t="shared" si="0"/>
        <v>60.07</v>
      </c>
    </row>
    <row r="32" spans="1:7" x14ac:dyDescent="0.2">
      <c r="A32" s="10">
        <v>20</v>
      </c>
      <c r="B32" s="10" t="s">
        <v>171</v>
      </c>
      <c r="C32" s="21" t="s">
        <v>39</v>
      </c>
      <c r="D32" s="12" t="s">
        <v>21</v>
      </c>
      <c r="E32" s="13">
        <v>18.731999999999999</v>
      </c>
      <c r="F32" s="112">
        <f>'Ед. Цени'!F40</f>
        <v>3.09</v>
      </c>
      <c r="G32" s="174">
        <f t="shared" si="0"/>
        <v>57.88</v>
      </c>
    </row>
    <row r="33" spans="1:7" x14ac:dyDescent="0.2">
      <c r="A33" s="10">
        <v>21</v>
      </c>
      <c r="B33" s="10" t="s">
        <v>172</v>
      </c>
      <c r="C33" s="22" t="s">
        <v>40</v>
      </c>
      <c r="D33" s="83" t="s">
        <v>21</v>
      </c>
      <c r="E33" s="29">
        <v>18.731999999999999</v>
      </c>
      <c r="F33" s="112">
        <f>'Ед. Цени'!F41</f>
        <v>2.2999999999999998</v>
      </c>
      <c r="G33" s="174">
        <f t="shared" si="0"/>
        <v>43.08</v>
      </c>
    </row>
    <row r="34" spans="1:7" x14ac:dyDescent="0.2">
      <c r="A34" s="10">
        <v>22</v>
      </c>
      <c r="B34" s="10" t="s">
        <v>173</v>
      </c>
      <c r="C34" s="11" t="s">
        <v>101</v>
      </c>
      <c r="D34" s="12" t="s">
        <v>17</v>
      </c>
      <c r="E34" s="29">
        <v>99.8</v>
      </c>
      <c r="F34" s="112">
        <f>'Ед. Цени'!F42</f>
        <v>30.97</v>
      </c>
      <c r="G34" s="174">
        <f t="shared" si="0"/>
        <v>3090.81</v>
      </c>
    </row>
    <row r="35" spans="1:7" x14ac:dyDescent="0.2">
      <c r="A35" s="10">
        <v>23</v>
      </c>
      <c r="B35" s="10" t="s">
        <v>174</v>
      </c>
      <c r="C35" s="11" t="s">
        <v>41</v>
      </c>
      <c r="D35" s="12" t="s">
        <v>17</v>
      </c>
      <c r="E35" s="29">
        <v>6.5</v>
      </c>
      <c r="F35" s="112">
        <f>'Ед. Цени'!F43</f>
        <v>26.13</v>
      </c>
      <c r="G35" s="174">
        <f t="shared" si="0"/>
        <v>169.85</v>
      </c>
    </row>
    <row r="36" spans="1:7" x14ac:dyDescent="0.2">
      <c r="A36" s="10">
        <v>24</v>
      </c>
      <c r="B36" s="10" t="s">
        <v>175</v>
      </c>
      <c r="C36" s="11" t="s">
        <v>93</v>
      </c>
      <c r="D36" s="83" t="s">
        <v>17</v>
      </c>
      <c r="E36" s="13">
        <v>28</v>
      </c>
      <c r="F36" s="112">
        <f>'Ед. Цени'!F44</f>
        <v>7.79</v>
      </c>
      <c r="G36" s="174">
        <f t="shared" si="0"/>
        <v>218.12</v>
      </c>
    </row>
    <row r="37" spans="1:7" x14ac:dyDescent="0.2">
      <c r="A37" s="10">
        <v>25</v>
      </c>
      <c r="B37" s="10" t="s">
        <v>176</v>
      </c>
      <c r="C37" s="18" t="s">
        <v>102</v>
      </c>
      <c r="D37" s="12" t="s">
        <v>38</v>
      </c>
      <c r="E37" s="85">
        <v>4</v>
      </c>
      <c r="F37" s="112">
        <f>'Ед. Цени'!F45</f>
        <v>14.87</v>
      </c>
      <c r="G37" s="174">
        <f t="shared" si="0"/>
        <v>59.48</v>
      </c>
    </row>
    <row r="38" spans="1:7" x14ac:dyDescent="0.2">
      <c r="A38" s="10">
        <v>26</v>
      </c>
      <c r="B38" s="10" t="s">
        <v>177</v>
      </c>
      <c r="C38" s="85" t="s">
        <v>103</v>
      </c>
      <c r="D38" s="12" t="s">
        <v>38</v>
      </c>
      <c r="E38" s="72">
        <v>4</v>
      </c>
      <c r="F38" s="112">
        <f>'Ед. Цени'!F46</f>
        <v>72.23</v>
      </c>
      <c r="G38" s="174">
        <f t="shared" si="0"/>
        <v>288.92</v>
      </c>
    </row>
    <row r="39" spans="1:7" x14ac:dyDescent="0.2">
      <c r="A39" s="10">
        <v>27</v>
      </c>
      <c r="B39" s="10" t="s">
        <v>235</v>
      </c>
      <c r="C39" s="85" t="s">
        <v>108</v>
      </c>
      <c r="D39" s="12" t="s">
        <v>38</v>
      </c>
      <c r="E39" s="85">
        <v>1</v>
      </c>
      <c r="F39" s="112">
        <f>'Ед. Цени'!F86</f>
        <v>49.94</v>
      </c>
      <c r="G39" s="174">
        <f t="shared" si="0"/>
        <v>49.94</v>
      </c>
    </row>
    <row r="40" spans="1:7" x14ac:dyDescent="0.2">
      <c r="A40" s="10">
        <v>28</v>
      </c>
      <c r="B40" s="10" t="s">
        <v>179</v>
      </c>
      <c r="C40" s="85" t="s">
        <v>109</v>
      </c>
      <c r="D40" s="12" t="s">
        <v>38</v>
      </c>
      <c r="E40" s="72">
        <v>13.316666666666666</v>
      </c>
      <c r="F40" s="112">
        <f>'Ед. Цени'!F48</f>
        <v>18.670000000000002</v>
      </c>
      <c r="G40" s="174">
        <f t="shared" si="0"/>
        <v>248.62</v>
      </c>
    </row>
    <row r="41" spans="1:7" x14ac:dyDescent="0.2">
      <c r="A41" s="10">
        <v>29</v>
      </c>
      <c r="B41" s="10" t="s">
        <v>180</v>
      </c>
      <c r="C41" s="85" t="s">
        <v>106</v>
      </c>
      <c r="D41" s="12" t="s">
        <v>38</v>
      </c>
      <c r="E41" s="85">
        <v>2</v>
      </c>
      <c r="F41" s="112">
        <f>'Ед. Цени'!F49</f>
        <v>15.4</v>
      </c>
      <c r="G41" s="174">
        <f t="shared" si="0"/>
        <v>30.8</v>
      </c>
    </row>
    <row r="42" spans="1:7" x14ac:dyDescent="0.2">
      <c r="A42" s="10">
        <v>30</v>
      </c>
      <c r="B42" s="10" t="s">
        <v>181</v>
      </c>
      <c r="C42" s="85" t="s">
        <v>90</v>
      </c>
      <c r="D42" s="12" t="s">
        <v>38</v>
      </c>
      <c r="E42" s="72">
        <v>4</v>
      </c>
      <c r="F42" s="112">
        <f>'Ед. Цени'!F50</f>
        <v>15.9</v>
      </c>
      <c r="G42" s="174">
        <f t="shared" si="0"/>
        <v>63.6</v>
      </c>
    </row>
    <row r="43" spans="1:7" x14ac:dyDescent="0.2">
      <c r="A43" s="10">
        <v>31</v>
      </c>
      <c r="B43" s="10" t="s">
        <v>182</v>
      </c>
      <c r="C43" s="85" t="s">
        <v>89</v>
      </c>
      <c r="D43" s="12" t="s">
        <v>38</v>
      </c>
      <c r="E43" s="72">
        <v>4</v>
      </c>
      <c r="F43" s="112">
        <f>'Ед. Цени'!F51</f>
        <v>18.32</v>
      </c>
      <c r="G43" s="174">
        <f t="shared" si="0"/>
        <v>73.28</v>
      </c>
    </row>
    <row r="44" spans="1:7" x14ac:dyDescent="0.2">
      <c r="A44" s="10">
        <v>32</v>
      </c>
      <c r="B44" s="10" t="s">
        <v>183</v>
      </c>
      <c r="C44" s="85" t="s">
        <v>49</v>
      </c>
      <c r="D44" s="12" t="s">
        <v>38</v>
      </c>
      <c r="E44" s="85">
        <v>1</v>
      </c>
      <c r="F44" s="112">
        <f>'Ед. Цени'!F52</f>
        <v>35.82</v>
      </c>
      <c r="G44" s="174">
        <f t="shared" si="0"/>
        <v>35.82</v>
      </c>
    </row>
    <row r="45" spans="1:7" x14ac:dyDescent="0.2">
      <c r="A45" s="10">
        <v>33</v>
      </c>
      <c r="B45" s="10" t="s">
        <v>184</v>
      </c>
      <c r="C45" s="85" t="s">
        <v>50</v>
      </c>
      <c r="D45" s="12" t="s">
        <v>38</v>
      </c>
      <c r="E45" s="85">
        <v>1</v>
      </c>
      <c r="F45" s="112">
        <f>'Ед. Цени'!F53</f>
        <v>324.5</v>
      </c>
      <c r="G45" s="174">
        <f t="shared" si="0"/>
        <v>324.5</v>
      </c>
    </row>
    <row r="46" spans="1:7" x14ac:dyDescent="0.2">
      <c r="A46" s="10">
        <v>34</v>
      </c>
      <c r="B46" s="10" t="s">
        <v>185</v>
      </c>
      <c r="C46" s="85" t="s">
        <v>51</v>
      </c>
      <c r="D46" s="12" t="s">
        <v>38</v>
      </c>
      <c r="E46" s="85">
        <v>1</v>
      </c>
      <c r="F46" s="112">
        <f>'Ед. Цени'!F54</f>
        <v>39.450000000000003</v>
      </c>
      <c r="G46" s="174">
        <f t="shared" si="0"/>
        <v>39.450000000000003</v>
      </c>
    </row>
    <row r="47" spans="1:7" x14ac:dyDescent="0.2">
      <c r="A47" s="10">
        <v>35</v>
      </c>
      <c r="B47" s="10" t="s">
        <v>186</v>
      </c>
      <c r="C47" s="85" t="s">
        <v>52</v>
      </c>
      <c r="D47" s="12" t="s">
        <v>38</v>
      </c>
      <c r="E47" s="85">
        <v>1</v>
      </c>
      <c r="F47" s="112">
        <f>'Ед. Цени'!F55</f>
        <v>150.69999999999999</v>
      </c>
      <c r="G47" s="174">
        <f t="shared" si="0"/>
        <v>150.69999999999999</v>
      </c>
    </row>
    <row r="48" spans="1:7" x14ac:dyDescent="0.2">
      <c r="A48" s="10">
        <v>36</v>
      </c>
      <c r="B48" s="10" t="s">
        <v>187</v>
      </c>
      <c r="C48" s="85" t="s">
        <v>107</v>
      </c>
      <c r="D48" s="12" t="s">
        <v>38</v>
      </c>
      <c r="E48" s="85">
        <v>2</v>
      </c>
      <c r="F48" s="112">
        <f>'Ед. Цени'!F56</f>
        <v>65.400000000000006</v>
      </c>
      <c r="G48" s="174">
        <f t="shared" si="0"/>
        <v>130.80000000000001</v>
      </c>
    </row>
    <row r="49" spans="1:7" x14ac:dyDescent="0.2">
      <c r="A49" s="10">
        <v>37</v>
      </c>
      <c r="B49" s="10" t="s">
        <v>188</v>
      </c>
      <c r="C49" s="85" t="s">
        <v>88</v>
      </c>
      <c r="D49" s="12" t="s">
        <v>38</v>
      </c>
      <c r="E49" s="72">
        <v>4</v>
      </c>
      <c r="F49" s="73">
        <f>'Ед. Цени'!F57</f>
        <v>132.99</v>
      </c>
      <c r="G49" s="174">
        <f t="shared" si="0"/>
        <v>531.96</v>
      </c>
    </row>
    <row r="50" spans="1:7" x14ac:dyDescent="0.2">
      <c r="A50" s="10">
        <v>38</v>
      </c>
      <c r="B50" s="10" t="s">
        <v>189</v>
      </c>
      <c r="C50" s="11" t="s">
        <v>55</v>
      </c>
      <c r="D50" s="12" t="s">
        <v>38</v>
      </c>
      <c r="E50" s="72">
        <v>1</v>
      </c>
      <c r="F50" s="112">
        <f>'Ед. Цени'!F58</f>
        <v>39.450000000000003</v>
      </c>
      <c r="G50" s="174">
        <f t="shared" si="0"/>
        <v>39.450000000000003</v>
      </c>
    </row>
    <row r="51" spans="1:7" x14ac:dyDescent="0.2">
      <c r="A51" s="10">
        <v>39</v>
      </c>
      <c r="B51" s="10" t="s">
        <v>190</v>
      </c>
      <c r="C51" s="11" t="s">
        <v>56</v>
      </c>
      <c r="D51" s="12" t="s">
        <v>17</v>
      </c>
      <c r="E51" s="13">
        <v>134.30000000000001</v>
      </c>
      <c r="F51" s="112">
        <f>'Ед. Цени'!F59</f>
        <v>1.78</v>
      </c>
      <c r="G51" s="174">
        <f t="shared" si="0"/>
        <v>239.05</v>
      </c>
    </row>
    <row r="52" spans="1:7" x14ac:dyDescent="0.2">
      <c r="A52" s="10">
        <v>40</v>
      </c>
      <c r="B52" s="10" t="s">
        <v>191</v>
      </c>
      <c r="C52" s="18" t="s">
        <v>57</v>
      </c>
      <c r="D52" s="12" t="s">
        <v>17</v>
      </c>
      <c r="E52" s="13">
        <v>134.30000000000001</v>
      </c>
      <c r="F52" s="112">
        <f>'Ед. Цени'!F60</f>
        <v>1.61</v>
      </c>
      <c r="G52" s="174">
        <f t="shared" si="0"/>
        <v>216.22</v>
      </c>
    </row>
    <row r="53" spans="1:7" x14ac:dyDescent="0.2">
      <c r="A53" s="10">
        <v>41</v>
      </c>
      <c r="B53" s="10" t="s">
        <v>192</v>
      </c>
      <c r="C53" s="27" t="s">
        <v>58</v>
      </c>
      <c r="D53" s="12" t="s">
        <v>38</v>
      </c>
      <c r="E53" s="13">
        <v>5</v>
      </c>
      <c r="F53" s="112">
        <f>'Ед. Цени'!F61</f>
        <v>10.45</v>
      </c>
      <c r="G53" s="174">
        <f t="shared" si="0"/>
        <v>52.25</v>
      </c>
    </row>
    <row r="54" spans="1:7" x14ac:dyDescent="0.2">
      <c r="A54" s="10">
        <v>42</v>
      </c>
      <c r="B54" s="10" t="s">
        <v>193</v>
      </c>
      <c r="C54" s="28" t="s">
        <v>59</v>
      </c>
      <c r="D54" s="12" t="s">
        <v>38</v>
      </c>
      <c r="E54" s="13">
        <v>1</v>
      </c>
      <c r="F54" s="112">
        <f>'Ед. Цени'!F62</f>
        <v>18.52</v>
      </c>
      <c r="G54" s="174">
        <f t="shared" si="0"/>
        <v>18.52</v>
      </c>
    </row>
    <row r="55" spans="1:7" x14ac:dyDescent="0.2">
      <c r="A55" s="10">
        <v>43</v>
      </c>
      <c r="B55" s="10" t="s">
        <v>194</v>
      </c>
      <c r="C55" s="28" t="s">
        <v>60</v>
      </c>
      <c r="D55" s="12" t="s">
        <v>38</v>
      </c>
      <c r="E55" s="13">
        <v>1</v>
      </c>
      <c r="F55" s="112">
        <f>'Ед. Цени'!F63</f>
        <v>18.52</v>
      </c>
      <c r="G55" s="174">
        <f t="shared" si="0"/>
        <v>18.52</v>
      </c>
    </row>
    <row r="56" spans="1:7" x14ac:dyDescent="0.2">
      <c r="A56" s="10">
        <v>44</v>
      </c>
      <c r="B56" s="10" t="s">
        <v>195</v>
      </c>
      <c r="C56" s="11" t="s">
        <v>61</v>
      </c>
      <c r="D56" s="12" t="s">
        <v>17</v>
      </c>
      <c r="E56" s="13">
        <v>10</v>
      </c>
      <c r="F56" s="139">
        <f>'Ед. Цени'!F64</f>
        <v>8.9499999999999993</v>
      </c>
      <c r="G56" s="174">
        <f t="shared" si="0"/>
        <v>89.5</v>
      </c>
    </row>
    <row r="57" spans="1:7" x14ac:dyDescent="0.2">
      <c r="A57" s="10">
        <v>45</v>
      </c>
      <c r="B57" s="10" t="s">
        <v>237</v>
      </c>
      <c r="C57" s="11" t="s">
        <v>110</v>
      </c>
      <c r="D57" s="12" t="s">
        <v>19</v>
      </c>
      <c r="E57" s="13">
        <v>10</v>
      </c>
      <c r="F57" s="112">
        <f>'Ед. Цени'!F87</f>
        <v>13.08</v>
      </c>
      <c r="G57" s="174">
        <f t="shared" si="0"/>
        <v>130.80000000000001</v>
      </c>
    </row>
    <row r="58" spans="1:7" x14ac:dyDescent="0.2">
      <c r="A58" s="10">
        <v>46</v>
      </c>
      <c r="B58" s="10" t="s">
        <v>196</v>
      </c>
      <c r="C58" s="11" t="s">
        <v>62</v>
      </c>
      <c r="D58" s="12" t="s">
        <v>21</v>
      </c>
      <c r="E58" s="13">
        <v>74.927999999999997</v>
      </c>
      <c r="F58" s="112">
        <f>'Ед. Цени'!F65</f>
        <v>18.940000000000001</v>
      </c>
      <c r="G58" s="174">
        <f t="shared" si="0"/>
        <v>1419.14</v>
      </c>
    </row>
    <row r="59" spans="1:7" x14ac:dyDescent="0.2">
      <c r="A59" s="10">
        <v>47</v>
      </c>
      <c r="B59" s="10" t="s">
        <v>197</v>
      </c>
      <c r="C59" s="11" t="s">
        <v>63</v>
      </c>
      <c r="D59" s="12" t="s">
        <v>19</v>
      </c>
      <c r="E59" s="13">
        <v>187.32</v>
      </c>
      <c r="F59" s="112">
        <f>'Ед. Цени'!F66</f>
        <v>1.77</v>
      </c>
      <c r="G59" s="174">
        <f t="shared" si="0"/>
        <v>331.56</v>
      </c>
    </row>
    <row r="60" spans="1:7" x14ac:dyDescent="0.2">
      <c r="A60" s="10">
        <v>48</v>
      </c>
      <c r="B60" s="10" t="s">
        <v>198</v>
      </c>
      <c r="C60" s="11" t="s">
        <v>134</v>
      </c>
      <c r="D60" s="12" t="s">
        <v>64</v>
      </c>
      <c r="E60" s="13">
        <v>22.478399999999997</v>
      </c>
      <c r="F60" s="112">
        <f>'Ед. Цени'!F67</f>
        <v>125.37</v>
      </c>
      <c r="G60" s="174">
        <f t="shared" si="0"/>
        <v>2818.12</v>
      </c>
    </row>
    <row r="61" spans="1:7" x14ac:dyDescent="0.2">
      <c r="A61" s="10">
        <v>49</v>
      </c>
      <c r="B61" s="10" t="s">
        <v>199</v>
      </c>
      <c r="C61" s="11" t="s">
        <v>65</v>
      </c>
      <c r="D61" s="12" t="s">
        <v>17</v>
      </c>
      <c r="E61" s="13">
        <v>134.30000000000001</v>
      </c>
      <c r="F61" s="112">
        <f>'Ед. Цени'!F68</f>
        <v>0.92</v>
      </c>
      <c r="G61" s="174">
        <f t="shared" si="0"/>
        <v>123.56</v>
      </c>
    </row>
    <row r="62" spans="1:7" ht="12.75" thickBot="1" x14ac:dyDescent="0.25">
      <c r="A62" s="10">
        <v>50</v>
      </c>
      <c r="B62" s="10" t="s">
        <v>200</v>
      </c>
      <c r="C62" s="30" t="s">
        <v>66</v>
      </c>
      <c r="D62" s="31" t="s">
        <v>17</v>
      </c>
      <c r="E62" s="13">
        <v>134.30000000000001</v>
      </c>
      <c r="F62" s="112">
        <f>'Ед. Цени'!F69</f>
        <v>1.41</v>
      </c>
      <c r="G62" s="174">
        <f t="shared" si="0"/>
        <v>189.36</v>
      </c>
    </row>
    <row r="63" spans="1:7" ht="12.75" thickTop="1" x14ac:dyDescent="0.2">
      <c r="A63" s="74"/>
      <c r="B63" s="121"/>
      <c r="C63" s="32" t="s">
        <v>67</v>
      </c>
      <c r="D63" s="33"/>
      <c r="E63" s="34"/>
      <c r="F63" s="33"/>
      <c r="G63" s="175">
        <f>SUM(G13:G62)</f>
        <v>26250.199999999993</v>
      </c>
    </row>
    <row r="64" spans="1:7" x14ac:dyDescent="0.2">
      <c r="A64" s="273" t="s">
        <v>68</v>
      </c>
      <c r="B64" s="274"/>
      <c r="C64" s="274"/>
      <c r="D64" s="275"/>
      <c r="E64" s="36"/>
      <c r="F64" s="35"/>
      <c r="G64" s="172"/>
    </row>
    <row r="65" spans="1:7" x14ac:dyDescent="0.2">
      <c r="A65" s="86">
        <v>1</v>
      </c>
      <c r="B65" s="75" t="s">
        <v>201</v>
      </c>
      <c r="C65" s="87" t="s">
        <v>69</v>
      </c>
      <c r="D65" s="86" t="s">
        <v>21</v>
      </c>
      <c r="E65" s="39">
        <v>20.3</v>
      </c>
      <c r="F65" s="22">
        <f>'Ед. Цени'!F70</f>
        <v>7.8</v>
      </c>
      <c r="G65" s="176">
        <f>ROUND((E65*F65),2)</f>
        <v>158.34</v>
      </c>
    </row>
    <row r="66" spans="1:7" x14ac:dyDescent="0.2">
      <c r="A66" s="86">
        <v>2</v>
      </c>
      <c r="B66" s="75" t="s">
        <v>202</v>
      </c>
      <c r="C66" s="87" t="s">
        <v>70</v>
      </c>
      <c r="D66" s="86" t="s">
        <v>21</v>
      </c>
      <c r="E66" s="39">
        <v>8.6999999999999957</v>
      </c>
      <c r="F66" s="22">
        <f>'Ед. Цени'!F71</f>
        <v>16.63</v>
      </c>
      <c r="G66" s="176">
        <f t="shared" ref="G66:G80" si="1">ROUND((E66*F66),2)</f>
        <v>144.68</v>
      </c>
    </row>
    <row r="67" spans="1:7" x14ac:dyDescent="0.2">
      <c r="A67" s="86">
        <v>3</v>
      </c>
      <c r="B67" s="75" t="s">
        <v>203</v>
      </c>
      <c r="C67" s="89" t="s">
        <v>71</v>
      </c>
      <c r="D67" s="86" t="s">
        <v>19</v>
      </c>
      <c r="E67" s="39">
        <v>48</v>
      </c>
      <c r="F67" s="22">
        <f>'Ед. Цени'!F72</f>
        <v>6.09</v>
      </c>
      <c r="G67" s="176">
        <f t="shared" si="1"/>
        <v>292.32</v>
      </c>
    </row>
    <row r="68" spans="1:7" x14ac:dyDescent="0.2">
      <c r="A68" s="86">
        <v>4</v>
      </c>
      <c r="B68" s="75" t="s">
        <v>204</v>
      </c>
      <c r="C68" s="87" t="s">
        <v>72</v>
      </c>
      <c r="D68" s="86" t="s">
        <v>21</v>
      </c>
      <c r="E68" s="39">
        <v>10.44</v>
      </c>
      <c r="F68" s="22">
        <f>'Ед. Цени'!F73</f>
        <v>1.64</v>
      </c>
      <c r="G68" s="176">
        <f t="shared" si="1"/>
        <v>17.12</v>
      </c>
    </row>
    <row r="69" spans="1:7" x14ac:dyDescent="0.2">
      <c r="A69" s="86">
        <v>5</v>
      </c>
      <c r="B69" s="75" t="s">
        <v>205</v>
      </c>
      <c r="C69" s="87" t="s">
        <v>73</v>
      </c>
      <c r="D69" s="86" t="s">
        <v>21</v>
      </c>
      <c r="E69" s="39">
        <v>30</v>
      </c>
      <c r="F69" s="22">
        <f>'Ед. Цени'!F74</f>
        <v>8.5399999999999991</v>
      </c>
      <c r="G69" s="176">
        <f t="shared" si="1"/>
        <v>256.2</v>
      </c>
    </row>
    <row r="70" spans="1:7" x14ac:dyDescent="0.2">
      <c r="A70" s="86">
        <v>6</v>
      </c>
      <c r="B70" s="10" t="s">
        <v>158</v>
      </c>
      <c r="C70" s="89" t="s">
        <v>25</v>
      </c>
      <c r="D70" s="86" t="s">
        <v>21</v>
      </c>
      <c r="E70" s="39">
        <v>30</v>
      </c>
      <c r="F70" s="69">
        <f>'Ед. Цени'!F27</f>
        <v>1.98</v>
      </c>
      <c r="G70" s="176">
        <f t="shared" si="1"/>
        <v>59.4</v>
      </c>
    </row>
    <row r="71" spans="1:7" x14ac:dyDescent="0.2">
      <c r="A71" s="86">
        <v>7</v>
      </c>
      <c r="B71" s="75" t="s">
        <v>206</v>
      </c>
      <c r="C71" s="87" t="s">
        <v>74</v>
      </c>
      <c r="D71" s="86" t="s">
        <v>19</v>
      </c>
      <c r="E71" s="39">
        <v>500</v>
      </c>
      <c r="F71" s="22">
        <f>'Ед. Цени'!F75</f>
        <v>1.78</v>
      </c>
      <c r="G71" s="176">
        <f t="shared" si="1"/>
        <v>890</v>
      </c>
    </row>
    <row r="72" spans="1:7" x14ac:dyDescent="0.2">
      <c r="A72" s="86">
        <v>8</v>
      </c>
      <c r="B72" s="75" t="s">
        <v>207</v>
      </c>
      <c r="C72" s="87" t="s">
        <v>75</v>
      </c>
      <c r="D72" s="86" t="s">
        <v>21</v>
      </c>
      <c r="E72" s="39">
        <v>24</v>
      </c>
      <c r="F72" s="22">
        <f>'Ед. Цени'!F76</f>
        <v>1.78</v>
      </c>
      <c r="G72" s="176">
        <f t="shared" si="1"/>
        <v>42.72</v>
      </c>
    </row>
    <row r="73" spans="1:7" x14ac:dyDescent="0.2">
      <c r="A73" s="86">
        <v>9</v>
      </c>
      <c r="B73" s="75" t="s">
        <v>208</v>
      </c>
      <c r="C73" s="87" t="s">
        <v>76</v>
      </c>
      <c r="D73" s="75" t="s">
        <v>77</v>
      </c>
      <c r="E73" s="39">
        <v>35</v>
      </c>
      <c r="F73" s="22">
        <f>'Ед. Цени'!F77</f>
        <v>21.54</v>
      </c>
      <c r="G73" s="176">
        <f t="shared" si="1"/>
        <v>753.9</v>
      </c>
    </row>
    <row r="74" spans="1:7" x14ac:dyDescent="0.2">
      <c r="A74" s="86">
        <v>10</v>
      </c>
      <c r="B74" s="75" t="s">
        <v>209</v>
      </c>
      <c r="C74" s="87" t="s">
        <v>78</v>
      </c>
      <c r="D74" s="75" t="s">
        <v>79</v>
      </c>
      <c r="E74" s="39">
        <v>100</v>
      </c>
      <c r="F74" s="22">
        <f>'Ед. Цени'!F78</f>
        <v>6.93</v>
      </c>
      <c r="G74" s="176">
        <f t="shared" si="1"/>
        <v>693</v>
      </c>
    </row>
    <row r="75" spans="1:7" x14ac:dyDescent="0.2">
      <c r="A75" s="86">
        <v>11</v>
      </c>
      <c r="B75" s="75" t="s">
        <v>210</v>
      </c>
      <c r="C75" s="87" t="s">
        <v>80</v>
      </c>
      <c r="D75" s="75" t="s">
        <v>79</v>
      </c>
      <c r="E75" s="39">
        <v>100</v>
      </c>
      <c r="F75" s="22">
        <f>'Ед. Цени'!F79</f>
        <v>27.54</v>
      </c>
      <c r="G75" s="176">
        <f t="shared" si="1"/>
        <v>2754</v>
      </c>
    </row>
    <row r="76" spans="1:7" x14ac:dyDescent="0.2">
      <c r="A76" s="86">
        <v>12</v>
      </c>
      <c r="B76" s="75" t="s">
        <v>211</v>
      </c>
      <c r="C76" s="87" t="s">
        <v>81</v>
      </c>
      <c r="D76" s="86" t="s">
        <v>19</v>
      </c>
      <c r="E76" s="39">
        <v>56.000000000000007</v>
      </c>
      <c r="F76" s="22">
        <f>'Ед. Цени'!F80</f>
        <v>7.88</v>
      </c>
      <c r="G76" s="176">
        <f t="shared" si="1"/>
        <v>441.28</v>
      </c>
    </row>
    <row r="77" spans="1:7" x14ac:dyDescent="0.2">
      <c r="A77" s="86">
        <v>13</v>
      </c>
      <c r="B77" s="75" t="s">
        <v>212</v>
      </c>
      <c r="C77" s="87" t="s">
        <v>82</v>
      </c>
      <c r="D77" s="86" t="s">
        <v>19</v>
      </c>
      <c r="E77" s="39">
        <v>56.000000000000007</v>
      </c>
      <c r="F77" s="22">
        <f>'Ед. Цени'!F81</f>
        <v>14.48</v>
      </c>
      <c r="G77" s="176">
        <f t="shared" si="1"/>
        <v>810.88</v>
      </c>
    </row>
    <row r="78" spans="1:7" x14ac:dyDescent="0.2">
      <c r="A78" s="86">
        <v>14</v>
      </c>
      <c r="B78" s="75" t="s">
        <v>213</v>
      </c>
      <c r="C78" s="87" t="s">
        <v>83</v>
      </c>
      <c r="D78" s="86" t="s">
        <v>19</v>
      </c>
      <c r="E78" s="39">
        <v>455</v>
      </c>
      <c r="F78" s="22">
        <f>'Ед. Цени'!F82</f>
        <v>11.72</v>
      </c>
      <c r="G78" s="176">
        <f t="shared" si="1"/>
        <v>5332.6</v>
      </c>
    </row>
    <row r="79" spans="1:7" x14ac:dyDescent="0.2">
      <c r="A79" s="86">
        <v>15</v>
      </c>
      <c r="B79" s="75" t="s">
        <v>214</v>
      </c>
      <c r="C79" s="87" t="s">
        <v>84</v>
      </c>
      <c r="D79" s="86" t="s">
        <v>19</v>
      </c>
      <c r="E79" s="39">
        <v>600</v>
      </c>
      <c r="F79" s="22">
        <f>'Ед. Цени'!F83</f>
        <v>1.89</v>
      </c>
      <c r="G79" s="176">
        <f t="shared" si="1"/>
        <v>1134</v>
      </c>
    </row>
    <row r="80" spans="1:7" x14ac:dyDescent="0.2">
      <c r="A80" s="86">
        <v>16</v>
      </c>
      <c r="B80" s="75" t="s">
        <v>215</v>
      </c>
      <c r="C80" s="87" t="s">
        <v>85</v>
      </c>
      <c r="D80" s="86" t="s">
        <v>77</v>
      </c>
      <c r="E80" s="39">
        <v>72</v>
      </c>
      <c r="F80" s="22">
        <f>'Ед. Цени'!F84</f>
        <v>134.12</v>
      </c>
      <c r="G80" s="176">
        <f t="shared" si="1"/>
        <v>9656.64</v>
      </c>
    </row>
    <row r="81" spans="1:7" x14ac:dyDescent="0.2">
      <c r="A81" s="66"/>
      <c r="B81" s="119"/>
      <c r="C81" s="42"/>
      <c r="D81" s="35"/>
      <c r="E81" s="36"/>
      <c r="F81" s="35"/>
      <c r="G81" s="172"/>
    </row>
    <row r="82" spans="1:7" ht="12.75" thickBot="1" x14ac:dyDescent="0.25">
      <c r="A82" s="78"/>
      <c r="B82" s="122"/>
      <c r="C82" s="47" t="s">
        <v>86</v>
      </c>
      <c r="D82" s="48"/>
      <c r="E82" s="49"/>
      <c r="F82" s="48"/>
      <c r="G82" s="177">
        <f>SUM(G65:G80)</f>
        <v>23437.08</v>
      </c>
    </row>
    <row r="83" spans="1:7" x14ac:dyDescent="0.2">
      <c r="A83" s="90"/>
      <c r="B83" s="126"/>
      <c r="C83" s="91" t="s">
        <v>87</v>
      </c>
      <c r="D83" s="92"/>
      <c r="E83" s="93"/>
      <c r="F83" s="92"/>
      <c r="G83" s="178">
        <f>SUM(G63+G82)</f>
        <v>49687.28</v>
      </c>
    </row>
    <row r="84" spans="1:7" x14ac:dyDescent="0.2">
      <c r="A84" s="94"/>
      <c r="B84" s="127"/>
      <c r="C84" s="95" t="s">
        <v>137</v>
      </c>
      <c r="D84" s="96"/>
      <c r="E84" s="97"/>
      <c r="F84" s="96"/>
      <c r="G84" s="179">
        <f>+G83*0.2</f>
        <v>9937.4560000000001</v>
      </c>
    </row>
    <row r="85" spans="1:7" ht="12.75" thickBot="1" x14ac:dyDescent="0.25">
      <c r="A85" s="98"/>
      <c r="B85" s="128"/>
      <c r="C85" s="99" t="s">
        <v>136</v>
      </c>
      <c r="D85" s="100"/>
      <c r="E85" s="101"/>
      <c r="F85" s="100"/>
      <c r="G85" s="180">
        <f>+G84+G83</f>
        <v>59624.735999999997</v>
      </c>
    </row>
  </sheetData>
  <autoFilter ref="A11:G85"/>
  <mergeCells count="11">
    <mergeCell ref="A1:G1"/>
    <mergeCell ref="A12:D12"/>
    <mergeCell ref="A64:D64"/>
    <mergeCell ref="A2:G2"/>
    <mergeCell ref="A4:G4"/>
    <mergeCell ref="A8:A10"/>
    <mergeCell ref="C8:C10"/>
    <mergeCell ref="D8:D10"/>
    <mergeCell ref="E8:E10"/>
    <mergeCell ref="F8:F10"/>
    <mergeCell ref="G8:G10"/>
  </mergeCells>
  <pageMargins left="0.7" right="0.7" top="0.75" bottom="0.75" header="0.3" footer="0.3"/>
  <pageSetup paperSize="9" scale="8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3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ht="12.75" x14ac:dyDescent="0.2">
      <c r="A2" s="282" t="s">
        <v>0</v>
      </c>
      <c r="B2" s="282"/>
      <c r="C2" s="282"/>
      <c r="D2" s="282"/>
      <c r="E2" s="282"/>
      <c r="F2" s="282"/>
      <c r="G2" s="282"/>
    </row>
    <row r="3" spans="1:7" ht="12.75" x14ac:dyDescent="0.2">
      <c r="A3" s="213"/>
      <c r="B3" s="213"/>
      <c r="C3" s="4"/>
      <c r="D3" s="4"/>
      <c r="E3" s="4"/>
      <c r="F3" s="5"/>
      <c r="G3" s="182"/>
    </row>
    <row r="4" spans="1:7" ht="15.75" x14ac:dyDescent="0.2">
      <c r="A4" s="283" t="s">
        <v>142</v>
      </c>
      <c r="B4" s="283"/>
      <c r="C4" s="283"/>
      <c r="D4" s="283"/>
      <c r="E4" s="283"/>
      <c r="F4" s="283"/>
      <c r="G4" s="283"/>
    </row>
    <row r="5" spans="1:7" ht="15.75" x14ac:dyDescent="0.2">
      <c r="A5" s="214"/>
      <c r="B5" s="214"/>
      <c r="C5" s="214"/>
      <c r="D5" s="214"/>
      <c r="E5" s="214"/>
      <c r="F5" s="214"/>
      <c r="G5" s="183"/>
    </row>
    <row r="6" spans="1:7" ht="15" thickBot="1" x14ac:dyDescent="0.25">
      <c r="A6" s="6"/>
      <c r="B6" s="6"/>
      <c r="C6" s="7"/>
      <c r="D6" s="7"/>
      <c r="E6" s="7"/>
      <c r="F6" s="8"/>
      <c r="G6" s="184"/>
    </row>
    <row r="7" spans="1:7" ht="12.75" thickTop="1" x14ac:dyDescent="0.2">
      <c r="A7" s="279" t="s">
        <v>9</v>
      </c>
      <c r="B7" s="129"/>
      <c r="C7" s="261" t="s">
        <v>10</v>
      </c>
      <c r="D7" s="261" t="s">
        <v>11</v>
      </c>
      <c r="E7" s="261" t="s">
        <v>12</v>
      </c>
      <c r="F7" s="261" t="s">
        <v>13</v>
      </c>
      <c r="G7" s="264" t="s">
        <v>14</v>
      </c>
    </row>
    <row r="8" spans="1:7" x14ac:dyDescent="0.2">
      <c r="A8" s="280"/>
      <c r="B8" s="130"/>
      <c r="C8" s="262"/>
      <c r="D8" s="262"/>
      <c r="E8" s="262"/>
      <c r="F8" s="262"/>
      <c r="G8" s="265"/>
    </row>
    <row r="9" spans="1:7" ht="12.75" thickBot="1" x14ac:dyDescent="0.25">
      <c r="A9" s="281"/>
      <c r="B9" s="131"/>
      <c r="C9" s="263"/>
      <c r="D9" s="263"/>
      <c r="E9" s="263"/>
      <c r="F9" s="263"/>
      <c r="G9" s="266"/>
    </row>
    <row r="10" spans="1:7" ht="12.75" thickTop="1" x14ac:dyDescent="0.2">
      <c r="A10" s="102">
        <v>1</v>
      </c>
      <c r="B10" s="132"/>
      <c r="C10" s="9">
        <v>2</v>
      </c>
      <c r="D10" s="9">
        <v>3</v>
      </c>
      <c r="E10" s="9">
        <v>4</v>
      </c>
      <c r="F10" s="141">
        <v>5</v>
      </c>
      <c r="G10" s="185">
        <v>6</v>
      </c>
    </row>
    <row r="11" spans="1:7" ht="14.25" x14ac:dyDescent="0.2">
      <c r="A11" s="276" t="s">
        <v>15</v>
      </c>
      <c r="B11" s="277"/>
      <c r="C11" s="277"/>
      <c r="D11" s="277"/>
      <c r="E11" s="1"/>
      <c r="F11" s="142"/>
      <c r="G11" s="186"/>
    </row>
    <row r="12" spans="1:7" x14ac:dyDescent="0.2">
      <c r="A12" s="103">
        <v>1</v>
      </c>
      <c r="B12" s="10" t="s">
        <v>152</v>
      </c>
      <c r="C12" s="11" t="s">
        <v>16</v>
      </c>
      <c r="D12" s="12" t="s">
        <v>17</v>
      </c>
      <c r="E12" s="13">
        <v>73.400000000000006</v>
      </c>
      <c r="F12" s="112">
        <f>'Ед. Цени'!F21</f>
        <v>3.53</v>
      </c>
      <c r="G12" s="174">
        <f>ROUND((E12*F12),2)</f>
        <v>259.10000000000002</v>
      </c>
    </row>
    <row r="13" spans="1:7" x14ac:dyDescent="0.2">
      <c r="A13" s="103">
        <v>2</v>
      </c>
      <c r="B13" s="10" t="s">
        <v>153</v>
      </c>
      <c r="C13" s="14" t="s">
        <v>18</v>
      </c>
      <c r="D13" s="15" t="s">
        <v>19</v>
      </c>
      <c r="E13" s="16">
        <v>51.38</v>
      </c>
      <c r="F13" s="112">
        <f>'Ед. Цени'!F22</f>
        <v>6.89</v>
      </c>
      <c r="G13" s="174">
        <f t="shared" ref="G13:G59" si="0">ROUND((E13*F13),2)</f>
        <v>354.01</v>
      </c>
    </row>
    <row r="14" spans="1:7" x14ac:dyDescent="0.2">
      <c r="A14" s="103">
        <v>3</v>
      </c>
      <c r="B14" s="10" t="s">
        <v>154</v>
      </c>
      <c r="C14" s="14" t="s">
        <v>20</v>
      </c>
      <c r="D14" s="12" t="s">
        <v>21</v>
      </c>
      <c r="E14" s="13">
        <v>48.322890000000001</v>
      </c>
      <c r="F14" s="69">
        <f>'Ед. Цени'!F23</f>
        <v>5.5</v>
      </c>
      <c r="G14" s="174">
        <f t="shared" si="0"/>
        <v>265.77999999999997</v>
      </c>
    </row>
    <row r="15" spans="1:7" x14ac:dyDescent="0.2">
      <c r="A15" s="103">
        <v>4</v>
      </c>
      <c r="B15" s="10" t="s">
        <v>236</v>
      </c>
      <c r="C15" s="14" t="s">
        <v>22</v>
      </c>
      <c r="D15" s="12" t="s">
        <v>21</v>
      </c>
      <c r="E15" s="13">
        <v>20.709810000000001</v>
      </c>
      <c r="F15" s="112">
        <f>'Ед. Цени'!F85</f>
        <v>24.35</v>
      </c>
      <c r="G15" s="174">
        <f t="shared" si="0"/>
        <v>504.28</v>
      </c>
    </row>
    <row r="16" spans="1:7" ht="24" x14ac:dyDescent="0.2">
      <c r="A16" s="103">
        <v>5</v>
      </c>
      <c r="B16" s="10" t="s">
        <v>156</v>
      </c>
      <c r="C16" s="11" t="s">
        <v>23</v>
      </c>
      <c r="D16" s="12" t="s">
        <v>21</v>
      </c>
      <c r="E16" s="13">
        <v>20.709810000000001</v>
      </c>
      <c r="F16" s="69">
        <f>'Ед. Цени'!F25</f>
        <v>12.47</v>
      </c>
      <c r="G16" s="174">
        <f t="shared" si="0"/>
        <v>258.25</v>
      </c>
    </row>
    <row r="17" spans="1:7" x14ac:dyDescent="0.2">
      <c r="A17" s="103">
        <v>6</v>
      </c>
      <c r="B17" s="10" t="s">
        <v>157</v>
      </c>
      <c r="C17" s="11" t="s">
        <v>24</v>
      </c>
      <c r="D17" s="12" t="s">
        <v>21</v>
      </c>
      <c r="E17" s="17">
        <v>69.032700000000006</v>
      </c>
      <c r="F17" s="69">
        <f>'Ед. Цени'!F26</f>
        <v>2.79</v>
      </c>
      <c r="G17" s="174">
        <f t="shared" si="0"/>
        <v>192.6</v>
      </c>
    </row>
    <row r="18" spans="1:7" x14ac:dyDescent="0.2">
      <c r="A18" s="103">
        <v>7</v>
      </c>
      <c r="B18" s="10" t="s">
        <v>158</v>
      </c>
      <c r="C18" s="11" t="s">
        <v>25</v>
      </c>
      <c r="D18" s="12" t="s">
        <v>21</v>
      </c>
      <c r="E18" s="17">
        <v>69.032700000000006</v>
      </c>
      <c r="F18" s="69">
        <f>'Ед. Цени'!F27</f>
        <v>1.98</v>
      </c>
      <c r="G18" s="174">
        <f t="shared" si="0"/>
        <v>136.68</v>
      </c>
    </row>
    <row r="19" spans="1:7" x14ac:dyDescent="0.2">
      <c r="A19" s="103">
        <v>8</v>
      </c>
      <c r="B19" s="10" t="s">
        <v>159</v>
      </c>
      <c r="C19" s="11" t="s">
        <v>26</v>
      </c>
      <c r="D19" s="12" t="s">
        <v>21</v>
      </c>
      <c r="E19" s="17">
        <v>69.032700000000006</v>
      </c>
      <c r="F19" s="69">
        <f>'Ед. Цени'!F28</f>
        <v>2.79</v>
      </c>
      <c r="G19" s="174">
        <f t="shared" si="0"/>
        <v>192.6</v>
      </c>
    </row>
    <row r="20" spans="1:7" x14ac:dyDescent="0.2">
      <c r="A20" s="103">
        <v>9</v>
      </c>
      <c r="B20" s="10" t="s">
        <v>160</v>
      </c>
      <c r="C20" s="18" t="s">
        <v>27</v>
      </c>
      <c r="D20" s="12" t="s">
        <v>19</v>
      </c>
      <c r="E20" s="17">
        <v>125.51400000000001</v>
      </c>
      <c r="F20" s="69">
        <f>'Ед. Цени'!F29</f>
        <v>2.42</v>
      </c>
      <c r="G20" s="174">
        <f t="shared" si="0"/>
        <v>303.74</v>
      </c>
    </row>
    <row r="21" spans="1:7" x14ac:dyDescent="0.2">
      <c r="A21" s="103">
        <v>10</v>
      </c>
      <c r="B21" s="10" t="s">
        <v>161</v>
      </c>
      <c r="C21" s="11" t="s">
        <v>28</v>
      </c>
      <c r="D21" s="12" t="s">
        <v>21</v>
      </c>
      <c r="E21" s="17">
        <v>20.185000000000002</v>
      </c>
      <c r="F21" s="112">
        <f>'Ед. Цени'!F30</f>
        <v>19.04</v>
      </c>
      <c r="G21" s="174">
        <f t="shared" si="0"/>
        <v>384.32</v>
      </c>
    </row>
    <row r="22" spans="1:7" x14ac:dyDescent="0.2">
      <c r="A22" s="103">
        <v>11</v>
      </c>
      <c r="B22" s="10" t="s">
        <v>162</v>
      </c>
      <c r="C22" s="11" t="s">
        <v>29</v>
      </c>
      <c r="D22" s="12" t="s">
        <v>21</v>
      </c>
      <c r="E22" s="17">
        <v>20.185000000000002</v>
      </c>
      <c r="F22" s="112">
        <f>'Ед. Цени'!F31</f>
        <v>6.14</v>
      </c>
      <c r="G22" s="174">
        <f t="shared" si="0"/>
        <v>123.94</v>
      </c>
    </row>
    <row r="23" spans="1:7" x14ac:dyDescent="0.2">
      <c r="A23" s="103">
        <v>12</v>
      </c>
      <c r="B23" s="10" t="s">
        <v>163</v>
      </c>
      <c r="C23" s="14" t="s">
        <v>30</v>
      </c>
      <c r="D23" s="12" t="s">
        <v>21</v>
      </c>
      <c r="E23" s="17">
        <v>4.0370000000000008</v>
      </c>
      <c r="F23" s="112">
        <f>'Ед. Цени'!F32</f>
        <v>8.17</v>
      </c>
      <c r="G23" s="174">
        <f t="shared" si="0"/>
        <v>32.979999999999997</v>
      </c>
    </row>
    <row r="24" spans="1:7" x14ac:dyDescent="0.2">
      <c r="A24" s="103">
        <v>13</v>
      </c>
      <c r="B24" s="10" t="s">
        <v>164</v>
      </c>
      <c r="C24" s="14" t="s">
        <v>31</v>
      </c>
      <c r="D24" s="12" t="s">
        <v>21</v>
      </c>
      <c r="E24" s="17">
        <v>16.148000000000003</v>
      </c>
      <c r="F24" s="112">
        <f>'Ед. Цени'!F33</f>
        <v>4.75</v>
      </c>
      <c r="G24" s="174">
        <f t="shared" si="0"/>
        <v>76.7</v>
      </c>
    </row>
    <row r="25" spans="1:7" x14ac:dyDescent="0.2">
      <c r="A25" s="103">
        <v>14</v>
      </c>
      <c r="B25" s="10" t="s">
        <v>165</v>
      </c>
      <c r="C25" s="11" t="s">
        <v>32</v>
      </c>
      <c r="D25" s="12" t="s">
        <v>21</v>
      </c>
      <c r="E25" s="17">
        <v>20.185000000000002</v>
      </c>
      <c r="F25" s="112">
        <f>'Ед. Цени'!F34</f>
        <v>3.66</v>
      </c>
      <c r="G25" s="174">
        <f t="shared" si="0"/>
        <v>73.88</v>
      </c>
    </row>
    <row r="26" spans="1:7" x14ac:dyDescent="0.2">
      <c r="A26" s="103">
        <v>15</v>
      </c>
      <c r="B26" s="10" t="s">
        <v>166</v>
      </c>
      <c r="C26" s="11" t="s">
        <v>33</v>
      </c>
      <c r="D26" s="12" t="s">
        <v>21</v>
      </c>
      <c r="E26" s="17">
        <v>32.6997</v>
      </c>
      <c r="F26" s="112">
        <f>'Ед. Цени'!F35</f>
        <v>17.82</v>
      </c>
      <c r="G26" s="174">
        <f t="shared" si="0"/>
        <v>582.71</v>
      </c>
    </row>
    <row r="27" spans="1:7" x14ac:dyDescent="0.2">
      <c r="A27" s="103">
        <v>16</v>
      </c>
      <c r="B27" s="10" t="s">
        <v>167</v>
      </c>
      <c r="C27" s="11" t="s">
        <v>34</v>
      </c>
      <c r="D27" s="12" t="s">
        <v>21</v>
      </c>
      <c r="E27" s="17">
        <v>32.6997</v>
      </c>
      <c r="F27" s="112">
        <f>'Ед. Цени'!F36</f>
        <v>6.14</v>
      </c>
      <c r="G27" s="174">
        <f t="shared" si="0"/>
        <v>200.78</v>
      </c>
    </row>
    <row r="28" spans="1:7" x14ac:dyDescent="0.2">
      <c r="A28" s="103">
        <v>17</v>
      </c>
      <c r="B28" s="10" t="s">
        <v>168</v>
      </c>
      <c r="C28" s="11" t="s">
        <v>35</v>
      </c>
      <c r="D28" s="12" t="s">
        <v>21</v>
      </c>
      <c r="E28" s="17">
        <v>32.6997</v>
      </c>
      <c r="F28" s="112">
        <f>'Ед. Цени'!F37</f>
        <v>3.15</v>
      </c>
      <c r="G28" s="174">
        <f t="shared" si="0"/>
        <v>103</v>
      </c>
    </row>
    <row r="29" spans="1:7" x14ac:dyDescent="0.2">
      <c r="A29" s="103">
        <v>18</v>
      </c>
      <c r="B29" s="10" t="s">
        <v>169</v>
      </c>
      <c r="C29" s="14" t="s">
        <v>36</v>
      </c>
      <c r="D29" s="19" t="s">
        <v>19</v>
      </c>
      <c r="E29" s="16">
        <v>14.680000000000001</v>
      </c>
      <c r="F29" s="112">
        <f>'Ед. Цени'!F38</f>
        <v>1.85</v>
      </c>
      <c r="G29" s="174">
        <f t="shared" si="0"/>
        <v>27.16</v>
      </c>
    </row>
    <row r="30" spans="1:7" x14ac:dyDescent="0.2">
      <c r="A30" s="103">
        <v>19</v>
      </c>
      <c r="B30" s="10" t="s">
        <v>170</v>
      </c>
      <c r="C30" s="20" t="s">
        <v>37</v>
      </c>
      <c r="D30" s="19" t="s">
        <v>38</v>
      </c>
      <c r="E30" s="16">
        <v>0.36700000000000005</v>
      </c>
      <c r="F30" s="112">
        <f>'Ед. Цени'!F39</f>
        <v>44.73</v>
      </c>
      <c r="G30" s="174">
        <f t="shared" si="0"/>
        <v>16.420000000000002</v>
      </c>
    </row>
    <row r="31" spans="1:7" x14ac:dyDescent="0.2">
      <c r="A31" s="103">
        <v>20</v>
      </c>
      <c r="B31" s="10" t="s">
        <v>171</v>
      </c>
      <c r="C31" s="21" t="s">
        <v>39</v>
      </c>
      <c r="D31" s="12" t="s">
        <v>21</v>
      </c>
      <c r="E31" s="13">
        <v>5.1380000000000008</v>
      </c>
      <c r="F31" s="112">
        <f>'Ед. Цени'!F40</f>
        <v>3.09</v>
      </c>
      <c r="G31" s="174">
        <f t="shared" si="0"/>
        <v>15.88</v>
      </c>
    </row>
    <row r="32" spans="1:7" x14ac:dyDescent="0.2">
      <c r="A32" s="103">
        <v>21</v>
      </c>
      <c r="B32" s="10" t="s">
        <v>172</v>
      </c>
      <c r="C32" s="22" t="s">
        <v>40</v>
      </c>
      <c r="D32" s="83" t="s">
        <v>21</v>
      </c>
      <c r="E32" s="29">
        <v>5.1380000000000008</v>
      </c>
      <c r="F32" s="112">
        <f>'Ед. Цени'!F41</f>
        <v>2.2999999999999998</v>
      </c>
      <c r="G32" s="174">
        <f t="shared" si="0"/>
        <v>11.82</v>
      </c>
    </row>
    <row r="33" spans="1:7" x14ac:dyDescent="0.2">
      <c r="A33" s="103">
        <v>22</v>
      </c>
      <c r="B33" s="10" t="s">
        <v>173</v>
      </c>
      <c r="C33" s="11" t="s">
        <v>101</v>
      </c>
      <c r="D33" s="12" t="s">
        <v>17</v>
      </c>
      <c r="E33" s="29">
        <v>29.7</v>
      </c>
      <c r="F33" s="112">
        <f>'Ед. Цени'!F42</f>
        <v>30.97</v>
      </c>
      <c r="G33" s="174">
        <f t="shared" si="0"/>
        <v>919.81</v>
      </c>
    </row>
    <row r="34" spans="1:7" x14ac:dyDescent="0.2">
      <c r="A34" s="103">
        <v>23</v>
      </c>
      <c r="B34" s="10" t="s">
        <v>175</v>
      </c>
      <c r="C34" s="11" t="s">
        <v>93</v>
      </c>
      <c r="D34" s="83" t="s">
        <v>17</v>
      </c>
      <c r="E34" s="13">
        <v>7</v>
      </c>
      <c r="F34" s="112">
        <f>'Ед. Цени'!F44</f>
        <v>7.79</v>
      </c>
      <c r="G34" s="174">
        <f t="shared" si="0"/>
        <v>54.53</v>
      </c>
    </row>
    <row r="35" spans="1:7" ht="12.75" x14ac:dyDescent="0.2">
      <c r="A35" s="103">
        <v>24</v>
      </c>
      <c r="B35" s="10" t="s">
        <v>177</v>
      </c>
      <c r="C35" s="23" t="s">
        <v>103</v>
      </c>
      <c r="D35" s="12" t="s">
        <v>38</v>
      </c>
      <c r="E35" s="26">
        <v>1</v>
      </c>
      <c r="F35" s="112">
        <f>'Ед. Цени'!F46</f>
        <v>72.23</v>
      </c>
      <c r="G35" s="174">
        <f t="shared" si="0"/>
        <v>72.23</v>
      </c>
    </row>
    <row r="36" spans="1:7" ht="12.75" x14ac:dyDescent="0.2">
      <c r="A36" s="103">
        <v>25</v>
      </c>
      <c r="B36" s="10" t="s">
        <v>176</v>
      </c>
      <c r="C36" s="23" t="s">
        <v>44</v>
      </c>
      <c r="D36" s="12" t="s">
        <v>38</v>
      </c>
      <c r="E36" s="23">
        <v>4</v>
      </c>
      <c r="F36" s="112">
        <f>'Ед. Цени'!F45</f>
        <v>14.87</v>
      </c>
      <c r="G36" s="174">
        <f t="shared" si="0"/>
        <v>59.48</v>
      </c>
    </row>
    <row r="37" spans="1:7" ht="12.75" x14ac:dyDescent="0.2">
      <c r="A37" s="103">
        <v>26</v>
      </c>
      <c r="B37" s="103" t="s">
        <v>239</v>
      </c>
      <c r="C37" s="23" t="s">
        <v>111</v>
      </c>
      <c r="D37" s="12" t="s">
        <v>38</v>
      </c>
      <c r="E37" s="23">
        <v>1</v>
      </c>
      <c r="F37" s="112">
        <f>'Ед. Цени'!F86</f>
        <v>49.94</v>
      </c>
      <c r="G37" s="174">
        <f t="shared" si="0"/>
        <v>49.94</v>
      </c>
    </row>
    <row r="38" spans="1:7" ht="12.75" x14ac:dyDescent="0.2">
      <c r="A38" s="103">
        <v>27</v>
      </c>
      <c r="B38" s="103" t="s">
        <v>238</v>
      </c>
      <c r="C38" s="23" t="s">
        <v>112</v>
      </c>
      <c r="D38" s="12" t="s">
        <v>38</v>
      </c>
      <c r="E38" s="23">
        <v>3</v>
      </c>
      <c r="F38" s="112">
        <f>'Ед. Цени'!F89</f>
        <v>16.190000000000001</v>
      </c>
      <c r="G38" s="174">
        <f t="shared" si="0"/>
        <v>48.57</v>
      </c>
    </row>
    <row r="39" spans="1:7" ht="12.75" x14ac:dyDescent="0.2">
      <c r="A39" s="103">
        <v>28</v>
      </c>
      <c r="B39" s="10" t="s">
        <v>179</v>
      </c>
      <c r="C39" s="23" t="s">
        <v>105</v>
      </c>
      <c r="D39" s="12" t="s">
        <v>38</v>
      </c>
      <c r="E39" s="25">
        <v>6.4749999999999996</v>
      </c>
      <c r="F39" s="112">
        <f>'Ед. Цени'!F48</f>
        <v>18.670000000000002</v>
      </c>
      <c r="G39" s="174">
        <f t="shared" si="0"/>
        <v>120.89</v>
      </c>
    </row>
    <row r="40" spans="1:7" ht="12.75" x14ac:dyDescent="0.2">
      <c r="A40" s="103">
        <v>29</v>
      </c>
      <c r="B40" s="10" t="s">
        <v>181</v>
      </c>
      <c r="C40" s="24" t="s">
        <v>90</v>
      </c>
      <c r="D40" s="12" t="s">
        <v>38</v>
      </c>
      <c r="E40" s="24">
        <v>1</v>
      </c>
      <c r="F40" s="112">
        <f>'Ед. Цени'!F50</f>
        <v>15.9</v>
      </c>
      <c r="G40" s="174">
        <f t="shared" si="0"/>
        <v>15.9</v>
      </c>
    </row>
    <row r="41" spans="1:7" ht="12.75" x14ac:dyDescent="0.2">
      <c r="A41" s="103">
        <v>30</v>
      </c>
      <c r="B41" s="103" t="s">
        <v>240</v>
      </c>
      <c r="C41" s="24" t="s">
        <v>113</v>
      </c>
      <c r="D41" s="12" t="s">
        <v>38</v>
      </c>
      <c r="E41" s="23">
        <v>2</v>
      </c>
      <c r="F41" s="112">
        <f>'Ед. Цени'!F90</f>
        <v>52.01</v>
      </c>
      <c r="G41" s="174">
        <f t="shared" si="0"/>
        <v>104.02</v>
      </c>
    </row>
    <row r="42" spans="1:7" ht="12.75" x14ac:dyDescent="0.2">
      <c r="A42" s="103">
        <v>31</v>
      </c>
      <c r="B42" s="103" t="s">
        <v>241</v>
      </c>
      <c r="C42" s="24" t="s">
        <v>114</v>
      </c>
      <c r="D42" s="12" t="s">
        <v>38</v>
      </c>
      <c r="E42" s="23">
        <v>1</v>
      </c>
      <c r="F42" s="112">
        <f>'Ед. Цени'!F91</f>
        <v>39.909999999999997</v>
      </c>
      <c r="G42" s="174">
        <f t="shared" si="0"/>
        <v>39.909999999999997</v>
      </c>
    </row>
    <row r="43" spans="1:7" ht="12.75" x14ac:dyDescent="0.2">
      <c r="A43" s="103">
        <v>32</v>
      </c>
      <c r="B43" s="10" t="s">
        <v>182</v>
      </c>
      <c r="C43" s="24" t="s">
        <v>89</v>
      </c>
      <c r="D43" s="12" t="s">
        <v>38</v>
      </c>
      <c r="E43" s="24">
        <v>1</v>
      </c>
      <c r="F43" s="112">
        <f>'Ед. Цени'!F51</f>
        <v>18.32</v>
      </c>
      <c r="G43" s="174">
        <f t="shared" si="0"/>
        <v>18.32</v>
      </c>
    </row>
    <row r="44" spans="1:7" ht="12.75" x14ac:dyDescent="0.2">
      <c r="A44" s="103">
        <v>33</v>
      </c>
      <c r="B44" s="103" t="s">
        <v>242</v>
      </c>
      <c r="C44" s="24" t="s">
        <v>115</v>
      </c>
      <c r="D44" s="12" t="s">
        <v>38</v>
      </c>
      <c r="E44" s="23">
        <v>2</v>
      </c>
      <c r="F44" s="112">
        <f>'Ед. Цени'!F92</f>
        <v>51.5</v>
      </c>
      <c r="G44" s="174">
        <f t="shared" si="0"/>
        <v>103</v>
      </c>
    </row>
    <row r="45" spans="1:7" ht="12.75" x14ac:dyDescent="0.2">
      <c r="A45" s="103">
        <v>34</v>
      </c>
      <c r="B45" s="103" t="s">
        <v>243</v>
      </c>
      <c r="C45" s="24" t="s">
        <v>116</v>
      </c>
      <c r="D45" s="12" t="s">
        <v>38</v>
      </c>
      <c r="E45" s="23">
        <v>1</v>
      </c>
      <c r="F45" s="112">
        <f>'Ед. Цени'!F93</f>
        <v>167.64</v>
      </c>
      <c r="G45" s="174">
        <f t="shared" si="0"/>
        <v>167.64</v>
      </c>
    </row>
    <row r="46" spans="1:7" ht="12.75" x14ac:dyDescent="0.2">
      <c r="A46" s="103">
        <v>35</v>
      </c>
      <c r="B46" s="103" t="s">
        <v>244</v>
      </c>
      <c r="C46" s="24" t="s">
        <v>117</v>
      </c>
      <c r="D46" s="12" t="s">
        <v>38</v>
      </c>
      <c r="E46" s="23">
        <v>1</v>
      </c>
      <c r="F46" s="112">
        <f>'Ед. Цени'!F94</f>
        <v>58.5</v>
      </c>
      <c r="G46" s="174">
        <f t="shared" si="0"/>
        <v>58.5</v>
      </c>
    </row>
    <row r="47" spans="1:7" ht="12.75" x14ac:dyDescent="0.2">
      <c r="A47" s="103">
        <v>36</v>
      </c>
      <c r="B47" s="10" t="s">
        <v>188</v>
      </c>
      <c r="C47" s="24" t="s">
        <v>88</v>
      </c>
      <c r="D47" s="12" t="s">
        <v>38</v>
      </c>
      <c r="E47" s="24">
        <v>1</v>
      </c>
      <c r="F47" s="73">
        <f>'Ед. Цени'!F57</f>
        <v>132.99</v>
      </c>
      <c r="G47" s="174">
        <f t="shared" si="0"/>
        <v>132.99</v>
      </c>
    </row>
    <row r="48" spans="1:7" ht="12.75" x14ac:dyDescent="0.2">
      <c r="A48" s="103">
        <v>37</v>
      </c>
      <c r="B48" s="103" t="s">
        <v>245</v>
      </c>
      <c r="C48" s="24" t="s">
        <v>118</v>
      </c>
      <c r="D48" s="12" t="s">
        <v>38</v>
      </c>
      <c r="E48" s="23">
        <v>2</v>
      </c>
      <c r="F48" s="112">
        <f>'Ед. Цени'!F95</f>
        <v>47.92</v>
      </c>
      <c r="G48" s="174">
        <f t="shared" si="0"/>
        <v>95.84</v>
      </c>
    </row>
    <row r="49" spans="1:7" ht="12.75" x14ac:dyDescent="0.2">
      <c r="A49" s="103">
        <v>38</v>
      </c>
      <c r="B49" s="103" t="s">
        <v>246</v>
      </c>
      <c r="C49" s="11" t="s">
        <v>119</v>
      </c>
      <c r="D49" s="12" t="s">
        <v>38</v>
      </c>
      <c r="E49" s="23">
        <v>2</v>
      </c>
      <c r="F49" s="112">
        <f>'Ед. Цени'!F96</f>
        <v>47.92</v>
      </c>
      <c r="G49" s="174">
        <f t="shared" si="0"/>
        <v>95.84</v>
      </c>
    </row>
    <row r="50" spans="1:7" x14ac:dyDescent="0.2">
      <c r="A50" s="103">
        <v>39</v>
      </c>
      <c r="B50" s="10" t="s">
        <v>190</v>
      </c>
      <c r="C50" s="11" t="s">
        <v>56</v>
      </c>
      <c r="D50" s="12" t="s">
        <v>17</v>
      </c>
      <c r="E50" s="13">
        <v>36.700000000000003</v>
      </c>
      <c r="F50" s="112">
        <f>'Ед. Цени'!F59</f>
        <v>1.78</v>
      </c>
      <c r="G50" s="174">
        <f t="shared" si="0"/>
        <v>65.33</v>
      </c>
    </row>
    <row r="51" spans="1:7" x14ac:dyDescent="0.2">
      <c r="A51" s="103">
        <v>40</v>
      </c>
      <c r="B51" s="10" t="s">
        <v>191</v>
      </c>
      <c r="C51" s="18" t="s">
        <v>57</v>
      </c>
      <c r="D51" s="12" t="s">
        <v>17</v>
      </c>
      <c r="E51" s="13">
        <v>36.700000000000003</v>
      </c>
      <c r="F51" s="112">
        <f>'Ед. Цени'!F60</f>
        <v>1.61</v>
      </c>
      <c r="G51" s="174">
        <f t="shared" si="0"/>
        <v>59.09</v>
      </c>
    </row>
    <row r="52" spans="1:7" x14ac:dyDescent="0.2">
      <c r="A52" s="103">
        <v>41</v>
      </c>
      <c r="B52" s="10" t="s">
        <v>192</v>
      </c>
      <c r="C52" s="27" t="s">
        <v>58</v>
      </c>
      <c r="D52" s="12" t="s">
        <v>38</v>
      </c>
      <c r="E52" s="13">
        <v>2</v>
      </c>
      <c r="F52" s="112">
        <f>'Ед. Цени'!F61</f>
        <v>10.45</v>
      </c>
      <c r="G52" s="174">
        <f t="shared" si="0"/>
        <v>20.9</v>
      </c>
    </row>
    <row r="53" spans="1:7" x14ac:dyDescent="0.2">
      <c r="A53" s="103">
        <v>42</v>
      </c>
      <c r="B53" s="10" t="s">
        <v>193</v>
      </c>
      <c r="C53" s="28" t="s">
        <v>59</v>
      </c>
      <c r="D53" s="12" t="s">
        <v>38</v>
      </c>
      <c r="E53" s="13">
        <v>1</v>
      </c>
      <c r="F53" s="112">
        <f>'Ед. Цени'!F62</f>
        <v>18.52</v>
      </c>
      <c r="G53" s="174">
        <f t="shared" si="0"/>
        <v>18.52</v>
      </c>
    </row>
    <row r="54" spans="1:7" x14ac:dyDescent="0.2">
      <c r="A54" s="103">
        <v>43</v>
      </c>
      <c r="B54" s="10" t="s">
        <v>195</v>
      </c>
      <c r="C54" s="11" t="s">
        <v>61</v>
      </c>
      <c r="D54" s="12" t="s">
        <v>17</v>
      </c>
      <c r="E54" s="13">
        <v>2</v>
      </c>
      <c r="F54" s="139">
        <f>'Ед. Цени'!F64</f>
        <v>8.9499999999999993</v>
      </c>
      <c r="G54" s="174">
        <f t="shared" si="0"/>
        <v>17.899999999999999</v>
      </c>
    </row>
    <row r="55" spans="1:7" x14ac:dyDescent="0.2">
      <c r="A55" s="103">
        <v>44</v>
      </c>
      <c r="B55" s="10" t="s">
        <v>196</v>
      </c>
      <c r="C55" s="11" t="s">
        <v>62</v>
      </c>
      <c r="D55" s="12" t="s">
        <v>21</v>
      </c>
      <c r="E55" s="13">
        <v>20.552000000000003</v>
      </c>
      <c r="F55" s="112">
        <f>'Ед. Цени'!F65</f>
        <v>18.940000000000001</v>
      </c>
      <c r="G55" s="174">
        <f t="shared" si="0"/>
        <v>389.25</v>
      </c>
    </row>
    <row r="56" spans="1:7" x14ac:dyDescent="0.2">
      <c r="A56" s="103">
        <v>45</v>
      </c>
      <c r="B56" s="10" t="s">
        <v>197</v>
      </c>
      <c r="C56" s="11" t="s">
        <v>63</v>
      </c>
      <c r="D56" s="12" t="s">
        <v>19</v>
      </c>
      <c r="E56" s="13">
        <v>51.38</v>
      </c>
      <c r="F56" s="112">
        <f>'Ед. Цени'!F66</f>
        <v>1.77</v>
      </c>
      <c r="G56" s="174">
        <f t="shared" si="0"/>
        <v>90.94</v>
      </c>
    </row>
    <row r="57" spans="1:7" x14ac:dyDescent="0.2">
      <c r="A57" s="103">
        <v>46</v>
      </c>
      <c r="B57" s="10" t="s">
        <v>198</v>
      </c>
      <c r="C57" s="11" t="s">
        <v>134</v>
      </c>
      <c r="D57" s="12" t="s">
        <v>64</v>
      </c>
      <c r="E57" s="13">
        <v>6.1656000000000004</v>
      </c>
      <c r="F57" s="112">
        <f>'Ед. Цени'!F67</f>
        <v>125.37</v>
      </c>
      <c r="G57" s="174">
        <f t="shared" si="0"/>
        <v>772.98</v>
      </c>
    </row>
    <row r="58" spans="1:7" x14ac:dyDescent="0.2">
      <c r="A58" s="103">
        <v>47</v>
      </c>
      <c r="B58" s="10" t="s">
        <v>199</v>
      </c>
      <c r="C58" s="11" t="s">
        <v>65</v>
      </c>
      <c r="D58" s="12" t="s">
        <v>17</v>
      </c>
      <c r="E58" s="13">
        <v>36.700000000000003</v>
      </c>
      <c r="F58" s="112">
        <f>'Ед. Цени'!F68</f>
        <v>0.92</v>
      </c>
      <c r="G58" s="174">
        <f t="shared" si="0"/>
        <v>33.76</v>
      </c>
    </row>
    <row r="59" spans="1:7" ht="12.75" thickBot="1" x14ac:dyDescent="0.25">
      <c r="A59" s="103">
        <v>48</v>
      </c>
      <c r="B59" s="10" t="s">
        <v>200</v>
      </c>
      <c r="C59" s="30" t="s">
        <v>66</v>
      </c>
      <c r="D59" s="31" t="s">
        <v>17</v>
      </c>
      <c r="E59" s="13">
        <v>36.700000000000003</v>
      </c>
      <c r="F59" s="112">
        <f>'Ед. Цени'!F69</f>
        <v>1.41</v>
      </c>
      <c r="G59" s="174">
        <f t="shared" si="0"/>
        <v>51.75</v>
      </c>
    </row>
    <row r="60" spans="1:7" ht="15" thickTop="1" x14ac:dyDescent="0.2">
      <c r="A60" s="104"/>
      <c r="B60" s="133"/>
      <c r="C60" s="32" t="s">
        <v>67</v>
      </c>
      <c r="D60" s="33"/>
      <c r="E60" s="34"/>
      <c r="F60" s="33"/>
      <c r="G60" s="175">
        <f>SUM(G12:G59)</f>
        <v>7794.4599999999991</v>
      </c>
    </row>
    <row r="61" spans="1:7" ht="14.25" x14ac:dyDescent="0.2">
      <c r="A61" s="276" t="s">
        <v>68</v>
      </c>
      <c r="B61" s="277"/>
      <c r="C61" s="277"/>
      <c r="D61" s="278"/>
      <c r="E61" s="36"/>
      <c r="F61" s="35"/>
      <c r="G61" s="172"/>
    </row>
    <row r="62" spans="1:7" ht="14.25" x14ac:dyDescent="0.2">
      <c r="A62" s="37">
        <v>1</v>
      </c>
      <c r="B62" s="75" t="s">
        <v>201</v>
      </c>
      <c r="C62" s="38" t="s">
        <v>69</v>
      </c>
      <c r="D62" s="37" t="s">
        <v>21</v>
      </c>
      <c r="E62" s="39">
        <v>6.09</v>
      </c>
      <c r="F62" s="22">
        <f>'Ед. Цени'!F70</f>
        <v>7.8</v>
      </c>
      <c r="G62" s="176">
        <f>ROUND((E62*F62),2)</f>
        <v>47.5</v>
      </c>
    </row>
    <row r="63" spans="1:7" ht="14.25" x14ac:dyDescent="0.2">
      <c r="A63" s="37">
        <v>2</v>
      </c>
      <c r="B63" s="75" t="s">
        <v>202</v>
      </c>
      <c r="C63" s="38" t="s">
        <v>70</v>
      </c>
      <c r="D63" s="37" t="s">
        <v>21</v>
      </c>
      <c r="E63" s="39">
        <v>2.6099999999999994</v>
      </c>
      <c r="F63" s="22">
        <f>'Ед. Цени'!F71</f>
        <v>16.63</v>
      </c>
      <c r="G63" s="176">
        <f t="shared" ref="G63:G77" si="1">ROUND((E63*F63),2)</f>
        <v>43.4</v>
      </c>
    </row>
    <row r="64" spans="1:7" ht="14.25" x14ac:dyDescent="0.2">
      <c r="A64" s="37">
        <v>3</v>
      </c>
      <c r="B64" s="75" t="s">
        <v>203</v>
      </c>
      <c r="C64" s="40" t="s">
        <v>71</v>
      </c>
      <c r="D64" s="37" t="s">
        <v>19</v>
      </c>
      <c r="E64" s="39">
        <v>14.399999999999999</v>
      </c>
      <c r="F64" s="22">
        <f>'Ед. Цени'!F72</f>
        <v>6.09</v>
      </c>
      <c r="G64" s="176">
        <f t="shared" si="1"/>
        <v>87.7</v>
      </c>
    </row>
    <row r="65" spans="1:7" ht="14.25" x14ac:dyDescent="0.2">
      <c r="A65" s="37">
        <v>4</v>
      </c>
      <c r="B65" s="75" t="s">
        <v>204</v>
      </c>
      <c r="C65" s="38" t="s">
        <v>72</v>
      </c>
      <c r="D65" s="37" t="s">
        <v>21</v>
      </c>
      <c r="E65" s="39">
        <v>3.13</v>
      </c>
      <c r="F65" s="22">
        <f>'Ед. Цени'!F73</f>
        <v>1.64</v>
      </c>
      <c r="G65" s="176">
        <f t="shared" si="1"/>
        <v>5.13</v>
      </c>
    </row>
    <row r="66" spans="1:7" ht="14.25" x14ac:dyDescent="0.2">
      <c r="A66" s="37">
        <v>5</v>
      </c>
      <c r="B66" s="75" t="s">
        <v>205</v>
      </c>
      <c r="C66" s="38" t="s">
        <v>73</v>
      </c>
      <c r="D66" s="37" t="s">
        <v>21</v>
      </c>
      <c r="E66" s="39">
        <v>9</v>
      </c>
      <c r="F66" s="22">
        <f>'Ед. Цени'!F74</f>
        <v>8.5399999999999991</v>
      </c>
      <c r="G66" s="176">
        <f t="shared" si="1"/>
        <v>76.86</v>
      </c>
    </row>
    <row r="67" spans="1:7" ht="14.25" x14ac:dyDescent="0.2">
      <c r="A67" s="37">
        <v>6</v>
      </c>
      <c r="B67" s="10" t="s">
        <v>158</v>
      </c>
      <c r="C67" s="40" t="s">
        <v>25</v>
      </c>
      <c r="D67" s="37" t="s">
        <v>21</v>
      </c>
      <c r="E67" s="39">
        <v>9</v>
      </c>
      <c r="F67" s="69">
        <f>'Ед. Цени'!F27</f>
        <v>1.98</v>
      </c>
      <c r="G67" s="176">
        <f t="shared" si="1"/>
        <v>17.82</v>
      </c>
    </row>
    <row r="68" spans="1:7" ht="14.25" x14ac:dyDescent="0.2">
      <c r="A68" s="37">
        <v>7</v>
      </c>
      <c r="B68" s="75" t="s">
        <v>206</v>
      </c>
      <c r="C68" s="38" t="s">
        <v>74</v>
      </c>
      <c r="D68" s="37" t="s">
        <v>19</v>
      </c>
      <c r="E68" s="39">
        <v>150</v>
      </c>
      <c r="F68" s="22">
        <f>'Ед. Цени'!F75</f>
        <v>1.78</v>
      </c>
      <c r="G68" s="176">
        <f t="shared" si="1"/>
        <v>267</v>
      </c>
    </row>
    <row r="69" spans="1:7" ht="14.25" x14ac:dyDescent="0.2">
      <c r="A69" s="37">
        <v>8</v>
      </c>
      <c r="B69" s="75" t="s">
        <v>207</v>
      </c>
      <c r="C69" s="38" t="s">
        <v>75</v>
      </c>
      <c r="D69" s="37" t="s">
        <v>21</v>
      </c>
      <c r="E69" s="39">
        <v>7.1999999999999993</v>
      </c>
      <c r="F69" s="22">
        <f>'Ед. Цени'!F76</f>
        <v>1.78</v>
      </c>
      <c r="G69" s="176">
        <f t="shared" si="1"/>
        <v>12.82</v>
      </c>
    </row>
    <row r="70" spans="1:7" ht="14.25" x14ac:dyDescent="0.2">
      <c r="A70" s="37">
        <v>9</v>
      </c>
      <c r="B70" s="75" t="s">
        <v>208</v>
      </c>
      <c r="C70" s="38" t="s">
        <v>76</v>
      </c>
      <c r="D70" s="37" t="s">
        <v>77</v>
      </c>
      <c r="E70" s="39">
        <v>10.5</v>
      </c>
      <c r="F70" s="22">
        <f>'Ед. Цени'!F77</f>
        <v>21.54</v>
      </c>
      <c r="G70" s="176">
        <f t="shared" si="1"/>
        <v>226.17</v>
      </c>
    </row>
    <row r="71" spans="1:7" ht="14.25" x14ac:dyDescent="0.2">
      <c r="A71" s="37">
        <v>10</v>
      </c>
      <c r="B71" s="75" t="s">
        <v>209</v>
      </c>
      <c r="C71" s="38" t="s">
        <v>78</v>
      </c>
      <c r="D71" s="37" t="s">
        <v>79</v>
      </c>
      <c r="E71" s="39">
        <v>30</v>
      </c>
      <c r="F71" s="22">
        <f>'Ед. Цени'!F78</f>
        <v>6.93</v>
      </c>
      <c r="G71" s="176">
        <f t="shared" si="1"/>
        <v>207.9</v>
      </c>
    </row>
    <row r="72" spans="1:7" ht="14.25" x14ac:dyDescent="0.2">
      <c r="A72" s="37">
        <v>11</v>
      </c>
      <c r="B72" s="75" t="s">
        <v>210</v>
      </c>
      <c r="C72" s="38" t="s">
        <v>80</v>
      </c>
      <c r="D72" s="37" t="s">
        <v>79</v>
      </c>
      <c r="E72" s="39">
        <v>30</v>
      </c>
      <c r="F72" s="22">
        <f>'Ед. Цени'!F79</f>
        <v>27.54</v>
      </c>
      <c r="G72" s="176">
        <f t="shared" si="1"/>
        <v>826.2</v>
      </c>
    </row>
    <row r="73" spans="1:7" ht="14.25" x14ac:dyDescent="0.2">
      <c r="A73" s="37">
        <v>12</v>
      </c>
      <c r="B73" s="75" t="s">
        <v>211</v>
      </c>
      <c r="C73" s="38" t="s">
        <v>81</v>
      </c>
      <c r="D73" s="37" t="s">
        <v>19</v>
      </c>
      <c r="E73" s="39">
        <v>16.8</v>
      </c>
      <c r="F73" s="22">
        <f>'Ед. Цени'!F80</f>
        <v>7.88</v>
      </c>
      <c r="G73" s="176">
        <f t="shared" si="1"/>
        <v>132.38</v>
      </c>
    </row>
    <row r="74" spans="1:7" ht="14.25" x14ac:dyDescent="0.2">
      <c r="A74" s="37">
        <v>13</v>
      </c>
      <c r="B74" s="75" t="s">
        <v>212</v>
      </c>
      <c r="C74" s="38" t="s">
        <v>82</v>
      </c>
      <c r="D74" s="37" t="s">
        <v>19</v>
      </c>
      <c r="E74" s="39">
        <v>16.8</v>
      </c>
      <c r="F74" s="22">
        <f>'Ед. Цени'!F81</f>
        <v>14.48</v>
      </c>
      <c r="G74" s="176">
        <f t="shared" si="1"/>
        <v>243.26</v>
      </c>
    </row>
    <row r="75" spans="1:7" ht="14.25" x14ac:dyDescent="0.2">
      <c r="A75" s="37">
        <v>14</v>
      </c>
      <c r="B75" s="75" t="s">
        <v>213</v>
      </c>
      <c r="C75" s="38" t="s">
        <v>83</v>
      </c>
      <c r="D75" s="37" t="s">
        <v>19</v>
      </c>
      <c r="E75" s="39">
        <v>136.5</v>
      </c>
      <c r="F75" s="22">
        <f>'Ед. Цени'!F82</f>
        <v>11.72</v>
      </c>
      <c r="G75" s="176">
        <f t="shared" si="1"/>
        <v>1599.78</v>
      </c>
    </row>
    <row r="76" spans="1:7" ht="14.25" x14ac:dyDescent="0.2">
      <c r="A76" s="37">
        <v>15</v>
      </c>
      <c r="B76" s="75" t="s">
        <v>214</v>
      </c>
      <c r="C76" s="38" t="s">
        <v>84</v>
      </c>
      <c r="D76" s="37" t="s">
        <v>19</v>
      </c>
      <c r="E76" s="39">
        <v>180</v>
      </c>
      <c r="F76" s="22">
        <f>'Ед. Цени'!F83</f>
        <v>1.89</v>
      </c>
      <c r="G76" s="176">
        <f t="shared" si="1"/>
        <v>340.2</v>
      </c>
    </row>
    <row r="77" spans="1:7" ht="14.25" x14ac:dyDescent="0.2">
      <c r="A77" s="37">
        <v>16</v>
      </c>
      <c r="B77" s="75" t="s">
        <v>215</v>
      </c>
      <c r="C77" s="38" t="s">
        <v>85</v>
      </c>
      <c r="D77" s="37" t="s">
        <v>77</v>
      </c>
      <c r="E77" s="39">
        <v>21.599999999999998</v>
      </c>
      <c r="F77" s="22">
        <f>'Ед. Цени'!F84</f>
        <v>134.12</v>
      </c>
      <c r="G77" s="176">
        <f t="shared" si="1"/>
        <v>2896.99</v>
      </c>
    </row>
    <row r="78" spans="1:7" ht="14.25" x14ac:dyDescent="0.2">
      <c r="A78" s="41"/>
      <c r="B78" s="134"/>
      <c r="C78" s="42"/>
      <c r="D78" s="35"/>
      <c r="E78" s="36"/>
      <c r="F78" s="35"/>
      <c r="G78" s="172"/>
    </row>
    <row r="79" spans="1:7" ht="15" thickBot="1" x14ac:dyDescent="0.25">
      <c r="A79" s="41"/>
      <c r="B79" s="134"/>
      <c r="C79" s="42" t="s">
        <v>86</v>
      </c>
      <c r="D79" s="35"/>
      <c r="E79" s="36"/>
      <c r="F79" s="35"/>
      <c r="G79" s="172">
        <f>SUM(G62:G77)</f>
        <v>7031.11</v>
      </c>
    </row>
    <row r="80" spans="1:7" x14ac:dyDescent="0.2">
      <c r="A80" s="79"/>
      <c r="B80" s="123"/>
      <c r="C80" s="50" t="s">
        <v>87</v>
      </c>
      <c r="D80" s="51"/>
      <c r="E80" s="52"/>
      <c r="F80" s="51"/>
      <c r="G80" s="164">
        <f>SUM(G60+G79)</f>
        <v>14825.57</v>
      </c>
    </row>
    <row r="81" spans="1:7" x14ac:dyDescent="0.2">
      <c r="A81" s="80"/>
      <c r="B81" s="124"/>
      <c r="C81" s="44" t="s">
        <v>138</v>
      </c>
      <c r="D81" s="45"/>
      <c r="E81" s="46"/>
      <c r="F81" s="45"/>
      <c r="G81" s="165">
        <f>+G79*0.2</f>
        <v>1406.222</v>
      </c>
    </row>
    <row r="82" spans="1:7" ht="12.75" thickBot="1" x14ac:dyDescent="0.25">
      <c r="A82" s="81"/>
      <c r="B82" s="125"/>
      <c r="C82" s="53" t="s">
        <v>136</v>
      </c>
      <c r="D82" s="54"/>
      <c r="E82" s="55"/>
      <c r="F82" s="54"/>
      <c r="G82" s="166">
        <f>+G81+G80</f>
        <v>16231.791999999999</v>
      </c>
    </row>
    <row r="83" spans="1:7" ht="12.75" x14ac:dyDescent="0.2">
      <c r="A83" s="43"/>
      <c r="B83" s="43"/>
      <c r="C83" s="3"/>
      <c r="D83" s="3"/>
      <c r="E83" s="3"/>
      <c r="F83" s="3"/>
      <c r="G83" s="187"/>
    </row>
  </sheetData>
  <autoFilter ref="A10:G82"/>
  <mergeCells count="11">
    <mergeCell ref="A1:G1"/>
    <mergeCell ref="A2:G2"/>
    <mergeCell ref="A4:G4"/>
    <mergeCell ref="G7:G9"/>
    <mergeCell ref="A11:D11"/>
    <mergeCell ref="F7:F9"/>
    <mergeCell ref="A61:D61"/>
    <mergeCell ref="A7:A9"/>
    <mergeCell ref="C7:C9"/>
    <mergeCell ref="D7:D9"/>
    <mergeCell ref="E7:E9"/>
  </mergeCells>
  <pageMargins left="0.7" right="0.7" top="0.75" bottom="0.75" header="0.3" footer="0.3"/>
  <pageSetup paperSize="9" scale="8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75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143</v>
      </c>
      <c r="B4" s="269"/>
      <c r="C4" s="269"/>
      <c r="D4" s="269"/>
      <c r="E4" s="269"/>
      <c r="F4" s="269"/>
      <c r="G4" s="269"/>
    </row>
    <row r="5" spans="1:7" x14ac:dyDescent="0.2">
      <c r="A5" s="212"/>
      <c r="B5" s="212"/>
      <c r="C5" s="212"/>
      <c r="D5" s="212"/>
      <c r="E5" s="212"/>
      <c r="F5" s="212"/>
      <c r="G5" s="168"/>
    </row>
    <row r="6" spans="1:7" ht="12.75" thickBot="1" x14ac:dyDescent="0.25">
      <c r="A6" s="64"/>
      <c r="B6" s="64"/>
      <c r="C6" s="65"/>
      <c r="D6" s="65"/>
      <c r="E6" s="65"/>
      <c r="F6" s="65"/>
      <c r="G6" s="169"/>
    </row>
    <row r="7" spans="1:7" ht="12.75" thickTop="1" x14ac:dyDescent="0.2">
      <c r="A7" s="279" t="s">
        <v>9</v>
      </c>
      <c r="B7" s="129"/>
      <c r="C7" s="261" t="s">
        <v>10</v>
      </c>
      <c r="D7" s="261" t="s">
        <v>11</v>
      </c>
      <c r="E7" s="261" t="s">
        <v>12</v>
      </c>
      <c r="F7" s="261" t="s">
        <v>13</v>
      </c>
      <c r="G7" s="264" t="s">
        <v>14</v>
      </c>
    </row>
    <row r="8" spans="1:7" x14ac:dyDescent="0.2">
      <c r="A8" s="280"/>
      <c r="B8" s="130"/>
      <c r="C8" s="262"/>
      <c r="D8" s="262"/>
      <c r="E8" s="262"/>
      <c r="F8" s="262"/>
      <c r="G8" s="265"/>
    </row>
    <row r="9" spans="1:7" ht="12.75" thickBot="1" x14ac:dyDescent="0.25">
      <c r="A9" s="281"/>
      <c r="B9" s="131"/>
      <c r="C9" s="263"/>
      <c r="D9" s="263"/>
      <c r="E9" s="263"/>
      <c r="F9" s="263"/>
      <c r="G9" s="266"/>
    </row>
    <row r="10" spans="1:7" ht="12.75" thickTop="1" x14ac:dyDescent="0.2">
      <c r="A10" s="105">
        <v>1</v>
      </c>
      <c r="B10" s="135"/>
      <c r="C10" s="67">
        <v>2</v>
      </c>
      <c r="D10" s="67">
        <v>3</v>
      </c>
      <c r="E10" s="67">
        <v>4</v>
      </c>
      <c r="F10" s="83">
        <v>5</v>
      </c>
      <c r="G10" s="170">
        <v>6</v>
      </c>
    </row>
    <row r="11" spans="1:7" x14ac:dyDescent="0.2">
      <c r="A11" s="273" t="s">
        <v>15</v>
      </c>
      <c r="B11" s="274"/>
      <c r="C11" s="274"/>
      <c r="D11" s="274"/>
      <c r="E11" s="84"/>
      <c r="F11" s="140"/>
      <c r="G11" s="173"/>
    </row>
    <row r="12" spans="1:7" x14ac:dyDescent="0.2">
      <c r="A12" s="103">
        <v>1</v>
      </c>
      <c r="B12" s="10" t="s">
        <v>152</v>
      </c>
      <c r="C12" s="11" t="s">
        <v>16</v>
      </c>
      <c r="D12" s="12" t="s">
        <v>17</v>
      </c>
      <c r="E12" s="13">
        <v>244</v>
      </c>
      <c r="F12" s="112">
        <f>'Ед. Цени'!F21</f>
        <v>3.53</v>
      </c>
      <c r="G12" s="174">
        <f>ROUND((E12*F12),2)</f>
        <v>861.32</v>
      </c>
    </row>
    <row r="13" spans="1:7" x14ac:dyDescent="0.2">
      <c r="A13" s="103">
        <v>2</v>
      </c>
      <c r="B13" s="10" t="s">
        <v>153</v>
      </c>
      <c r="C13" s="14" t="s">
        <v>18</v>
      </c>
      <c r="D13" s="15" t="s">
        <v>19</v>
      </c>
      <c r="E13" s="16">
        <v>170.79999999999998</v>
      </c>
      <c r="F13" s="112">
        <f>'Ед. Цени'!F22</f>
        <v>6.89</v>
      </c>
      <c r="G13" s="174">
        <f t="shared" ref="G13:G52" si="0">ROUND((E13*F13),2)</f>
        <v>1176.81</v>
      </c>
    </row>
    <row r="14" spans="1:7" x14ac:dyDescent="0.2">
      <c r="A14" s="103">
        <v>3</v>
      </c>
      <c r="B14" s="10" t="s">
        <v>154</v>
      </c>
      <c r="C14" s="14" t="s">
        <v>20</v>
      </c>
      <c r="D14" s="12" t="s">
        <v>21</v>
      </c>
      <c r="E14" s="13">
        <v>160.63740000000001</v>
      </c>
      <c r="F14" s="69">
        <f>'Ед. Цени'!F23</f>
        <v>5.5</v>
      </c>
      <c r="G14" s="174">
        <f t="shared" si="0"/>
        <v>883.51</v>
      </c>
    </row>
    <row r="15" spans="1:7" x14ac:dyDescent="0.2">
      <c r="A15" s="103">
        <v>4</v>
      </c>
      <c r="B15" s="10" t="s">
        <v>236</v>
      </c>
      <c r="C15" s="14" t="s">
        <v>22</v>
      </c>
      <c r="D15" s="12" t="s">
        <v>21</v>
      </c>
      <c r="E15" s="13">
        <v>68.8446</v>
      </c>
      <c r="F15" s="112">
        <f>'Ед. Цени'!F85</f>
        <v>24.35</v>
      </c>
      <c r="G15" s="174">
        <f t="shared" si="0"/>
        <v>1676.37</v>
      </c>
    </row>
    <row r="16" spans="1:7" ht="24" x14ac:dyDescent="0.2">
      <c r="A16" s="103">
        <v>5</v>
      </c>
      <c r="B16" s="10" t="s">
        <v>156</v>
      </c>
      <c r="C16" s="11" t="s">
        <v>23</v>
      </c>
      <c r="D16" s="12" t="s">
        <v>21</v>
      </c>
      <c r="E16" s="13">
        <v>68.8446</v>
      </c>
      <c r="F16" s="69">
        <f>'Ед. Цени'!F25</f>
        <v>12.47</v>
      </c>
      <c r="G16" s="174">
        <f t="shared" si="0"/>
        <v>858.49</v>
      </c>
    </row>
    <row r="17" spans="1:7" x14ac:dyDescent="0.2">
      <c r="A17" s="103">
        <v>6</v>
      </c>
      <c r="B17" s="10" t="s">
        <v>157</v>
      </c>
      <c r="C17" s="11" t="s">
        <v>24</v>
      </c>
      <c r="D17" s="12" t="s">
        <v>21</v>
      </c>
      <c r="E17" s="17">
        <v>229.48200000000003</v>
      </c>
      <c r="F17" s="69">
        <f>'Ед. Цени'!F26</f>
        <v>2.79</v>
      </c>
      <c r="G17" s="174">
        <f t="shared" si="0"/>
        <v>640.25</v>
      </c>
    </row>
    <row r="18" spans="1:7" x14ac:dyDescent="0.2">
      <c r="A18" s="103">
        <v>7</v>
      </c>
      <c r="B18" s="10" t="s">
        <v>158</v>
      </c>
      <c r="C18" s="11" t="s">
        <v>25</v>
      </c>
      <c r="D18" s="12" t="s">
        <v>21</v>
      </c>
      <c r="E18" s="17">
        <v>229.48200000000003</v>
      </c>
      <c r="F18" s="69">
        <f>'Ед. Цени'!F27</f>
        <v>1.98</v>
      </c>
      <c r="G18" s="174">
        <f t="shared" si="0"/>
        <v>454.37</v>
      </c>
    </row>
    <row r="19" spans="1:7" x14ac:dyDescent="0.2">
      <c r="A19" s="103">
        <v>8</v>
      </c>
      <c r="B19" s="10" t="s">
        <v>159</v>
      </c>
      <c r="C19" s="11" t="s">
        <v>26</v>
      </c>
      <c r="D19" s="12" t="s">
        <v>21</v>
      </c>
      <c r="E19" s="17">
        <v>229.48200000000003</v>
      </c>
      <c r="F19" s="69">
        <f>'Ед. Цени'!F28</f>
        <v>2.79</v>
      </c>
      <c r="G19" s="174">
        <f t="shared" si="0"/>
        <v>640.25</v>
      </c>
    </row>
    <row r="20" spans="1:7" x14ac:dyDescent="0.2">
      <c r="A20" s="103">
        <v>9</v>
      </c>
      <c r="B20" s="10" t="s">
        <v>160</v>
      </c>
      <c r="C20" s="18" t="s">
        <v>27</v>
      </c>
      <c r="D20" s="12" t="s">
        <v>19</v>
      </c>
      <c r="E20" s="17">
        <v>417.24</v>
      </c>
      <c r="F20" s="69">
        <f>'Ед. Цени'!F29</f>
        <v>2.42</v>
      </c>
      <c r="G20" s="174">
        <f t="shared" si="0"/>
        <v>1009.72</v>
      </c>
    </row>
    <row r="21" spans="1:7" x14ac:dyDescent="0.2">
      <c r="A21" s="103">
        <v>10</v>
      </c>
      <c r="B21" s="10" t="s">
        <v>161</v>
      </c>
      <c r="C21" s="11" t="s">
        <v>28</v>
      </c>
      <c r="D21" s="12" t="s">
        <v>21</v>
      </c>
      <c r="E21" s="17">
        <v>67.100000000000009</v>
      </c>
      <c r="F21" s="112">
        <f>'Ед. Цени'!F30</f>
        <v>19.04</v>
      </c>
      <c r="G21" s="174">
        <f t="shared" si="0"/>
        <v>1277.58</v>
      </c>
    </row>
    <row r="22" spans="1:7" x14ac:dyDescent="0.2">
      <c r="A22" s="103">
        <v>11</v>
      </c>
      <c r="B22" s="10" t="s">
        <v>162</v>
      </c>
      <c r="C22" s="11" t="s">
        <v>29</v>
      </c>
      <c r="D22" s="12" t="s">
        <v>21</v>
      </c>
      <c r="E22" s="17">
        <v>67.100000000000009</v>
      </c>
      <c r="F22" s="112">
        <f>'Ед. Цени'!F31</f>
        <v>6.14</v>
      </c>
      <c r="G22" s="174">
        <f t="shared" si="0"/>
        <v>411.99</v>
      </c>
    </row>
    <row r="23" spans="1:7" x14ac:dyDescent="0.2">
      <c r="A23" s="103">
        <v>12</v>
      </c>
      <c r="B23" s="10" t="s">
        <v>163</v>
      </c>
      <c r="C23" s="14" t="s">
        <v>30</v>
      </c>
      <c r="D23" s="12" t="s">
        <v>21</v>
      </c>
      <c r="E23" s="17">
        <v>13.420000000000002</v>
      </c>
      <c r="F23" s="112">
        <f>'Ед. Цени'!F32</f>
        <v>8.17</v>
      </c>
      <c r="G23" s="174">
        <f t="shared" si="0"/>
        <v>109.64</v>
      </c>
    </row>
    <row r="24" spans="1:7" x14ac:dyDescent="0.2">
      <c r="A24" s="103">
        <v>13</v>
      </c>
      <c r="B24" s="10" t="s">
        <v>164</v>
      </c>
      <c r="C24" s="14" t="s">
        <v>31</v>
      </c>
      <c r="D24" s="12" t="s">
        <v>21</v>
      </c>
      <c r="E24" s="17">
        <v>53.680000000000007</v>
      </c>
      <c r="F24" s="112">
        <f>'Ед. Цени'!F33</f>
        <v>4.75</v>
      </c>
      <c r="G24" s="174">
        <f t="shared" si="0"/>
        <v>254.98</v>
      </c>
    </row>
    <row r="25" spans="1:7" x14ac:dyDescent="0.2">
      <c r="A25" s="103">
        <v>14</v>
      </c>
      <c r="B25" s="10" t="s">
        <v>165</v>
      </c>
      <c r="C25" s="11" t="s">
        <v>32</v>
      </c>
      <c r="D25" s="12" t="s">
        <v>21</v>
      </c>
      <c r="E25" s="17">
        <v>67.100000000000009</v>
      </c>
      <c r="F25" s="112">
        <f>'Ед. Цени'!F34</f>
        <v>3.66</v>
      </c>
      <c r="G25" s="174">
        <f t="shared" si="0"/>
        <v>245.59</v>
      </c>
    </row>
    <row r="26" spans="1:7" x14ac:dyDescent="0.2">
      <c r="A26" s="103">
        <v>15</v>
      </c>
      <c r="B26" s="10" t="s">
        <v>166</v>
      </c>
      <c r="C26" s="11" t="s">
        <v>33</v>
      </c>
      <c r="D26" s="12" t="s">
        <v>21</v>
      </c>
      <c r="E26" s="17">
        <v>108.702</v>
      </c>
      <c r="F26" s="112">
        <f>'Ед. Цени'!F35</f>
        <v>17.82</v>
      </c>
      <c r="G26" s="174">
        <f t="shared" si="0"/>
        <v>1937.07</v>
      </c>
    </row>
    <row r="27" spans="1:7" x14ac:dyDescent="0.2">
      <c r="A27" s="103">
        <v>16</v>
      </c>
      <c r="B27" s="10" t="s">
        <v>167</v>
      </c>
      <c r="C27" s="11" t="s">
        <v>34</v>
      </c>
      <c r="D27" s="12" t="s">
        <v>21</v>
      </c>
      <c r="E27" s="17">
        <v>108.702</v>
      </c>
      <c r="F27" s="112">
        <f>'Ед. Цени'!F36</f>
        <v>6.14</v>
      </c>
      <c r="G27" s="174">
        <f t="shared" si="0"/>
        <v>667.43</v>
      </c>
    </row>
    <row r="28" spans="1:7" x14ac:dyDescent="0.2">
      <c r="A28" s="103">
        <v>17</v>
      </c>
      <c r="B28" s="10" t="s">
        <v>168</v>
      </c>
      <c r="C28" s="11" t="s">
        <v>35</v>
      </c>
      <c r="D28" s="12" t="s">
        <v>21</v>
      </c>
      <c r="E28" s="17">
        <v>108.702</v>
      </c>
      <c r="F28" s="112">
        <f>'Ед. Цени'!F37</f>
        <v>3.15</v>
      </c>
      <c r="G28" s="174">
        <f t="shared" si="0"/>
        <v>342.41</v>
      </c>
    </row>
    <row r="29" spans="1:7" x14ac:dyDescent="0.2">
      <c r="A29" s="103">
        <v>18</v>
      </c>
      <c r="B29" s="10" t="s">
        <v>169</v>
      </c>
      <c r="C29" s="14" t="s">
        <v>36</v>
      </c>
      <c r="D29" s="19" t="s">
        <v>19</v>
      </c>
      <c r="E29" s="16">
        <v>48.800000000000004</v>
      </c>
      <c r="F29" s="112">
        <f>'Ед. Цени'!F38</f>
        <v>1.85</v>
      </c>
      <c r="G29" s="174">
        <f t="shared" si="0"/>
        <v>90.28</v>
      </c>
    </row>
    <row r="30" spans="1:7" x14ac:dyDescent="0.2">
      <c r="A30" s="103">
        <v>19</v>
      </c>
      <c r="B30" s="10" t="s">
        <v>170</v>
      </c>
      <c r="C30" s="20" t="s">
        <v>37</v>
      </c>
      <c r="D30" s="19" t="s">
        <v>38</v>
      </c>
      <c r="E30" s="16">
        <v>1.22</v>
      </c>
      <c r="F30" s="112">
        <f>'Ед. Цени'!F39</f>
        <v>44.73</v>
      </c>
      <c r="G30" s="174">
        <f t="shared" si="0"/>
        <v>54.57</v>
      </c>
    </row>
    <row r="31" spans="1:7" x14ac:dyDescent="0.2">
      <c r="A31" s="103">
        <v>20</v>
      </c>
      <c r="B31" s="10" t="s">
        <v>171</v>
      </c>
      <c r="C31" s="21" t="s">
        <v>39</v>
      </c>
      <c r="D31" s="12" t="s">
        <v>21</v>
      </c>
      <c r="E31" s="13">
        <v>17.079999999999998</v>
      </c>
      <c r="F31" s="112">
        <f>'Ед. Цени'!F40</f>
        <v>3.09</v>
      </c>
      <c r="G31" s="174">
        <f t="shared" si="0"/>
        <v>52.78</v>
      </c>
    </row>
    <row r="32" spans="1:7" x14ac:dyDescent="0.2">
      <c r="A32" s="103">
        <v>21</v>
      </c>
      <c r="B32" s="10" t="s">
        <v>172</v>
      </c>
      <c r="C32" s="22" t="s">
        <v>40</v>
      </c>
      <c r="D32" s="12" t="s">
        <v>21</v>
      </c>
      <c r="E32" s="13">
        <v>17.079999999999998</v>
      </c>
      <c r="F32" s="112">
        <f>'Ед. Цени'!F41</f>
        <v>2.2999999999999998</v>
      </c>
      <c r="G32" s="174">
        <f t="shared" si="0"/>
        <v>39.28</v>
      </c>
    </row>
    <row r="33" spans="1:7" x14ac:dyDescent="0.2">
      <c r="A33" s="103">
        <v>22</v>
      </c>
      <c r="B33" s="103" t="s">
        <v>247</v>
      </c>
      <c r="C33" s="11" t="s">
        <v>120</v>
      </c>
      <c r="D33" s="12" t="s">
        <v>17</v>
      </c>
      <c r="E33" s="13">
        <v>108</v>
      </c>
      <c r="F33" s="112">
        <f>'Ед. Цени'!F97</f>
        <v>27.46</v>
      </c>
      <c r="G33" s="174">
        <f t="shared" si="0"/>
        <v>2965.68</v>
      </c>
    </row>
    <row r="34" spans="1:7" x14ac:dyDescent="0.2">
      <c r="A34" s="103">
        <v>24</v>
      </c>
      <c r="B34" s="10" t="s">
        <v>175</v>
      </c>
      <c r="C34" s="11" t="s">
        <v>93</v>
      </c>
      <c r="D34" s="12" t="s">
        <v>17</v>
      </c>
      <c r="E34" s="13">
        <v>14</v>
      </c>
      <c r="F34" s="112">
        <f>'Ед. Цени'!F44</f>
        <v>7.79</v>
      </c>
      <c r="G34" s="174">
        <f t="shared" si="0"/>
        <v>109.06</v>
      </c>
    </row>
    <row r="35" spans="1:7" x14ac:dyDescent="0.2">
      <c r="A35" s="103">
        <v>25</v>
      </c>
      <c r="B35" s="10" t="s">
        <v>176</v>
      </c>
      <c r="C35" s="18" t="s">
        <v>44</v>
      </c>
      <c r="D35" s="12" t="s">
        <v>38</v>
      </c>
      <c r="E35" s="18">
        <v>1</v>
      </c>
      <c r="F35" s="112">
        <f>'Ед. Цени'!F45</f>
        <v>14.87</v>
      </c>
      <c r="G35" s="174">
        <f t="shared" si="0"/>
        <v>14.87</v>
      </c>
    </row>
    <row r="36" spans="1:7" x14ac:dyDescent="0.2">
      <c r="A36" s="103">
        <v>26</v>
      </c>
      <c r="B36" s="103" t="s">
        <v>248</v>
      </c>
      <c r="C36" s="18" t="s">
        <v>124</v>
      </c>
      <c r="D36" s="12" t="s">
        <v>38</v>
      </c>
      <c r="E36" s="72">
        <v>2</v>
      </c>
      <c r="F36" s="112">
        <f>'Ед. Цени'!F98</f>
        <v>64.97</v>
      </c>
      <c r="G36" s="174">
        <f t="shared" si="0"/>
        <v>129.94</v>
      </c>
    </row>
    <row r="37" spans="1:7" x14ac:dyDescent="0.2">
      <c r="A37" s="103">
        <v>27</v>
      </c>
      <c r="B37" s="103" t="s">
        <v>238</v>
      </c>
      <c r="C37" s="18" t="s">
        <v>123</v>
      </c>
      <c r="D37" s="12" t="s">
        <v>38</v>
      </c>
      <c r="E37" s="18">
        <v>12</v>
      </c>
      <c r="F37" s="112">
        <f>'Ед. Цени'!F89</f>
        <v>16.190000000000001</v>
      </c>
      <c r="G37" s="174">
        <f t="shared" si="0"/>
        <v>194.28</v>
      </c>
    </row>
    <row r="38" spans="1:7" x14ac:dyDescent="0.2">
      <c r="A38" s="103">
        <v>28</v>
      </c>
      <c r="B38" s="10" t="s">
        <v>181</v>
      </c>
      <c r="C38" s="85" t="s">
        <v>90</v>
      </c>
      <c r="D38" s="12" t="s">
        <v>38</v>
      </c>
      <c r="E38" s="18">
        <v>2</v>
      </c>
      <c r="F38" s="112">
        <f>'Ед. Цени'!F50</f>
        <v>15.9</v>
      </c>
      <c r="G38" s="174">
        <f t="shared" si="0"/>
        <v>31.8</v>
      </c>
    </row>
    <row r="39" spans="1:7" x14ac:dyDescent="0.2">
      <c r="A39" s="103">
        <v>29</v>
      </c>
      <c r="B39" s="10" t="s">
        <v>182</v>
      </c>
      <c r="C39" s="85" t="s">
        <v>89</v>
      </c>
      <c r="D39" s="12" t="s">
        <v>38</v>
      </c>
      <c r="E39" s="85">
        <v>2</v>
      </c>
      <c r="F39" s="112">
        <f>'Ед. Цени'!F51</f>
        <v>18.32</v>
      </c>
      <c r="G39" s="174">
        <f t="shared" si="0"/>
        <v>36.64</v>
      </c>
    </row>
    <row r="40" spans="1:7" x14ac:dyDescent="0.2">
      <c r="A40" s="103">
        <v>30</v>
      </c>
      <c r="B40" s="103" t="s">
        <v>244</v>
      </c>
      <c r="C40" s="85" t="s">
        <v>131</v>
      </c>
      <c r="D40" s="12" t="s">
        <v>38</v>
      </c>
      <c r="E40" s="85">
        <v>1</v>
      </c>
      <c r="F40" s="112">
        <f>'Ед. Цени'!F94</f>
        <v>58.5</v>
      </c>
      <c r="G40" s="174">
        <f t="shared" si="0"/>
        <v>58.5</v>
      </c>
    </row>
    <row r="41" spans="1:7" x14ac:dyDescent="0.2">
      <c r="A41" s="103">
        <v>31</v>
      </c>
      <c r="B41" s="10" t="s">
        <v>188</v>
      </c>
      <c r="C41" s="85" t="s">
        <v>88</v>
      </c>
      <c r="D41" s="12" t="s">
        <v>38</v>
      </c>
      <c r="E41" s="72">
        <v>2</v>
      </c>
      <c r="F41" s="73">
        <f>'Ед. Цени'!F57</f>
        <v>132.99</v>
      </c>
      <c r="G41" s="174">
        <f t="shared" si="0"/>
        <v>265.98</v>
      </c>
    </row>
    <row r="42" spans="1:7" x14ac:dyDescent="0.2">
      <c r="A42" s="103">
        <v>32</v>
      </c>
      <c r="B42" s="10" t="s">
        <v>190</v>
      </c>
      <c r="C42" s="11" t="s">
        <v>56</v>
      </c>
      <c r="D42" s="12" t="s">
        <v>17</v>
      </c>
      <c r="E42" s="13">
        <v>122</v>
      </c>
      <c r="F42" s="112">
        <f>'Ед. Цени'!F59</f>
        <v>1.78</v>
      </c>
      <c r="G42" s="174">
        <f t="shared" si="0"/>
        <v>217.16</v>
      </c>
    </row>
    <row r="43" spans="1:7" x14ac:dyDescent="0.2">
      <c r="A43" s="103">
        <v>33</v>
      </c>
      <c r="B43" s="10" t="s">
        <v>191</v>
      </c>
      <c r="C43" s="18" t="s">
        <v>57</v>
      </c>
      <c r="D43" s="12" t="s">
        <v>17</v>
      </c>
      <c r="E43" s="13">
        <v>122</v>
      </c>
      <c r="F43" s="112">
        <f>'Ед. Цени'!F60</f>
        <v>1.61</v>
      </c>
      <c r="G43" s="174">
        <f t="shared" si="0"/>
        <v>196.42</v>
      </c>
    </row>
    <row r="44" spans="1:7" x14ac:dyDescent="0.2">
      <c r="A44" s="103">
        <v>34</v>
      </c>
      <c r="B44" s="10" t="s">
        <v>192</v>
      </c>
      <c r="C44" s="27" t="s">
        <v>58</v>
      </c>
      <c r="D44" s="12" t="s">
        <v>38</v>
      </c>
      <c r="E44" s="13">
        <v>2</v>
      </c>
      <c r="F44" s="112">
        <f>'Ед. Цени'!F61</f>
        <v>10.45</v>
      </c>
      <c r="G44" s="174">
        <f t="shared" si="0"/>
        <v>20.9</v>
      </c>
    </row>
    <row r="45" spans="1:7" x14ac:dyDescent="0.2">
      <c r="A45" s="103">
        <v>35</v>
      </c>
      <c r="B45" s="10" t="s">
        <v>193</v>
      </c>
      <c r="C45" s="28" t="s">
        <v>59</v>
      </c>
      <c r="D45" s="12" t="s">
        <v>38</v>
      </c>
      <c r="E45" s="13">
        <v>0</v>
      </c>
      <c r="F45" s="112">
        <f>'Ед. Цени'!F62</f>
        <v>18.52</v>
      </c>
      <c r="G45" s="174">
        <f t="shared" si="0"/>
        <v>0</v>
      </c>
    </row>
    <row r="46" spans="1:7" x14ac:dyDescent="0.2">
      <c r="A46" s="103">
        <v>36</v>
      </c>
      <c r="B46" s="10" t="s">
        <v>195</v>
      </c>
      <c r="C46" s="11" t="s">
        <v>61</v>
      </c>
      <c r="D46" s="12" t="s">
        <v>17</v>
      </c>
      <c r="E46" s="13">
        <v>4</v>
      </c>
      <c r="F46" s="139">
        <f>'Ед. Цени'!F64</f>
        <v>8.9499999999999993</v>
      </c>
      <c r="G46" s="174">
        <f t="shared" si="0"/>
        <v>35.799999999999997</v>
      </c>
    </row>
    <row r="47" spans="1:7" x14ac:dyDescent="0.2">
      <c r="A47" s="103">
        <v>37</v>
      </c>
      <c r="B47" s="10" t="s">
        <v>237</v>
      </c>
      <c r="C47" s="11" t="s">
        <v>110</v>
      </c>
      <c r="D47" s="12" t="s">
        <v>19</v>
      </c>
      <c r="E47" s="13">
        <v>4</v>
      </c>
      <c r="F47" s="112">
        <f>'Ед. Цени'!F87</f>
        <v>13.08</v>
      </c>
      <c r="G47" s="174">
        <f t="shared" si="0"/>
        <v>52.32</v>
      </c>
    </row>
    <row r="48" spans="1:7" x14ac:dyDescent="0.2">
      <c r="A48" s="103">
        <v>38</v>
      </c>
      <c r="B48" s="10" t="s">
        <v>196</v>
      </c>
      <c r="C48" s="11" t="s">
        <v>62</v>
      </c>
      <c r="D48" s="12" t="s">
        <v>21</v>
      </c>
      <c r="E48" s="13">
        <v>68.319999999999993</v>
      </c>
      <c r="F48" s="112">
        <f>'Ед. Цени'!F65</f>
        <v>18.940000000000001</v>
      </c>
      <c r="G48" s="174">
        <f t="shared" si="0"/>
        <v>1293.98</v>
      </c>
    </row>
    <row r="49" spans="1:7" x14ac:dyDescent="0.2">
      <c r="A49" s="103">
        <v>39</v>
      </c>
      <c r="B49" s="10" t="s">
        <v>197</v>
      </c>
      <c r="C49" s="11" t="s">
        <v>63</v>
      </c>
      <c r="D49" s="12" t="s">
        <v>19</v>
      </c>
      <c r="E49" s="13">
        <v>170.79999999999998</v>
      </c>
      <c r="F49" s="112">
        <f>'Ед. Цени'!F66</f>
        <v>1.77</v>
      </c>
      <c r="G49" s="174">
        <f t="shared" si="0"/>
        <v>302.32</v>
      </c>
    </row>
    <row r="50" spans="1:7" x14ac:dyDescent="0.2">
      <c r="A50" s="103">
        <v>40</v>
      </c>
      <c r="B50" s="10" t="s">
        <v>198</v>
      </c>
      <c r="C50" s="11" t="s">
        <v>134</v>
      </c>
      <c r="D50" s="12" t="s">
        <v>64</v>
      </c>
      <c r="E50" s="13">
        <v>20.495999999999995</v>
      </c>
      <c r="F50" s="112">
        <f>'Ед. Цени'!F67</f>
        <v>125.37</v>
      </c>
      <c r="G50" s="174">
        <f t="shared" si="0"/>
        <v>2569.58</v>
      </c>
    </row>
    <row r="51" spans="1:7" x14ac:dyDescent="0.2">
      <c r="A51" s="103">
        <v>41</v>
      </c>
      <c r="B51" s="10" t="s">
        <v>199</v>
      </c>
      <c r="C51" s="11" t="s">
        <v>65</v>
      </c>
      <c r="D51" s="12" t="s">
        <v>17</v>
      </c>
      <c r="E51" s="13">
        <v>122</v>
      </c>
      <c r="F51" s="112">
        <f>'Ед. Цени'!F68</f>
        <v>0.92</v>
      </c>
      <c r="G51" s="174">
        <f t="shared" si="0"/>
        <v>112.24</v>
      </c>
    </row>
    <row r="52" spans="1:7" ht="12.75" thickBot="1" x14ac:dyDescent="0.25">
      <c r="A52" s="103">
        <v>42</v>
      </c>
      <c r="B52" s="10" t="s">
        <v>200</v>
      </c>
      <c r="C52" s="30" t="s">
        <v>66</v>
      </c>
      <c r="D52" s="31" t="s">
        <v>17</v>
      </c>
      <c r="E52" s="13">
        <v>122</v>
      </c>
      <c r="F52" s="112">
        <f>'Ед. Цени'!F69</f>
        <v>1.41</v>
      </c>
      <c r="G52" s="174">
        <f t="shared" si="0"/>
        <v>172.02</v>
      </c>
    </row>
    <row r="53" spans="1:7" ht="12.75" thickTop="1" x14ac:dyDescent="0.2">
      <c r="A53" s="107"/>
      <c r="B53" s="136"/>
      <c r="C53" s="32" t="s">
        <v>67</v>
      </c>
      <c r="D53" s="33"/>
      <c r="E53" s="34"/>
      <c r="F53" s="33"/>
      <c r="G53" s="175">
        <f>SUM(G12:G52)</f>
        <v>22464.179999999993</v>
      </c>
    </row>
    <row r="54" spans="1:7" x14ac:dyDescent="0.2">
      <c r="A54" s="273" t="s">
        <v>68</v>
      </c>
      <c r="B54" s="274"/>
      <c r="C54" s="274"/>
      <c r="D54" s="275"/>
      <c r="E54" s="36"/>
      <c r="F54" s="35"/>
      <c r="G54" s="172"/>
    </row>
    <row r="55" spans="1:7" x14ac:dyDescent="0.2">
      <c r="A55" s="86">
        <v>1</v>
      </c>
      <c r="B55" s="75" t="s">
        <v>201</v>
      </c>
      <c r="C55" s="87" t="s">
        <v>69</v>
      </c>
      <c r="D55" s="86" t="s">
        <v>21</v>
      </c>
      <c r="E55" s="39">
        <v>21.92</v>
      </c>
      <c r="F55" s="22">
        <f>'Ед. Цени'!F70</f>
        <v>7.8</v>
      </c>
      <c r="G55" s="176">
        <f>ROUND((E55*F55),2)</f>
        <v>170.98</v>
      </c>
    </row>
    <row r="56" spans="1:7" x14ac:dyDescent="0.2">
      <c r="A56" s="86">
        <v>2</v>
      </c>
      <c r="B56" s="75" t="s">
        <v>202</v>
      </c>
      <c r="C56" s="87" t="s">
        <v>70</v>
      </c>
      <c r="D56" s="86" t="s">
        <v>21</v>
      </c>
      <c r="E56" s="39">
        <v>9.399999999999995</v>
      </c>
      <c r="F56" s="22">
        <f>'Ед. Цени'!F71</f>
        <v>16.63</v>
      </c>
      <c r="G56" s="176">
        <f t="shared" ref="G56:G70" si="1">ROUND((E56*F56),2)</f>
        <v>156.32</v>
      </c>
    </row>
    <row r="57" spans="1:7" x14ac:dyDescent="0.2">
      <c r="A57" s="86">
        <v>3</v>
      </c>
      <c r="B57" s="75" t="s">
        <v>203</v>
      </c>
      <c r="C57" s="89" t="s">
        <v>71</v>
      </c>
      <c r="D57" s="86" t="s">
        <v>19</v>
      </c>
      <c r="E57" s="39">
        <v>51.839999999999996</v>
      </c>
      <c r="F57" s="22">
        <f>'Ед. Цени'!F72</f>
        <v>6.09</v>
      </c>
      <c r="G57" s="176">
        <f t="shared" si="1"/>
        <v>315.70999999999998</v>
      </c>
    </row>
    <row r="58" spans="1:7" x14ac:dyDescent="0.2">
      <c r="A58" s="86">
        <v>4</v>
      </c>
      <c r="B58" s="75" t="s">
        <v>204</v>
      </c>
      <c r="C58" s="87" t="s">
        <v>72</v>
      </c>
      <c r="D58" s="86" t="s">
        <v>21</v>
      </c>
      <c r="E58" s="39">
        <v>11.28</v>
      </c>
      <c r="F58" s="22">
        <f>'Ед. Цени'!F73</f>
        <v>1.64</v>
      </c>
      <c r="G58" s="176">
        <f t="shared" si="1"/>
        <v>18.5</v>
      </c>
    </row>
    <row r="59" spans="1:7" x14ac:dyDescent="0.2">
      <c r="A59" s="86">
        <v>5</v>
      </c>
      <c r="B59" s="75" t="s">
        <v>205</v>
      </c>
      <c r="C59" s="87" t="s">
        <v>73</v>
      </c>
      <c r="D59" s="86" t="s">
        <v>21</v>
      </c>
      <c r="E59" s="39">
        <v>32.4</v>
      </c>
      <c r="F59" s="22">
        <f>'Ед. Цени'!F74</f>
        <v>8.5399999999999991</v>
      </c>
      <c r="G59" s="176">
        <f t="shared" si="1"/>
        <v>276.7</v>
      </c>
    </row>
    <row r="60" spans="1:7" x14ac:dyDescent="0.2">
      <c r="A60" s="86">
        <v>6</v>
      </c>
      <c r="B60" s="10" t="s">
        <v>158</v>
      </c>
      <c r="C60" s="89" t="s">
        <v>25</v>
      </c>
      <c r="D60" s="86" t="s">
        <v>21</v>
      </c>
      <c r="E60" s="39">
        <v>32.4</v>
      </c>
      <c r="F60" s="69">
        <f>'Ед. Цени'!F27</f>
        <v>1.98</v>
      </c>
      <c r="G60" s="176">
        <f t="shared" si="1"/>
        <v>64.150000000000006</v>
      </c>
    </row>
    <row r="61" spans="1:7" x14ac:dyDescent="0.2">
      <c r="A61" s="86">
        <v>7</v>
      </c>
      <c r="B61" s="75" t="s">
        <v>206</v>
      </c>
      <c r="C61" s="87" t="s">
        <v>74</v>
      </c>
      <c r="D61" s="86" t="s">
        <v>19</v>
      </c>
      <c r="E61" s="39">
        <v>1188</v>
      </c>
      <c r="F61" s="22">
        <f>'Ед. Цени'!F75</f>
        <v>1.78</v>
      </c>
      <c r="G61" s="176">
        <f t="shared" si="1"/>
        <v>2114.64</v>
      </c>
    </row>
    <row r="62" spans="1:7" x14ac:dyDescent="0.2">
      <c r="A62" s="86">
        <v>8</v>
      </c>
      <c r="B62" s="75" t="s">
        <v>207</v>
      </c>
      <c r="C62" s="87" t="s">
        <v>75</v>
      </c>
      <c r="D62" s="86" t="s">
        <v>21</v>
      </c>
      <c r="E62" s="39">
        <v>25.919999999999998</v>
      </c>
      <c r="F62" s="22">
        <f>'Ед. Цени'!F76</f>
        <v>1.78</v>
      </c>
      <c r="G62" s="176">
        <f t="shared" si="1"/>
        <v>46.14</v>
      </c>
    </row>
    <row r="63" spans="1:7" x14ac:dyDescent="0.2">
      <c r="A63" s="86">
        <v>9</v>
      </c>
      <c r="B63" s="75" t="s">
        <v>208</v>
      </c>
      <c r="C63" s="87" t="s">
        <v>76</v>
      </c>
      <c r="D63" s="86" t="s">
        <v>77</v>
      </c>
      <c r="E63" s="39">
        <v>37.799999999999997</v>
      </c>
      <c r="F63" s="22">
        <f>'Ед. Цени'!F77</f>
        <v>21.54</v>
      </c>
      <c r="G63" s="176">
        <f t="shared" si="1"/>
        <v>814.21</v>
      </c>
    </row>
    <row r="64" spans="1:7" x14ac:dyDescent="0.2">
      <c r="A64" s="86">
        <v>10</v>
      </c>
      <c r="B64" s="75" t="s">
        <v>209</v>
      </c>
      <c r="C64" s="87" t="s">
        <v>78</v>
      </c>
      <c r="D64" s="86" t="s">
        <v>79</v>
      </c>
      <c r="E64" s="39">
        <v>90</v>
      </c>
      <c r="F64" s="22">
        <f>'Ед. Цени'!F78</f>
        <v>6.93</v>
      </c>
      <c r="G64" s="176">
        <f t="shared" si="1"/>
        <v>623.70000000000005</v>
      </c>
    </row>
    <row r="65" spans="1:7" x14ac:dyDescent="0.2">
      <c r="A65" s="86">
        <v>11</v>
      </c>
      <c r="B65" s="75" t="s">
        <v>210</v>
      </c>
      <c r="C65" s="87" t="s">
        <v>80</v>
      </c>
      <c r="D65" s="86" t="s">
        <v>79</v>
      </c>
      <c r="E65" s="39">
        <v>90</v>
      </c>
      <c r="F65" s="22">
        <f>'Ед. Цени'!F79</f>
        <v>27.54</v>
      </c>
      <c r="G65" s="176">
        <f t="shared" si="1"/>
        <v>2478.6</v>
      </c>
    </row>
    <row r="66" spans="1:7" x14ac:dyDescent="0.2">
      <c r="A66" s="86">
        <v>12</v>
      </c>
      <c r="B66" s="75" t="s">
        <v>211</v>
      </c>
      <c r="C66" s="87" t="s">
        <v>81</v>
      </c>
      <c r="D66" s="86" t="s">
        <v>19</v>
      </c>
      <c r="E66" s="39">
        <v>60.480000000000004</v>
      </c>
      <c r="F66" s="22">
        <f>'Ед. Цени'!F80</f>
        <v>7.88</v>
      </c>
      <c r="G66" s="176">
        <f t="shared" si="1"/>
        <v>476.58</v>
      </c>
    </row>
    <row r="67" spans="1:7" x14ac:dyDescent="0.2">
      <c r="A67" s="86">
        <v>13</v>
      </c>
      <c r="B67" s="75" t="s">
        <v>212</v>
      </c>
      <c r="C67" s="87" t="s">
        <v>82</v>
      </c>
      <c r="D67" s="86" t="s">
        <v>19</v>
      </c>
      <c r="E67" s="39">
        <v>60.480000000000004</v>
      </c>
      <c r="F67" s="22">
        <f>'Ед. Цени'!F81</f>
        <v>14.48</v>
      </c>
      <c r="G67" s="176">
        <f t="shared" si="1"/>
        <v>875.75</v>
      </c>
    </row>
    <row r="68" spans="1:7" x14ac:dyDescent="0.2">
      <c r="A68" s="86">
        <v>14</v>
      </c>
      <c r="B68" s="75" t="s">
        <v>213</v>
      </c>
      <c r="C68" s="87" t="s">
        <v>83</v>
      </c>
      <c r="D68" s="86" t="s">
        <v>19</v>
      </c>
      <c r="E68" s="39">
        <v>491.4</v>
      </c>
      <c r="F68" s="22">
        <f>'Ед. Цени'!F82</f>
        <v>11.72</v>
      </c>
      <c r="G68" s="176">
        <f t="shared" si="1"/>
        <v>5759.21</v>
      </c>
    </row>
    <row r="69" spans="1:7" x14ac:dyDescent="0.2">
      <c r="A69" s="86">
        <v>15</v>
      </c>
      <c r="B69" s="75" t="s">
        <v>214</v>
      </c>
      <c r="C69" s="87" t="s">
        <v>84</v>
      </c>
      <c r="D69" s="86" t="s">
        <v>19</v>
      </c>
      <c r="E69" s="39">
        <v>1296</v>
      </c>
      <c r="F69" s="22">
        <f>'Ед. Цени'!F83</f>
        <v>1.89</v>
      </c>
      <c r="G69" s="176">
        <f t="shared" si="1"/>
        <v>2449.44</v>
      </c>
    </row>
    <row r="70" spans="1:7" x14ac:dyDescent="0.2">
      <c r="A70" s="86">
        <v>16</v>
      </c>
      <c r="B70" s="75" t="s">
        <v>215</v>
      </c>
      <c r="C70" s="87" t="s">
        <v>85</v>
      </c>
      <c r="D70" s="86" t="s">
        <v>77</v>
      </c>
      <c r="E70" s="39">
        <v>155.51999999999998</v>
      </c>
      <c r="F70" s="22">
        <f>'Ед. Цени'!F84</f>
        <v>134.12</v>
      </c>
      <c r="G70" s="176">
        <f t="shared" si="1"/>
        <v>20858.34</v>
      </c>
    </row>
    <row r="71" spans="1:7" x14ac:dyDescent="0.2">
      <c r="A71" s="66"/>
      <c r="B71" s="119"/>
      <c r="C71" s="42"/>
      <c r="D71" s="35"/>
      <c r="E71" s="36"/>
      <c r="F71" s="35"/>
      <c r="G71" s="172"/>
    </row>
    <row r="72" spans="1:7" ht="12.75" thickBot="1" x14ac:dyDescent="0.25">
      <c r="A72" s="66"/>
      <c r="B72" s="119"/>
      <c r="C72" s="42" t="s">
        <v>86</v>
      </c>
      <c r="D72" s="35"/>
      <c r="E72" s="36"/>
      <c r="F72" s="35"/>
      <c r="G72" s="172">
        <f>SUM(G55:G70)</f>
        <v>37498.97</v>
      </c>
    </row>
    <row r="73" spans="1:7" x14ac:dyDescent="0.2">
      <c r="A73" s="79"/>
      <c r="B73" s="123"/>
      <c r="C73" s="50" t="s">
        <v>87</v>
      </c>
      <c r="D73" s="51"/>
      <c r="E73" s="52"/>
      <c r="F73" s="51"/>
      <c r="G73" s="164">
        <f>SUM(G53+G72)</f>
        <v>59963.149999999994</v>
      </c>
    </row>
    <row r="74" spans="1:7" x14ac:dyDescent="0.2">
      <c r="A74" s="80"/>
      <c r="B74" s="124"/>
      <c r="C74" s="44" t="s">
        <v>138</v>
      </c>
      <c r="D74" s="45"/>
      <c r="E74" s="46"/>
      <c r="F74" s="45"/>
      <c r="G74" s="165">
        <f>+G72*0.2</f>
        <v>7499.7940000000008</v>
      </c>
    </row>
    <row r="75" spans="1:7" ht="12.75" thickBot="1" x14ac:dyDescent="0.25">
      <c r="A75" s="81"/>
      <c r="B75" s="125"/>
      <c r="C75" s="53" t="s">
        <v>136</v>
      </c>
      <c r="D75" s="54"/>
      <c r="E75" s="55"/>
      <c r="F75" s="54"/>
      <c r="G75" s="166">
        <f>+G74+G73</f>
        <v>67462.943999999989</v>
      </c>
    </row>
  </sheetData>
  <autoFilter ref="A10:G75"/>
  <mergeCells count="11">
    <mergeCell ref="A1:G1"/>
    <mergeCell ref="A2:G2"/>
    <mergeCell ref="A11:D11"/>
    <mergeCell ref="A54:D54"/>
    <mergeCell ref="A4:G4"/>
    <mergeCell ref="A7:A9"/>
    <mergeCell ref="C7:C9"/>
    <mergeCell ref="D7:D9"/>
    <mergeCell ref="E7:E9"/>
    <mergeCell ref="F7:F9"/>
    <mergeCell ref="G7:G9"/>
  </mergeCells>
  <pageMargins left="0.7" right="0.7" top="0.75" bottom="0.75" header="0.3" footer="0.3"/>
  <pageSetup paperSize="9" scale="8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67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144</v>
      </c>
      <c r="B4" s="269"/>
      <c r="C4" s="269"/>
      <c r="D4" s="269"/>
      <c r="E4" s="269"/>
      <c r="F4" s="269"/>
      <c r="G4" s="269"/>
    </row>
    <row r="5" spans="1:7" x14ac:dyDescent="0.2">
      <c r="A5" s="212"/>
      <c r="B5" s="212"/>
      <c r="C5" s="215"/>
      <c r="D5" s="215"/>
      <c r="E5" s="215"/>
      <c r="F5" s="215"/>
      <c r="G5" s="188"/>
    </row>
    <row r="6" spans="1:7" ht="12.75" thickBot="1" x14ac:dyDescent="0.25">
      <c r="A6" s="64"/>
      <c r="B6" s="64"/>
    </row>
    <row r="7" spans="1:7" ht="12.75" thickTop="1" x14ac:dyDescent="0.2">
      <c r="A7" s="270" t="s">
        <v>9</v>
      </c>
      <c r="B7" s="116"/>
      <c r="C7" s="261" t="s">
        <v>10</v>
      </c>
      <c r="D7" s="261" t="s">
        <v>11</v>
      </c>
      <c r="E7" s="261" t="s">
        <v>12</v>
      </c>
      <c r="F7" s="261" t="s">
        <v>13</v>
      </c>
      <c r="G7" s="264" t="s">
        <v>14</v>
      </c>
    </row>
    <row r="8" spans="1:7" x14ac:dyDescent="0.2">
      <c r="A8" s="271"/>
      <c r="B8" s="117"/>
      <c r="C8" s="262"/>
      <c r="D8" s="262"/>
      <c r="E8" s="262"/>
      <c r="F8" s="262"/>
      <c r="G8" s="265"/>
    </row>
    <row r="9" spans="1:7" ht="12.75" thickBot="1" x14ac:dyDescent="0.25">
      <c r="A9" s="272"/>
      <c r="B9" s="118"/>
      <c r="C9" s="263"/>
      <c r="D9" s="263"/>
      <c r="E9" s="263"/>
      <c r="F9" s="263"/>
      <c r="G9" s="266"/>
    </row>
    <row r="10" spans="1:7" ht="12.75" thickTop="1" x14ac:dyDescent="0.2">
      <c r="A10" s="66">
        <v>1</v>
      </c>
      <c r="B10" s="119"/>
      <c r="C10" s="67">
        <v>2</v>
      </c>
      <c r="D10" s="67">
        <v>3</v>
      </c>
      <c r="E10" s="67">
        <v>4</v>
      </c>
      <c r="F10" s="83">
        <v>5</v>
      </c>
      <c r="G10" s="170">
        <v>6</v>
      </c>
    </row>
    <row r="11" spans="1:7" x14ac:dyDescent="0.2">
      <c r="A11" s="273" t="s">
        <v>15</v>
      </c>
      <c r="B11" s="274"/>
      <c r="C11" s="274"/>
      <c r="D11" s="274"/>
      <c r="E11" s="84"/>
      <c r="F11" s="140"/>
      <c r="G11" s="173"/>
    </row>
    <row r="12" spans="1:7" x14ac:dyDescent="0.2">
      <c r="A12" s="10">
        <v>1</v>
      </c>
      <c r="B12" s="10" t="s">
        <v>152</v>
      </c>
      <c r="C12" s="11" t="s">
        <v>16</v>
      </c>
      <c r="D12" s="12" t="s">
        <v>17</v>
      </c>
      <c r="E12" s="13">
        <v>50.8</v>
      </c>
      <c r="F12" s="112">
        <f>'Ед. Цени'!F21</f>
        <v>3.53</v>
      </c>
      <c r="G12" s="174">
        <f>ROUND((E12*F12),2)</f>
        <v>179.32</v>
      </c>
    </row>
    <row r="13" spans="1:7" x14ac:dyDescent="0.2">
      <c r="A13" s="10">
        <v>2</v>
      </c>
      <c r="B13" s="10" t="s">
        <v>153</v>
      </c>
      <c r="C13" s="14" t="s">
        <v>18</v>
      </c>
      <c r="D13" s="15" t="s">
        <v>19</v>
      </c>
      <c r="E13" s="16">
        <v>35.559999999999995</v>
      </c>
      <c r="F13" s="112">
        <f>'Ед. Цени'!F22</f>
        <v>6.89</v>
      </c>
      <c r="G13" s="174">
        <f t="shared" ref="G13:G44" si="0">ROUND((E13*F13),2)</f>
        <v>245.01</v>
      </c>
    </row>
    <row r="14" spans="1:7" x14ac:dyDescent="0.2">
      <c r="A14" s="10">
        <v>3</v>
      </c>
      <c r="B14" s="10" t="s">
        <v>154</v>
      </c>
      <c r="C14" s="14" t="s">
        <v>20</v>
      </c>
      <c r="D14" s="12" t="s">
        <v>21</v>
      </c>
      <c r="E14" s="13">
        <v>33.444180000000003</v>
      </c>
      <c r="F14" s="69">
        <f>'Ед. Цени'!F23</f>
        <v>5.5</v>
      </c>
      <c r="G14" s="174">
        <f t="shared" si="0"/>
        <v>183.94</v>
      </c>
    </row>
    <row r="15" spans="1:7" x14ac:dyDescent="0.2">
      <c r="A15" s="10">
        <v>4</v>
      </c>
      <c r="B15" s="10" t="s">
        <v>236</v>
      </c>
      <c r="C15" s="14" t="s">
        <v>22</v>
      </c>
      <c r="D15" s="12" t="s">
        <v>21</v>
      </c>
      <c r="E15" s="13">
        <v>14.333219999999999</v>
      </c>
      <c r="F15" s="112">
        <f>'Ед. Цени'!F85</f>
        <v>24.35</v>
      </c>
      <c r="G15" s="174">
        <f t="shared" si="0"/>
        <v>349.01</v>
      </c>
    </row>
    <row r="16" spans="1:7" ht="24" x14ac:dyDescent="0.2">
      <c r="A16" s="10">
        <v>5</v>
      </c>
      <c r="B16" s="10" t="s">
        <v>156</v>
      </c>
      <c r="C16" s="11" t="s">
        <v>23</v>
      </c>
      <c r="D16" s="12" t="s">
        <v>21</v>
      </c>
      <c r="E16" s="13">
        <v>14.333219999999999</v>
      </c>
      <c r="F16" s="69">
        <f>'Ед. Цени'!F25</f>
        <v>12.47</v>
      </c>
      <c r="G16" s="174">
        <f t="shared" si="0"/>
        <v>178.74</v>
      </c>
    </row>
    <row r="17" spans="1:7" x14ac:dyDescent="0.2">
      <c r="A17" s="10">
        <v>6</v>
      </c>
      <c r="B17" s="10" t="s">
        <v>157</v>
      </c>
      <c r="C17" s="11" t="s">
        <v>24</v>
      </c>
      <c r="D17" s="12" t="s">
        <v>21</v>
      </c>
      <c r="E17" s="17">
        <v>47.7774</v>
      </c>
      <c r="F17" s="69">
        <f>'Ед. Цени'!F26</f>
        <v>2.79</v>
      </c>
      <c r="G17" s="174">
        <f t="shared" si="0"/>
        <v>133.30000000000001</v>
      </c>
    </row>
    <row r="18" spans="1:7" x14ac:dyDescent="0.2">
      <c r="A18" s="10">
        <v>7</v>
      </c>
      <c r="B18" s="10" t="s">
        <v>158</v>
      </c>
      <c r="C18" s="11" t="s">
        <v>25</v>
      </c>
      <c r="D18" s="12" t="s">
        <v>21</v>
      </c>
      <c r="E18" s="17">
        <v>47.7774</v>
      </c>
      <c r="F18" s="69">
        <f>'Ед. Цени'!F27</f>
        <v>1.98</v>
      </c>
      <c r="G18" s="174">
        <f t="shared" si="0"/>
        <v>94.6</v>
      </c>
    </row>
    <row r="19" spans="1:7" x14ac:dyDescent="0.2">
      <c r="A19" s="10">
        <v>8</v>
      </c>
      <c r="B19" s="10" t="s">
        <v>159</v>
      </c>
      <c r="C19" s="11" t="s">
        <v>26</v>
      </c>
      <c r="D19" s="12" t="s">
        <v>21</v>
      </c>
      <c r="E19" s="17">
        <v>47.7774</v>
      </c>
      <c r="F19" s="69">
        <f>'Ед. Цени'!F28</f>
        <v>2.79</v>
      </c>
      <c r="G19" s="174">
        <f t="shared" si="0"/>
        <v>133.30000000000001</v>
      </c>
    </row>
    <row r="20" spans="1:7" x14ac:dyDescent="0.2">
      <c r="A20" s="10">
        <v>9</v>
      </c>
      <c r="B20" s="10" t="s">
        <v>160</v>
      </c>
      <c r="C20" s="18" t="s">
        <v>27</v>
      </c>
      <c r="D20" s="12" t="s">
        <v>19</v>
      </c>
      <c r="E20" s="17">
        <v>86.867999999999995</v>
      </c>
      <c r="F20" s="69">
        <f>'Ед. Цени'!F29</f>
        <v>2.42</v>
      </c>
      <c r="G20" s="174">
        <f t="shared" si="0"/>
        <v>210.22</v>
      </c>
    </row>
    <row r="21" spans="1:7" x14ac:dyDescent="0.2">
      <c r="A21" s="10">
        <v>10</v>
      </c>
      <c r="B21" s="10" t="s">
        <v>161</v>
      </c>
      <c r="C21" s="11" t="s">
        <v>28</v>
      </c>
      <c r="D21" s="12" t="s">
        <v>21</v>
      </c>
      <c r="E21" s="17">
        <v>13.970000000000002</v>
      </c>
      <c r="F21" s="112">
        <f>'Ед. Цени'!F30</f>
        <v>19.04</v>
      </c>
      <c r="G21" s="174">
        <f t="shared" si="0"/>
        <v>265.99</v>
      </c>
    </row>
    <row r="22" spans="1:7" x14ac:dyDescent="0.2">
      <c r="A22" s="10">
        <v>11</v>
      </c>
      <c r="B22" s="10" t="s">
        <v>162</v>
      </c>
      <c r="C22" s="11" t="s">
        <v>29</v>
      </c>
      <c r="D22" s="12" t="s">
        <v>21</v>
      </c>
      <c r="E22" s="17">
        <v>13.970000000000002</v>
      </c>
      <c r="F22" s="112">
        <f>'Ед. Цени'!F31</f>
        <v>6.14</v>
      </c>
      <c r="G22" s="174">
        <f t="shared" si="0"/>
        <v>85.78</v>
      </c>
    </row>
    <row r="23" spans="1:7" x14ac:dyDescent="0.2">
      <c r="A23" s="10">
        <v>12</v>
      </c>
      <c r="B23" s="10" t="s">
        <v>163</v>
      </c>
      <c r="C23" s="14" t="s">
        <v>30</v>
      </c>
      <c r="D23" s="12" t="s">
        <v>21</v>
      </c>
      <c r="E23" s="17">
        <v>2.7940000000000005</v>
      </c>
      <c r="F23" s="112">
        <f>'Ед. Цени'!F32</f>
        <v>8.17</v>
      </c>
      <c r="G23" s="174">
        <f t="shared" si="0"/>
        <v>22.83</v>
      </c>
    </row>
    <row r="24" spans="1:7" x14ac:dyDescent="0.2">
      <c r="A24" s="10">
        <v>13</v>
      </c>
      <c r="B24" s="10" t="s">
        <v>164</v>
      </c>
      <c r="C24" s="14" t="s">
        <v>31</v>
      </c>
      <c r="D24" s="12" t="s">
        <v>21</v>
      </c>
      <c r="E24" s="17">
        <v>11.176000000000002</v>
      </c>
      <c r="F24" s="112">
        <f>'Ед. Цени'!F33</f>
        <v>4.75</v>
      </c>
      <c r="G24" s="174">
        <f t="shared" si="0"/>
        <v>53.09</v>
      </c>
    </row>
    <row r="25" spans="1:7" x14ac:dyDescent="0.2">
      <c r="A25" s="10">
        <v>14</v>
      </c>
      <c r="B25" s="10" t="s">
        <v>165</v>
      </c>
      <c r="C25" s="11" t="s">
        <v>32</v>
      </c>
      <c r="D25" s="12" t="s">
        <v>21</v>
      </c>
      <c r="E25" s="17">
        <v>13.970000000000002</v>
      </c>
      <c r="F25" s="112">
        <f>'Ед. Цени'!F34</f>
        <v>3.66</v>
      </c>
      <c r="G25" s="174">
        <f t="shared" si="0"/>
        <v>51.13</v>
      </c>
    </row>
    <row r="26" spans="1:7" x14ac:dyDescent="0.2">
      <c r="A26" s="10">
        <v>15</v>
      </c>
      <c r="B26" s="10" t="s">
        <v>166</v>
      </c>
      <c r="C26" s="11" t="s">
        <v>33</v>
      </c>
      <c r="D26" s="12" t="s">
        <v>21</v>
      </c>
      <c r="E26" s="17">
        <v>16.433800000000002</v>
      </c>
      <c r="F26" s="112">
        <f>'Ед. Цени'!F35</f>
        <v>17.82</v>
      </c>
      <c r="G26" s="174">
        <f t="shared" si="0"/>
        <v>292.85000000000002</v>
      </c>
    </row>
    <row r="27" spans="1:7" x14ac:dyDescent="0.2">
      <c r="A27" s="10">
        <v>16</v>
      </c>
      <c r="B27" s="10" t="s">
        <v>167</v>
      </c>
      <c r="C27" s="11" t="s">
        <v>34</v>
      </c>
      <c r="D27" s="12" t="s">
        <v>21</v>
      </c>
      <c r="E27" s="17">
        <v>16.433800000000002</v>
      </c>
      <c r="F27" s="112">
        <f>'Ед. Цени'!F36</f>
        <v>6.14</v>
      </c>
      <c r="G27" s="174">
        <f t="shared" si="0"/>
        <v>100.9</v>
      </c>
    </row>
    <row r="28" spans="1:7" x14ac:dyDescent="0.2">
      <c r="A28" s="10">
        <v>17</v>
      </c>
      <c r="B28" s="10" t="s">
        <v>168</v>
      </c>
      <c r="C28" s="11" t="s">
        <v>35</v>
      </c>
      <c r="D28" s="12" t="s">
        <v>21</v>
      </c>
      <c r="E28" s="17">
        <v>16.433800000000002</v>
      </c>
      <c r="F28" s="112">
        <f>'Ед. Цени'!F37</f>
        <v>3.15</v>
      </c>
      <c r="G28" s="174">
        <f t="shared" si="0"/>
        <v>51.77</v>
      </c>
    </row>
    <row r="29" spans="1:7" x14ac:dyDescent="0.2">
      <c r="A29" s="10">
        <v>18</v>
      </c>
      <c r="B29" s="10" t="s">
        <v>169</v>
      </c>
      <c r="C29" s="14" t="s">
        <v>36</v>
      </c>
      <c r="D29" s="19" t="s">
        <v>19</v>
      </c>
      <c r="E29" s="16">
        <v>10.16</v>
      </c>
      <c r="F29" s="112">
        <f>'Ед. Цени'!F38</f>
        <v>1.85</v>
      </c>
      <c r="G29" s="174">
        <f t="shared" si="0"/>
        <v>18.8</v>
      </c>
    </row>
    <row r="30" spans="1:7" x14ac:dyDescent="0.2">
      <c r="A30" s="10">
        <v>19</v>
      </c>
      <c r="B30" s="10" t="s">
        <v>170</v>
      </c>
      <c r="C30" s="20" t="s">
        <v>37</v>
      </c>
      <c r="D30" s="19" t="s">
        <v>38</v>
      </c>
      <c r="E30" s="16">
        <v>0.254</v>
      </c>
      <c r="F30" s="112">
        <f>'Ед. Цени'!F39</f>
        <v>44.73</v>
      </c>
      <c r="G30" s="174">
        <f t="shared" si="0"/>
        <v>11.36</v>
      </c>
    </row>
    <row r="31" spans="1:7" x14ac:dyDescent="0.2">
      <c r="A31" s="10">
        <v>20</v>
      </c>
      <c r="B31" s="10" t="s">
        <v>171</v>
      </c>
      <c r="C31" s="21" t="s">
        <v>39</v>
      </c>
      <c r="D31" s="12" t="s">
        <v>21</v>
      </c>
      <c r="E31" s="13">
        <v>3.5559999999999996</v>
      </c>
      <c r="F31" s="112">
        <f>'Ед. Цени'!F40</f>
        <v>3.09</v>
      </c>
      <c r="G31" s="174">
        <f t="shared" si="0"/>
        <v>10.99</v>
      </c>
    </row>
    <row r="32" spans="1:7" x14ac:dyDescent="0.2">
      <c r="A32" s="10">
        <v>21</v>
      </c>
      <c r="B32" s="10" t="s">
        <v>172</v>
      </c>
      <c r="C32" s="22" t="s">
        <v>40</v>
      </c>
      <c r="D32" s="83" t="s">
        <v>21</v>
      </c>
      <c r="E32" s="29">
        <v>3.5559999999999996</v>
      </c>
      <c r="F32" s="112">
        <f>'Ед. Цени'!F41</f>
        <v>2.2999999999999998</v>
      </c>
      <c r="G32" s="174">
        <f t="shared" si="0"/>
        <v>8.18</v>
      </c>
    </row>
    <row r="33" spans="1:7" x14ac:dyDescent="0.2">
      <c r="A33" s="10">
        <v>22</v>
      </c>
      <c r="B33" s="103" t="s">
        <v>247</v>
      </c>
      <c r="C33" s="11" t="s">
        <v>120</v>
      </c>
      <c r="D33" s="12" t="s">
        <v>17</v>
      </c>
      <c r="E33" s="29">
        <v>25.4</v>
      </c>
      <c r="F33" s="112">
        <f>'Ед. Цени'!F97</f>
        <v>27.46</v>
      </c>
      <c r="G33" s="174">
        <f t="shared" si="0"/>
        <v>697.48</v>
      </c>
    </row>
    <row r="34" spans="1:7" x14ac:dyDescent="0.2">
      <c r="A34" s="10">
        <v>23</v>
      </c>
      <c r="B34" s="120" t="s">
        <v>249</v>
      </c>
      <c r="C34" s="21" t="s">
        <v>121</v>
      </c>
      <c r="D34" s="12" t="s">
        <v>38</v>
      </c>
      <c r="E34" s="29">
        <v>1</v>
      </c>
      <c r="F34" s="143">
        <f>'Ед. Цени'!F99</f>
        <v>47.17</v>
      </c>
      <c r="G34" s="174">
        <f t="shared" si="0"/>
        <v>47.17</v>
      </c>
    </row>
    <row r="35" spans="1:7" x14ac:dyDescent="0.2">
      <c r="A35" s="10">
        <v>24</v>
      </c>
      <c r="B35" s="120" t="s">
        <v>250</v>
      </c>
      <c r="C35" s="11" t="s">
        <v>122</v>
      </c>
      <c r="D35" s="12" t="s">
        <v>38</v>
      </c>
      <c r="E35" s="29">
        <v>1</v>
      </c>
      <c r="F35" s="112">
        <f>'Ед. Цени'!F100</f>
        <v>62.13</v>
      </c>
      <c r="G35" s="174">
        <f t="shared" si="0"/>
        <v>62.13</v>
      </c>
    </row>
    <row r="36" spans="1:7" x14ac:dyDescent="0.2">
      <c r="A36" s="10">
        <v>25</v>
      </c>
      <c r="B36" s="103" t="s">
        <v>238</v>
      </c>
      <c r="C36" s="11" t="s">
        <v>123</v>
      </c>
      <c r="D36" s="12" t="s">
        <v>38</v>
      </c>
      <c r="E36" s="108">
        <v>5.1166666666666671</v>
      </c>
      <c r="F36" s="112">
        <f>'Ед. Цени'!F89</f>
        <v>16.190000000000001</v>
      </c>
      <c r="G36" s="174">
        <f t="shared" si="0"/>
        <v>82.84</v>
      </c>
    </row>
    <row r="37" spans="1:7" x14ac:dyDescent="0.2">
      <c r="A37" s="10">
        <v>26</v>
      </c>
      <c r="B37" s="10" t="s">
        <v>176</v>
      </c>
      <c r="C37" s="11" t="s">
        <v>44</v>
      </c>
      <c r="D37" s="12" t="s">
        <v>38</v>
      </c>
      <c r="E37" s="13">
        <v>2</v>
      </c>
      <c r="F37" s="112">
        <f>'Ед. Цени'!F45</f>
        <v>14.87</v>
      </c>
      <c r="G37" s="174">
        <f t="shared" si="0"/>
        <v>29.74</v>
      </c>
    </row>
    <row r="38" spans="1:7" x14ac:dyDescent="0.2">
      <c r="A38" s="10">
        <v>27</v>
      </c>
      <c r="B38" s="10" t="s">
        <v>190</v>
      </c>
      <c r="C38" s="11" t="s">
        <v>56</v>
      </c>
      <c r="D38" s="12" t="s">
        <v>17</v>
      </c>
      <c r="E38" s="13">
        <v>25.4</v>
      </c>
      <c r="F38" s="112">
        <f>'Ед. Цени'!F59</f>
        <v>1.78</v>
      </c>
      <c r="G38" s="174">
        <f t="shared" si="0"/>
        <v>45.21</v>
      </c>
    </row>
    <row r="39" spans="1:7" x14ac:dyDescent="0.2">
      <c r="A39" s="10">
        <v>28</v>
      </c>
      <c r="B39" s="10" t="s">
        <v>191</v>
      </c>
      <c r="C39" s="18" t="s">
        <v>57</v>
      </c>
      <c r="D39" s="12" t="s">
        <v>17</v>
      </c>
      <c r="E39" s="13">
        <v>25.4</v>
      </c>
      <c r="F39" s="112">
        <f>'Ед. Цени'!F60</f>
        <v>1.61</v>
      </c>
      <c r="G39" s="174">
        <f t="shared" si="0"/>
        <v>40.89</v>
      </c>
    </row>
    <row r="40" spans="1:7" x14ac:dyDescent="0.2">
      <c r="A40" s="10">
        <v>29</v>
      </c>
      <c r="B40" s="10" t="s">
        <v>196</v>
      </c>
      <c r="C40" s="11" t="s">
        <v>62</v>
      </c>
      <c r="D40" s="12" t="s">
        <v>21</v>
      </c>
      <c r="E40" s="13">
        <v>14.223999999999998</v>
      </c>
      <c r="F40" s="112">
        <f>'Ед. Цени'!F65</f>
        <v>18.940000000000001</v>
      </c>
      <c r="G40" s="174">
        <f t="shared" si="0"/>
        <v>269.39999999999998</v>
      </c>
    </row>
    <row r="41" spans="1:7" x14ac:dyDescent="0.2">
      <c r="A41" s="10">
        <v>30</v>
      </c>
      <c r="B41" s="10" t="s">
        <v>197</v>
      </c>
      <c r="C41" s="11" t="s">
        <v>63</v>
      </c>
      <c r="D41" s="12" t="s">
        <v>19</v>
      </c>
      <c r="E41" s="13">
        <v>35.559999999999995</v>
      </c>
      <c r="F41" s="112">
        <f>'Ед. Цени'!F66</f>
        <v>1.77</v>
      </c>
      <c r="G41" s="174">
        <f t="shared" si="0"/>
        <v>62.94</v>
      </c>
    </row>
    <row r="42" spans="1:7" x14ac:dyDescent="0.2">
      <c r="A42" s="10">
        <v>31</v>
      </c>
      <c r="B42" s="10" t="s">
        <v>251</v>
      </c>
      <c r="C42" s="11" t="s">
        <v>135</v>
      </c>
      <c r="D42" s="12" t="s">
        <v>64</v>
      </c>
      <c r="E42" s="13">
        <v>4.2671999999999999</v>
      </c>
      <c r="F42" s="112">
        <f>'Ед. Цени'!F101</f>
        <v>125.37</v>
      </c>
      <c r="G42" s="174">
        <f t="shared" si="0"/>
        <v>534.98</v>
      </c>
    </row>
    <row r="43" spans="1:7" x14ac:dyDescent="0.2">
      <c r="A43" s="10">
        <v>32</v>
      </c>
      <c r="B43" s="10" t="s">
        <v>199</v>
      </c>
      <c r="C43" s="11" t="s">
        <v>65</v>
      </c>
      <c r="D43" s="12" t="s">
        <v>17</v>
      </c>
      <c r="E43" s="13">
        <v>25.4</v>
      </c>
      <c r="F43" s="112">
        <f>'Ед. Цени'!F68</f>
        <v>0.92</v>
      </c>
      <c r="G43" s="174">
        <f t="shared" si="0"/>
        <v>23.37</v>
      </c>
    </row>
    <row r="44" spans="1:7" ht="12.75" thickBot="1" x14ac:dyDescent="0.25">
      <c r="A44" s="10">
        <v>33</v>
      </c>
      <c r="B44" s="10" t="s">
        <v>200</v>
      </c>
      <c r="C44" s="30" t="s">
        <v>66</v>
      </c>
      <c r="D44" s="31" t="s">
        <v>17</v>
      </c>
      <c r="E44" s="13">
        <v>25.4</v>
      </c>
      <c r="F44" s="112">
        <f>'Ед. Цени'!F69</f>
        <v>1.41</v>
      </c>
      <c r="G44" s="174">
        <f t="shared" si="0"/>
        <v>35.81</v>
      </c>
    </row>
    <row r="45" spans="1:7" ht="12.75" thickTop="1" x14ac:dyDescent="0.2">
      <c r="A45" s="74"/>
      <c r="B45" s="121"/>
      <c r="C45" s="32" t="s">
        <v>67</v>
      </c>
      <c r="D45" s="33"/>
      <c r="E45" s="34"/>
      <c r="F45" s="33"/>
      <c r="G45" s="175">
        <f>SUM(G12:G44)</f>
        <v>4613.0700000000006</v>
      </c>
    </row>
    <row r="46" spans="1:7" x14ac:dyDescent="0.2">
      <c r="A46" s="273" t="s">
        <v>68</v>
      </c>
      <c r="B46" s="274"/>
      <c r="C46" s="274"/>
      <c r="D46" s="275"/>
      <c r="E46" s="36"/>
      <c r="F46" s="35"/>
      <c r="G46" s="172"/>
    </row>
    <row r="47" spans="1:7" x14ac:dyDescent="0.2">
      <c r="A47" s="86">
        <v>1</v>
      </c>
      <c r="B47" s="75" t="s">
        <v>201</v>
      </c>
      <c r="C47" s="87" t="s">
        <v>69</v>
      </c>
      <c r="D47" s="86" t="s">
        <v>21</v>
      </c>
      <c r="E47" s="39">
        <v>5.08</v>
      </c>
      <c r="F47" s="22">
        <f>'Ед. Цени'!F70</f>
        <v>7.8</v>
      </c>
      <c r="G47" s="176">
        <f>ROUND((E47*F47),2)</f>
        <v>39.619999999999997</v>
      </c>
    </row>
    <row r="48" spans="1:7" x14ac:dyDescent="0.2">
      <c r="A48" s="86">
        <v>2</v>
      </c>
      <c r="B48" s="75" t="s">
        <v>202</v>
      </c>
      <c r="C48" s="87" t="s">
        <v>70</v>
      </c>
      <c r="D48" s="86" t="s">
        <v>21</v>
      </c>
      <c r="E48" s="39">
        <v>2.169999999999999</v>
      </c>
      <c r="F48" s="22">
        <f>'Ед. Цени'!F71</f>
        <v>16.63</v>
      </c>
      <c r="G48" s="176">
        <f t="shared" ref="G48:G62" si="1">ROUND((E48*F48),2)</f>
        <v>36.090000000000003</v>
      </c>
    </row>
    <row r="49" spans="1:7" x14ac:dyDescent="0.2">
      <c r="A49" s="86">
        <v>3</v>
      </c>
      <c r="B49" s="75" t="s">
        <v>203</v>
      </c>
      <c r="C49" s="89" t="s">
        <v>71</v>
      </c>
      <c r="D49" s="86" t="s">
        <v>19</v>
      </c>
      <c r="E49" s="39">
        <v>12</v>
      </c>
      <c r="F49" s="22">
        <f>'Ед. Цени'!F72</f>
        <v>6.09</v>
      </c>
      <c r="G49" s="176">
        <f t="shared" si="1"/>
        <v>73.08</v>
      </c>
    </row>
    <row r="50" spans="1:7" x14ac:dyDescent="0.2">
      <c r="A50" s="86">
        <v>4</v>
      </c>
      <c r="B50" s="75" t="s">
        <v>204</v>
      </c>
      <c r="C50" s="87" t="s">
        <v>72</v>
      </c>
      <c r="D50" s="86" t="s">
        <v>21</v>
      </c>
      <c r="E50" s="39">
        <v>2.6</v>
      </c>
      <c r="F50" s="22">
        <f>'Ед. Цени'!F73</f>
        <v>1.64</v>
      </c>
      <c r="G50" s="176">
        <f t="shared" si="1"/>
        <v>4.26</v>
      </c>
    </row>
    <row r="51" spans="1:7" x14ac:dyDescent="0.2">
      <c r="A51" s="86">
        <v>5</v>
      </c>
      <c r="B51" s="75" t="s">
        <v>205</v>
      </c>
      <c r="C51" s="87" t="s">
        <v>73</v>
      </c>
      <c r="D51" s="86" t="s">
        <v>21</v>
      </c>
      <c r="E51" s="39">
        <v>7.5</v>
      </c>
      <c r="F51" s="22">
        <f>'Ед. Цени'!F74</f>
        <v>8.5399999999999991</v>
      </c>
      <c r="G51" s="176">
        <f t="shared" si="1"/>
        <v>64.05</v>
      </c>
    </row>
    <row r="52" spans="1:7" x14ac:dyDescent="0.2">
      <c r="A52" s="86">
        <v>6</v>
      </c>
      <c r="B52" s="10" t="s">
        <v>158</v>
      </c>
      <c r="C52" s="89" t="s">
        <v>25</v>
      </c>
      <c r="D52" s="86" t="s">
        <v>21</v>
      </c>
      <c r="E52" s="39">
        <v>7.5</v>
      </c>
      <c r="F52" s="69">
        <f>'Ед. Цени'!F27</f>
        <v>1.98</v>
      </c>
      <c r="G52" s="176">
        <f t="shared" si="1"/>
        <v>14.85</v>
      </c>
    </row>
    <row r="53" spans="1:7" x14ac:dyDescent="0.2">
      <c r="A53" s="86">
        <v>7</v>
      </c>
      <c r="B53" s="75" t="s">
        <v>206</v>
      </c>
      <c r="C53" s="87" t="s">
        <v>74</v>
      </c>
      <c r="D53" s="86" t="s">
        <v>19</v>
      </c>
      <c r="E53" s="39">
        <v>125</v>
      </c>
      <c r="F53" s="22">
        <f>'Ед. Цени'!F75</f>
        <v>1.78</v>
      </c>
      <c r="G53" s="176">
        <f t="shared" si="1"/>
        <v>222.5</v>
      </c>
    </row>
    <row r="54" spans="1:7" x14ac:dyDescent="0.2">
      <c r="A54" s="86">
        <v>8</v>
      </c>
      <c r="B54" s="75" t="s">
        <v>207</v>
      </c>
      <c r="C54" s="87" t="s">
        <v>75</v>
      </c>
      <c r="D54" s="86" t="s">
        <v>21</v>
      </c>
      <c r="E54" s="39">
        <v>6</v>
      </c>
      <c r="F54" s="22">
        <f>'Ед. Цени'!F76</f>
        <v>1.78</v>
      </c>
      <c r="G54" s="176">
        <f t="shared" si="1"/>
        <v>10.68</v>
      </c>
    </row>
    <row r="55" spans="1:7" x14ac:dyDescent="0.2">
      <c r="A55" s="86">
        <v>9</v>
      </c>
      <c r="B55" s="75" t="s">
        <v>208</v>
      </c>
      <c r="C55" s="87" t="s">
        <v>76</v>
      </c>
      <c r="D55" s="86" t="s">
        <v>77</v>
      </c>
      <c r="E55" s="39">
        <v>8.75</v>
      </c>
      <c r="F55" s="22">
        <f>'Ед. Цени'!F77</f>
        <v>21.54</v>
      </c>
      <c r="G55" s="176">
        <f t="shared" si="1"/>
        <v>188.48</v>
      </c>
    </row>
    <row r="56" spans="1:7" x14ac:dyDescent="0.2">
      <c r="A56" s="86">
        <v>10</v>
      </c>
      <c r="B56" s="75" t="s">
        <v>209</v>
      </c>
      <c r="C56" s="87" t="s">
        <v>78</v>
      </c>
      <c r="D56" s="86" t="s">
        <v>79</v>
      </c>
      <c r="E56" s="39">
        <v>20</v>
      </c>
      <c r="F56" s="22">
        <f>'Ед. Цени'!F78</f>
        <v>6.93</v>
      </c>
      <c r="G56" s="176">
        <f t="shared" si="1"/>
        <v>138.6</v>
      </c>
    </row>
    <row r="57" spans="1:7" x14ac:dyDescent="0.2">
      <c r="A57" s="86">
        <v>11</v>
      </c>
      <c r="B57" s="75" t="s">
        <v>210</v>
      </c>
      <c r="C57" s="87" t="s">
        <v>80</v>
      </c>
      <c r="D57" s="86" t="s">
        <v>79</v>
      </c>
      <c r="E57" s="39">
        <v>20</v>
      </c>
      <c r="F57" s="22">
        <f>'Ед. Цени'!F79</f>
        <v>27.54</v>
      </c>
      <c r="G57" s="176">
        <f t="shared" si="1"/>
        <v>550.79999999999995</v>
      </c>
    </row>
    <row r="58" spans="1:7" x14ac:dyDescent="0.2">
      <c r="A58" s="86">
        <v>12</v>
      </c>
      <c r="B58" s="75" t="s">
        <v>211</v>
      </c>
      <c r="C58" s="87" t="s">
        <v>81</v>
      </c>
      <c r="D58" s="86" t="s">
        <v>19</v>
      </c>
      <c r="E58" s="39">
        <v>14.000000000000002</v>
      </c>
      <c r="F58" s="22">
        <f>'Ед. Цени'!F80</f>
        <v>7.88</v>
      </c>
      <c r="G58" s="176">
        <f t="shared" si="1"/>
        <v>110.32</v>
      </c>
    </row>
    <row r="59" spans="1:7" x14ac:dyDescent="0.2">
      <c r="A59" s="86">
        <v>13</v>
      </c>
      <c r="B59" s="75" t="s">
        <v>212</v>
      </c>
      <c r="C59" s="87" t="s">
        <v>82</v>
      </c>
      <c r="D59" s="86" t="s">
        <v>19</v>
      </c>
      <c r="E59" s="39">
        <v>14.000000000000002</v>
      </c>
      <c r="F59" s="22">
        <f>'Ед. Цени'!F81</f>
        <v>14.48</v>
      </c>
      <c r="G59" s="176">
        <f t="shared" si="1"/>
        <v>202.72</v>
      </c>
    </row>
    <row r="60" spans="1:7" x14ac:dyDescent="0.2">
      <c r="A60" s="86">
        <v>14</v>
      </c>
      <c r="B60" s="75" t="s">
        <v>213</v>
      </c>
      <c r="C60" s="87" t="s">
        <v>83</v>
      </c>
      <c r="D60" s="86" t="s">
        <v>19</v>
      </c>
      <c r="E60" s="39">
        <v>113.75</v>
      </c>
      <c r="F60" s="22">
        <f>'Ед. Цени'!F82</f>
        <v>11.72</v>
      </c>
      <c r="G60" s="176">
        <f t="shared" si="1"/>
        <v>1333.15</v>
      </c>
    </row>
    <row r="61" spans="1:7" x14ac:dyDescent="0.2">
      <c r="A61" s="86">
        <v>15</v>
      </c>
      <c r="B61" s="75" t="s">
        <v>214</v>
      </c>
      <c r="C61" s="87" t="s">
        <v>84</v>
      </c>
      <c r="D61" s="86" t="s">
        <v>19</v>
      </c>
      <c r="E61" s="39">
        <v>150</v>
      </c>
      <c r="F61" s="22">
        <f>'Ед. Цени'!F83</f>
        <v>1.89</v>
      </c>
      <c r="G61" s="176">
        <f t="shared" si="1"/>
        <v>283.5</v>
      </c>
    </row>
    <row r="62" spans="1:7" x14ac:dyDescent="0.2">
      <c r="A62" s="86">
        <v>16</v>
      </c>
      <c r="B62" s="75" t="s">
        <v>215</v>
      </c>
      <c r="C62" s="87" t="s">
        <v>85</v>
      </c>
      <c r="D62" s="86" t="s">
        <v>77</v>
      </c>
      <c r="E62" s="39">
        <v>18</v>
      </c>
      <c r="F62" s="22">
        <f>'Ед. Цени'!F84</f>
        <v>134.12</v>
      </c>
      <c r="G62" s="176">
        <f t="shared" si="1"/>
        <v>2414.16</v>
      </c>
    </row>
    <row r="63" spans="1:7" x14ac:dyDescent="0.2">
      <c r="A63" s="66"/>
      <c r="B63" s="119"/>
      <c r="C63" s="42"/>
      <c r="D63" s="35"/>
      <c r="E63" s="36"/>
      <c r="F63" s="35"/>
      <c r="G63" s="172"/>
    </row>
    <row r="64" spans="1:7" ht="12.75" thickBot="1" x14ac:dyDescent="0.25">
      <c r="A64" s="66"/>
      <c r="B64" s="119"/>
      <c r="C64" s="42" t="s">
        <v>86</v>
      </c>
      <c r="D64" s="35"/>
      <c r="E64" s="36"/>
      <c r="F64" s="35"/>
      <c r="G64" s="172">
        <f>SUM(G47:G62)</f>
        <v>5686.86</v>
      </c>
    </row>
    <row r="65" spans="1:7" x14ac:dyDescent="0.2">
      <c r="A65" s="79"/>
      <c r="B65" s="123"/>
      <c r="C65" s="50" t="s">
        <v>87</v>
      </c>
      <c r="D65" s="51"/>
      <c r="E65" s="52"/>
      <c r="F65" s="51"/>
      <c r="G65" s="164">
        <f>SUM(G45+G64)</f>
        <v>10299.93</v>
      </c>
    </row>
    <row r="66" spans="1:7" x14ac:dyDescent="0.2">
      <c r="A66" s="80"/>
      <c r="B66" s="124"/>
      <c r="C66" s="44" t="s">
        <v>138</v>
      </c>
      <c r="D66" s="45"/>
      <c r="E66" s="46"/>
      <c r="F66" s="45"/>
      <c r="G66" s="165">
        <f>+G64*0.2</f>
        <v>1137.3720000000001</v>
      </c>
    </row>
    <row r="67" spans="1:7" ht="12.75" thickBot="1" x14ac:dyDescent="0.25">
      <c r="A67" s="81"/>
      <c r="B67" s="125"/>
      <c r="C67" s="53" t="s">
        <v>136</v>
      </c>
      <c r="D67" s="54"/>
      <c r="E67" s="55"/>
      <c r="F67" s="54"/>
      <c r="G67" s="166">
        <f>+G66+G65</f>
        <v>11437.302</v>
      </c>
    </row>
  </sheetData>
  <autoFilter ref="A10:G67"/>
  <mergeCells count="11">
    <mergeCell ref="A1:G1"/>
    <mergeCell ref="A2:G2"/>
    <mergeCell ref="A4:G4"/>
    <mergeCell ref="G7:G9"/>
    <mergeCell ref="A11:D11"/>
    <mergeCell ref="F7:F9"/>
    <mergeCell ref="A46:D46"/>
    <mergeCell ref="A7:A9"/>
    <mergeCell ref="C7:C9"/>
    <mergeCell ref="D7:D9"/>
    <mergeCell ref="E7:E9"/>
  </mergeCells>
  <pageMargins left="0.7" right="0.7" top="0.75" bottom="0.75" header="0.3" footer="0.3"/>
  <pageSetup paperSize="9" scale="8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0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145</v>
      </c>
      <c r="B4" s="269"/>
      <c r="C4" s="269"/>
      <c r="D4" s="269"/>
      <c r="E4" s="269"/>
      <c r="F4" s="269"/>
      <c r="G4" s="269"/>
    </row>
    <row r="5" spans="1:7" x14ac:dyDescent="0.2">
      <c r="A5" s="212"/>
      <c r="B5" s="212"/>
      <c r="C5" s="212"/>
      <c r="D5" s="212"/>
      <c r="E5" s="212"/>
      <c r="F5" s="212"/>
      <c r="G5" s="168"/>
    </row>
    <row r="6" spans="1:7" ht="12.75" thickBot="1" x14ac:dyDescent="0.25">
      <c r="A6" s="64"/>
      <c r="B6" s="64"/>
      <c r="C6" s="65"/>
      <c r="D6" s="65"/>
      <c r="E6" s="65"/>
      <c r="F6" s="65"/>
      <c r="G6" s="169"/>
    </row>
    <row r="7" spans="1:7" ht="12.75" thickTop="1" x14ac:dyDescent="0.2">
      <c r="A7" s="279" t="s">
        <v>9</v>
      </c>
      <c r="B7" s="129"/>
      <c r="C7" s="261" t="s">
        <v>10</v>
      </c>
      <c r="D7" s="261" t="s">
        <v>11</v>
      </c>
      <c r="E7" s="261" t="s">
        <v>12</v>
      </c>
      <c r="F7" s="261" t="s">
        <v>13</v>
      </c>
      <c r="G7" s="264" t="s">
        <v>14</v>
      </c>
    </row>
    <row r="8" spans="1:7" x14ac:dyDescent="0.2">
      <c r="A8" s="280"/>
      <c r="B8" s="130"/>
      <c r="C8" s="262"/>
      <c r="D8" s="262"/>
      <c r="E8" s="262"/>
      <c r="F8" s="262"/>
      <c r="G8" s="265"/>
    </row>
    <row r="9" spans="1:7" ht="12.75" thickBot="1" x14ac:dyDescent="0.25">
      <c r="A9" s="281"/>
      <c r="B9" s="131"/>
      <c r="C9" s="263"/>
      <c r="D9" s="263"/>
      <c r="E9" s="263"/>
      <c r="F9" s="263"/>
      <c r="G9" s="266"/>
    </row>
    <row r="10" spans="1:7" ht="12.75" thickTop="1" x14ac:dyDescent="0.2">
      <c r="A10" s="105">
        <v>1</v>
      </c>
      <c r="B10" s="135"/>
      <c r="C10" s="67">
        <v>2</v>
      </c>
      <c r="D10" s="67">
        <v>3</v>
      </c>
      <c r="E10" s="67">
        <v>4</v>
      </c>
      <c r="F10" s="83">
        <v>5</v>
      </c>
      <c r="G10" s="170">
        <v>6</v>
      </c>
    </row>
    <row r="11" spans="1:7" x14ac:dyDescent="0.2">
      <c r="A11" s="273" t="s">
        <v>15</v>
      </c>
      <c r="B11" s="274"/>
      <c r="C11" s="274"/>
      <c r="D11" s="274"/>
      <c r="E11" s="84"/>
      <c r="F11" s="140"/>
      <c r="G11" s="173"/>
    </row>
    <row r="12" spans="1:7" x14ac:dyDescent="0.2">
      <c r="A12" s="103">
        <v>1</v>
      </c>
      <c r="B12" s="10" t="s">
        <v>152</v>
      </c>
      <c r="C12" s="11" t="s">
        <v>16</v>
      </c>
      <c r="D12" s="12" t="s">
        <v>17</v>
      </c>
      <c r="E12" s="13">
        <v>388.2</v>
      </c>
      <c r="F12" s="112">
        <f>'Ед. Цени'!F21</f>
        <v>3.53</v>
      </c>
      <c r="G12" s="174">
        <f>ROUND((E12*F12),2)</f>
        <v>1370.35</v>
      </c>
    </row>
    <row r="13" spans="1:7" x14ac:dyDescent="0.2">
      <c r="A13" s="103">
        <v>2</v>
      </c>
      <c r="B13" s="10" t="s">
        <v>153</v>
      </c>
      <c r="C13" s="14" t="s">
        <v>18</v>
      </c>
      <c r="D13" s="15" t="s">
        <v>19</v>
      </c>
      <c r="E13" s="16">
        <v>271.73999999999995</v>
      </c>
      <c r="F13" s="112">
        <f>'Ед. Цени'!F22</f>
        <v>6.89</v>
      </c>
      <c r="G13" s="174">
        <f t="shared" ref="G13:G57" si="0">ROUND((E13*F13),2)</f>
        <v>1872.29</v>
      </c>
    </row>
    <row r="14" spans="1:7" x14ac:dyDescent="0.2">
      <c r="A14" s="103">
        <v>3</v>
      </c>
      <c r="B14" s="10" t="s">
        <v>154</v>
      </c>
      <c r="C14" s="14" t="s">
        <v>20</v>
      </c>
      <c r="D14" s="12" t="s">
        <v>21</v>
      </c>
      <c r="E14" s="13">
        <v>255.57147000000001</v>
      </c>
      <c r="F14" s="69">
        <f>'Ед. Цени'!F23</f>
        <v>5.5</v>
      </c>
      <c r="G14" s="174">
        <f t="shared" si="0"/>
        <v>1405.64</v>
      </c>
    </row>
    <row r="15" spans="1:7" x14ac:dyDescent="0.2">
      <c r="A15" s="103">
        <v>4</v>
      </c>
      <c r="B15" s="10" t="s">
        <v>236</v>
      </c>
      <c r="C15" s="14" t="s">
        <v>22</v>
      </c>
      <c r="D15" s="12" t="s">
        <v>21</v>
      </c>
      <c r="E15" s="13">
        <v>109.53063</v>
      </c>
      <c r="F15" s="112">
        <f>'Ед. Цени'!F85</f>
        <v>24.35</v>
      </c>
      <c r="G15" s="174">
        <f t="shared" si="0"/>
        <v>2667.07</v>
      </c>
    </row>
    <row r="16" spans="1:7" ht="24" x14ac:dyDescent="0.2">
      <c r="A16" s="103">
        <v>5</v>
      </c>
      <c r="B16" s="10" t="s">
        <v>156</v>
      </c>
      <c r="C16" s="11" t="s">
        <v>23</v>
      </c>
      <c r="D16" s="12" t="s">
        <v>21</v>
      </c>
      <c r="E16" s="13">
        <v>109.53063</v>
      </c>
      <c r="F16" s="69">
        <f>'Ед. Цени'!F25</f>
        <v>12.47</v>
      </c>
      <c r="G16" s="174">
        <f t="shared" si="0"/>
        <v>1365.85</v>
      </c>
    </row>
    <row r="17" spans="1:7" x14ac:dyDescent="0.2">
      <c r="A17" s="103">
        <v>6</v>
      </c>
      <c r="B17" s="10" t="s">
        <v>157</v>
      </c>
      <c r="C17" s="11" t="s">
        <v>24</v>
      </c>
      <c r="D17" s="12" t="s">
        <v>21</v>
      </c>
      <c r="E17" s="17">
        <v>365.10210000000001</v>
      </c>
      <c r="F17" s="69">
        <f>'Ед. Цени'!F26</f>
        <v>2.79</v>
      </c>
      <c r="G17" s="174">
        <f t="shared" si="0"/>
        <v>1018.63</v>
      </c>
    </row>
    <row r="18" spans="1:7" x14ac:dyDescent="0.2">
      <c r="A18" s="103">
        <v>7</v>
      </c>
      <c r="B18" s="10" t="s">
        <v>158</v>
      </c>
      <c r="C18" s="11" t="s">
        <v>25</v>
      </c>
      <c r="D18" s="12" t="s">
        <v>21</v>
      </c>
      <c r="E18" s="17">
        <v>365.10210000000001</v>
      </c>
      <c r="F18" s="69">
        <f>'Ед. Цени'!F27</f>
        <v>1.98</v>
      </c>
      <c r="G18" s="174">
        <f t="shared" si="0"/>
        <v>722.9</v>
      </c>
    </row>
    <row r="19" spans="1:7" x14ac:dyDescent="0.2">
      <c r="A19" s="103">
        <v>8</v>
      </c>
      <c r="B19" s="10" t="s">
        <v>159</v>
      </c>
      <c r="C19" s="11" t="s">
        <v>26</v>
      </c>
      <c r="D19" s="12" t="s">
        <v>21</v>
      </c>
      <c r="E19" s="17">
        <v>365.10210000000001</v>
      </c>
      <c r="F19" s="69">
        <f>'Ед. Цени'!F28</f>
        <v>2.79</v>
      </c>
      <c r="G19" s="174">
        <f t="shared" si="0"/>
        <v>1018.63</v>
      </c>
    </row>
    <row r="20" spans="1:7" x14ac:dyDescent="0.2">
      <c r="A20" s="103">
        <v>9</v>
      </c>
      <c r="B20" s="10" t="s">
        <v>160</v>
      </c>
      <c r="C20" s="18" t="s">
        <v>27</v>
      </c>
      <c r="D20" s="12" t="s">
        <v>19</v>
      </c>
      <c r="E20" s="17">
        <v>663.822</v>
      </c>
      <c r="F20" s="69">
        <f>'Ед. Цени'!F29</f>
        <v>2.42</v>
      </c>
      <c r="G20" s="174">
        <f t="shared" si="0"/>
        <v>1606.45</v>
      </c>
    </row>
    <row r="21" spans="1:7" x14ac:dyDescent="0.2">
      <c r="A21" s="103">
        <v>10</v>
      </c>
      <c r="B21" s="10" t="s">
        <v>161</v>
      </c>
      <c r="C21" s="11" t="s">
        <v>28</v>
      </c>
      <c r="D21" s="12" t="s">
        <v>21</v>
      </c>
      <c r="E21" s="17">
        <v>106.75500000000001</v>
      </c>
      <c r="F21" s="112">
        <f>'Ед. Цени'!F30</f>
        <v>19.04</v>
      </c>
      <c r="G21" s="174">
        <f t="shared" si="0"/>
        <v>2032.62</v>
      </c>
    </row>
    <row r="22" spans="1:7" x14ac:dyDescent="0.2">
      <c r="A22" s="103">
        <v>11</v>
      </c>
      <c r="B22" s="10" t="s">
        <v>162</v>
      </c>
      <c r="C22" s="11" t="s">
        <v>29</v>
      </c>
      <c r="D22" s="12" t="s">
        <v>21</v>
      </c>
      <c r="E22" s="17">
        <v>106.75500000000001</v>
      </c>
      <c r="F22" s="112">
        <f>'Ед. Цени'!F31</f>
        <v>6.14</v>
      </c>
      <c r="G22" s="174">
        <f t="shared" si="0"/>
        <v>655.48</v>
      </c>
    </row>
    <row r="23" spans="1:7" x14ac:dyDescent="0.2">
      <c r="A23" s="103">
        <v>12</v>
      </c>
      <c r="B23" s="10" t="s">
        <v>163</v>
      </c>
      <c r="C23" s="14" t="s">
        <v>30</v>
      </c>
      <c r="D23" s="12" t="s">
        <v>21</v>
      </c>
      <c r="E23" s="17">
        <v>21.351000000000003</v>
      </c>
      <c r="F23" s="112">
        <f>'Ед. Цени'!F32</f>
        <v>8.17</v>
      </c>
      <c r="G23" s="174">
        <f t="shared" si="0"/>
        <v>174.44</v>
      </c>
    </row>
    <row r="24" spans="1:7" x14ac:dyDescent="0.2">
      <c r="A24" s="103">
        <v>13</v>
      </c>
      <c r="B24" s="10" t="s">
        <v>164</v>
      </c>
      <c r="C24" s="14" t="s">
        <v>31</v>
      </c>
      <c r="D24" s="12" t="s">
        <v>21</v>
      </c>
      <c r="E24" s="17">
        <v>85.404000000000011</v>
      </c>
      <c r="F24" s="112">
        <f>'Ед. Цени'!F33</f>
        <v>4.75</v>
      </c>
      <c r="G24" s="174">
        <f t="shared" si="0"/>
        <v>405.67</v>
      </c>
    </row>
    <row r="25" spans="1:7" x14ac:dyDescent="0.2">
      <c r="A25" s="103">
        <v>14</v>
      </c>
      <c r="B25" s="10" t="s">
        <v>165</v>
      </c>
      <c r="C25" s="11" t="s">
        <v>32</v>
      </c>
      <c r="D25" s="12" t="s">
        <v>21</v>
      </c>
      <c r="E25" s="17">
        <v>106.75500000000001</v>
      </c>
      <c r="F25" s="112">
        <f>'Ед. Цени'!F34</f>
        <v>3.66</v>
      </c>
      <c r="G25" s="174">
        <f t="shared" si="0"/>
        <v>390.72</v>
      </c>
    </row>
    <row r="26" spans="1:7" x14ac:dyDescent="0.2">
      <c r="A26" s="103">
        <v>15</v>
      </c>
      <c r="B26" s="10" t="s">
        <v>166</v>
      </c>
      <c r="C26" s="11" t="s">
        <v>33</v>
      </c>
      <c r="D26" s="12" t="s">
        <v>21</v>
      </c>
      <c r="E26" s="17">
        <v>172.94310000000002</v>
      </c>
      <c r="F26" s="112">
        <f>'Ед. Цени'!F35</f>
        <v>17.82</v>
      </c>
      <c r="G26" s="174">
        <f t="shared" si="0"/>
        <v>3081.85</v>
      </c>
    </row>
    <row r="27" spans="1:7" x14ac:dyDescent="0.2">
      <c r="A27" s="103">
        <v>16</v>
      </c>
      <c r="B27" s="10" t="s">
        <v>167</v>
      </c>
      <c r="C27" s="11" t="s">
        <v>34</v>
      </c>
      <c r="D27" s="12" t="s">
        <v>21</v>
      </c>
      <c r="E27" s="17">
        <v>172.94310000000002</v>
      </c>
      <c r="F27" s="112">
        <f>'Ед. Цени'!F36</f>
        <v>6.14</v>
      </c>
      <c r="G27" s="174">
        <f t="shared" si="0"/>
        <v>1061.8699999999999</v>
      </c>
    </row>
    <row r="28" spans="1:7" x14ac:dyDescent="0.2">
      <c r="A28" s="103">
        <v>17</v>
      </c>
      <c r="B28" s="10" t="s">
        <v>168</v>
      </c>
      <c r="C28" s="11" t="s">
        <v>35</v>
      </c>
      <c r="D28" s="12" t="s">
        <v>21</v>
      </c>
      <c r="E28" s="17">
        <v>172.94310000000002</v>
      </c>
      <c r="F28" s="112">
        <f>'Ед. Цени'!F37</f>
        <v>3.15</v>
      </c>
      <c r="G28" s="174">
        <f t="shared" si="0"/>
        <v>544.77</v>
      </c>
    </row>
    <row r="29" spans="1:7" x14ac:dyDescent="0.2">
      <c r="A29" s="103">
        <v>18</v>
      </c>
      <c r="B29" s="10" t="s">
        <v>169</v>
      </c>
      <c r="C29" s="14" t="s">
        <v>36</v>
      </c>
      <c r="D29" s="19" t="s">
        <v>19</v>
      </c>
      <c r="E29" s="16">
        <v>77.64</v>
      </c>
      <c r="F29" s="112">
        <f>'Ед. Цени'!F38</f>
        <v>1.85</v>
      </c>
      <c r="G29" s="174">
        <f t="shared" si="0"/>
        <v>143.63</v>
      </c>
    </row>
    <row r="30" spans="1:7" x14ac:dyDescent="0.2">
      <c r="A30" s="103">
        <v>19</v>
      </c>
      <c r="B30" s="10" t="s">
        <v>170</v>
      </c>
      <c r="C30" s="20" t="s">
        <v>37</v>
      </c>
      <c r="D30" s="19" t="s">
        <v>38</v>
      </c>
      <c r="E30" s="16">
        <v>1.9409999999999998</v>
      </c>
      <c r="F30" s="112">
        <f>'Ед. Цени'!F39</f>
        <v>44.73</v>
      </c>
      <c r="G30" s="174">
        <f t="shared" si="0"/>
        <v>86.82</v>
      </c>
    </row>
    <row r="31" spans="1:7" x14ac:dyDescent="0.2">
      <c r="A31" s="103">
        <v>20</v>
      </c>
      <c r="B31" s="10" t="s">
        <v>171</v>
      </c>
      <c r="C31" s="21" t="s">
        <v>39</v>
      </c>
      <c r="D31" s="12" t="s">
        <v>21</v>
      </c>
      <c r="E31" s="13">
        <v>27.173999999999996</v>
      </c>
      <c r="F31" s="112">
        <f>'Ед. Цени'!F40</f>
        <v>3.09</v>
      </c>
      <c r="G31" s="174">
        <f t="shared" si="0"/>
        <v>83.97</v>
      </c>
    </row>
    <row r="32" spans="1:7" x14ac:dyDescent="0.2">
      <c r="A32" s="103">
        <v>21</v>
      </c>
      <c r="B32" s="10" t="s">
        <v>172</v>
      </c>
      <c r="C32" s="22" t="s">
        <v>40</v>
      </c>
      <c r="D32" s="83" t="s">
        <v>21</v>
      </c>
      <c r="E32" s="29">
        <v>27.173999999999996</v>
      </c>
      <c r="F32" s="112">
        <f>'Ед. Цени'!F41</f>
        <v>2.2999999999999998</v>
      </c>
      <c r="G32" s="174">
        <f t="shared" si="0"/>
        <v>62.5</v>
      </c>
    </row>
    <row r="33" spans="1:7" x14ac:dyDescent="0.2">
      <c r="A33" s="103">
        <v>22</v>
      </c>
      <c r="B33" s="103" t="s">
        <v>247</v>
      </c>
      <c r="C33" s="11" t="s">
        <v>120</v>
      </c>
      <c r="D33" s="12" t="s">
        <v>17</v>
      </c>
      <c r="E33" s="13">
        <v>134.4</v>
      </c>
      <c r="F33" s="112">
        <f>'Ед. Цени'!F97</f>
        <v>27.46</v>
      </c>
      <c r="G33" s="174">
        <f t="shared" si="0"/>
        <v>3690.62</v>
      </c>
    </row>
    <row r="34" spans="1:7" x14ac:dyDescent="0.2">
      <c r="A34" s="103">
        <v>23</v>
      </c>
      <c r="B34" s="10" t="s">
        <v>175</v>
      </c>
      <c r="C34" s="11" t="s">
        <v>93</v>
      </c>
      <c r="D34" s="12" t="s">
        <v>17</v>
      </c>
      <c r="E34" s="13">
        <v>59.699999999999996</v>
      </c>
      <c r="F34" s="112">
        <f>'Ед. Цени'!F44</f>
        <v>7.79</v>
      </c>
      <c r="G34" s="174">
        <f t="shared" si="0"/>
        <v>465.06</v>
      </c>
    </row>
    <row r="35" spans="1:7" x14ac:dyDescent="0.2">
      <c r="A35" s="103">
        <v>24</v>
      </c>
      <c r="B35" s="10" t="s">
        <v>176</v>
      </c>
      <c r="C35" s="18" t="s">
        <v>102</v>
      </c>
      <c r="D35" s="12" t="s">
        <v>38</v>
      </c>
      <c r="E35" s="18">
        <v>2</v>
      </c>
      <c r="F35" s="112">
        <f>'Ед. Цени'!F45</f>
        <v>14.87</v>
      </c>
      <c r="G35" s="174">
        <f t="shared" si="0"/>
        <v>29.74</v>
      </c>
    </row>
    <row r="36" spans="1:7" x14ac:dyDescent="0.2">
      <c r="A36" s="103">
        <v>25</v>
      </c>
      <c r="B36" s="103" t="s">
        <v>248</v>
      </c>
      <c r="C36" s="18" t="s">
        <v>124</v>
      </c>
      <c r="D36" s="12" t="s">
        <v>38</v>
      </c>
      <c r="E36" s="72">
        <v>9</v>
      </c>
      <c r="F36" s="112">
        <f>'Ед. Цени'!F98</f>
        <v>64.97</v>
      </c>
      <c r="G36" s="174">
        <f t="shared" si="0"/>
        <v>584.73</v>
      </c>
    </row>
    <row r="37" spans="1:7" x14ac:dyDescent="0.2">
      <c r="A37" s="103">
        <v>26</v>
      </c>
      <c r="B37" s="103" t="s">
        <v>238</v>
      </c>
      <c r="C37" s="18" t="s">
        <v>123</v>
      </c>
      <c r="D37" s="12" t="s">
        <v>38</v>
      </c>
      <c r="E37" s="72">
        <v>14.200000000000001</v>
      </c>
      <c r="F37" s="112">
        <f>'Ед. Цени'!F89</f>
        <v>16.190000000000001</v>
      </c>
      <c r="G37" s="174">
        <f t="shared" si="0"/>
        <v>229.9</v>
      </c>
    </row>
    <row r="38" spans="1:7" x14ac:dyDescent="0.2">
      <c r="A38" s="103">
        <v>27</v>
      </c>
      <c r="B38" s="10" t="s">
        <v>180</v>
      </c>
      <c r="C38" s="18" t="s">
        <v>46</v>
      </c>
      <c r="D38" s="12" t="s">
        <v>38</v>
      </c>
      <c r="E38" s="18">
        <v>3</v>
      </c>
      <c r="F38" s="112">
        <f>'Ед. Цени'!F49</f>
        <v>15.4</v>
      </c>
      <c r="G38" s="174">
        <f t="shared" si="0"/>
        <v>46.2</v>
      </c>
    </row>
    <row r="39" spans="1:7" x14ac:dyDescent="0.2">
      <c r="A39" s="103">
        <v>28</v>
      </c>
      <c r="B39" s="10" t="s">
        <v>181</v>
      </c>
      <c r="C39" s="18" t="s">
        <v>90</v>
      </c>
      <c r="D39" s="12" t="s">
        <v>38</v>
      </c>
      <c r="E39" s="72">
        <v>9</v>
      </c>
      <c r="F39" s="112">
        <f>'Ед. Цени'!F50</f>
        <v>15.9</v>
      </c>
      <c r="G39" s="174">
        <f t="shared" si="0"/>
        <v>143.1</v>
      </c>
    </row>
    <row r="40" spans="1:7" x14ac:dyDescent="0.2">
      <c r="A40" s="103">
        <v>29</v>
      </c>
      <c r="B40" s="103" t="s">
        <v>252</v>
      </c>
      <c r="C40" s="18" t="s">
        <v>125</v>
      </c>
      <c r="D40" s="12" t="s">
        <v>38</v>
      </c>
      <c r="E40" s="18">
        <v>1</v>
      </c>
      <c r="F40" s="112">
        <f>'Ед. Цени'!F102</f>
        <v>31.44</v>
      </c>
      <c r="G40" s="174">
        <f t="shared" si="0"/>
        <v>31.44</v>
      </c>
    </row>
    <row r="41" spans="1:7" x14ac:dyDescent="0.2">
      <c r="A41" s="103">
        <v>30</v>
      </c>
      <c r="B41" s="10" t="s">
        <v>182</v>
      </c>
      <c r="C41" s="85" t="s">
        <v>89</v>
      </c>
      <c r="D41" s="12" t="s">
        <v>38</v>
      </c>
      <c r="E41" s="72">
        <v>9</v>
      </c>
      <c r="F41" s="112">
        <f>'Ед. Цени'!F51</f>
        <v>18.32</v>
      </c>
      <c r="G41" s="174">
        <f t="shared" si="0"/>
        <v>164.88</v>
      </c>
    </row>
    <row r="42" spans="1:7" x14ac:dyDescent="0.2">
      <c r="A42" s="103">
        <v>31</v>
      </c>
      <c r="B42" s="103" t="s">
        <v>253</v>
      </c>
      <c r="C42" s="85" t="s">
        <v>126</v>
      </c>
      <c r="D42" s="12" t="s">
        <v>38</v>
      </c>
      <c r="E42" s="18">
        <v>2</v>
      </c>
      <c r="F42" s="112">
        <f>'Ед. Цени'!F103</f>
        <v>40.61</v>
      </c>
      <c r="G42" s="174">
        <f t="shared" si="0"/>
        <v>81.22</v>
      </c>
    </row>
    <row r="43" spans="1:7" x14ac:dyDescent="0.2">
      <c r="A43" s="103">
        <v>32</v>
      </c>
      <c r="B43" s="103" t="s">
        <v>254</v>
      </c>
      <c r="C43" s="85" t="s">
        <v>127</v>
      </c>
      <c r="D43" s="12" t="s">
        <v>38</v>
      </c>
      <c r="E43" s="18">
        <v>1</v>
      </c>
      <c r="F43" s="112">
        <f>'Ед. Цени'!F104</f>
        <v>156.75</v>
      </c>
      <c r="G43" s="174">
        <f t="shared" si="0"/>
        <v>156.75</v>
      </c>
    </row>
    <row r="44" spans="1:7" x14ac:dyDescent="0.2">
      <c r="A44" s="103">
        <v>33</v>
      </c>
      <c r="B44" s="103" t="s">
        <v>255</v>
      </c>
      <c r="C44" s="85" t="s">
        <v>128</v>
      </c>
      <c r="D44" s="12" t="s">
        <v>38</v>
      </c>
      <c r="E44" s="18">
        <v>1</v>
      </c>
      <c r="F44" s="112">
        <f>'Ед. Цени'!F105</f>
        <v>53.66</v>
      </c>
      <c r="G44" s="174">
        <f t="shared" si="0"/>
        <v>53.66</v>
      </c>
    </row>
    <row r="45" spans="1:7" x14ac:dyDescent="0.2">
      <c r="A45" s="103">
        <v>34</v>
      </c>
      <c r="B45" s="10" t="s">
        <v>188</v>
      </c>
      <c r="C45" s="85" t="s">
        <v>88</v>
      </c>
      <c r="D45" s="12" t="s">
        <v>38</v>
      </c>
      <c r="E45" s="72">
        <v>9</v>
      </c>
      <c r="F45" s="73">
        <f>'Ед. Цени'!F57</f>
        <v>132.99</v>
      </c>
      <c r="G45" s="174">
        <f t="shared" si="0"/>
        <v>1196.9100000000001</v>
      </c>
    </row>
    <row r="46" spans="1:7" x14ac:dyDescent="0.2">
      <c r="A46" s="103">
        <v>35</v>
      </c>
      <c r="B46" s="10" t="s">
        <v>256</v>
      </c>
      <c r="C46" s="85" t="s">
        <v>129</v>
      </c>
      <c r="D46" s="12" t="s">
        <v>38</v>
      </c>
      <c r="E46" s="18">
        <v>2</v>
      </c>
      <c r="F46" s="112">
        <f>'Ед. Цени'!F106</f>
        <v>43.08</v>
      </c>
      <c r="G46" s="174">
        <f t="shared" si="0"/>
        <v>86.16</v>
      </c>
    </row>
    <row r="47" spans="1:7" x14ac:dyDescent="0.2">
      <c r="A47" s="103">
        <v>36</v>
      </c>
      <c r="B47" s="103" t="s">
        <v>257</v>
      </c>
      <c r="C47" s="11" t="s">
        <v>130</v>
      </c>
      <c r="D47" s="12" t="s">
        <v>38</v>
      </c>
      <c r="E47" s="18">
        <v>2</v>
      </c>
      <c r="F47" s="112">
        <f>'Ед. Цени'!F107</f>
        <v>43.08</v>
      </c>
      <c r="G47" s="174">
        <f t="shared" si="0"/>
        <v>86.16</v>
      </c>
    </row>
    <row r="48" spans="1:7" x14ac:dyDescent="0.2">
      <c r="A48" s="103">
        <v>37</v>
      </c>
      <c r="B48" s="10" t="s">
        <v>190</v>
      </c>
      <c r="C48" s="11" t="s">
        <v>56</v>
      </c>
      <c r="D48" s="12" t="s">
        <v>17</v>
      </c>
      <c r="E48" s="13">
        <v>194.1</v>
      </c>
      <c r="F48" s="112">
        <f>'Ед. Цени'!F59</f>
        <v>1.78</v>
      </c>
      <c r="G48" s="174">
        <f t="shared" si="0"/>
        <v>345.5</v>
      </c>
    </row>
    <row r="49" spans="1:7" x14ac:dyDescent="0.2">
      <c r="A49" s="103">
        <v>38</v>
      </c>
      <c r="B49" s="10" t="s">
        <v>191</v>
      </c>
      <c r="C49" s="18" t="s">
        <v>57</v>
      </c>
      <c r="D49" s="12" t="s">
        <v>17</v>
      </c>
      <c r="E49" s="13">
        <v>194.1</v>
      </c>
      <c r="F49" s="112">
        <f>'Ед. Цени'!F60</f>
        <v>1.61</v>
      </c>
      <c r="G49" s="174">
        <f t="shared" si="0"/>
        <v>312.5</v>
      </c>
    </row>
    <row r="50" spans="1:7" x14ac:dyDescent="0.2">
      <c r="A50" s="103">
        <v>39</v>
      </c>
      <c r="B50" s="10" t="s">
        <v>192</v>
      </c>
      <c r="C50" s="27" t="s">
        <v>58</v>
      </c>
      <c r="D50" s="12" t="s">
        <v>38</v>
      </c>
      <c r="E50" s="13">
        <v>10</v>
      </c>
      <c r="F50" s="112">
        <f>'Ед. Цени'!F61</f>
        <v>10.45</v>
      </c>
      <c r="G50" s="174">
        <f t="shared" si="0"/>
        <v>104.5</v>
      </c>
    </row>
    <row r="51" spans="1:7" x14ac:dyDescent="0.2">
      <c r="A51" s="103">
        <v>40</v>
      </c>
      <c r="B51" s="10" t="s">
        <v>193</v>
      </c>
      <c r="C51" s="28" t="s">
        <v>59</v>
      </c>
      <c r="D51" s="12" t="s">
        <v>38</v>
      </c>
      <c r="E51" s="13">
        <v>1</v>
      </c>
      <c r="F51" s="112">
        <f>'Ед. Цени'!F62</f>
        <v>18.52</v>
      </c>
      <c r="G51" s="174">
        <f t="shared" si="0"/>
        <v>18.52</v>
      </c>
    </row>
    <row r="52" spans="1:7" x14ac:dyDescent="0.2">
      <c r="A52" s="103">
        <v>41</v>
      </c>
      <c r="B52" s="10" t="s">
        <v>195</v>
      </c>
      <c r="C52" s="11" t="s">
        <v>61</v>
      </c>
      <c r="D52" s="12" t="s">
        <v>17</v>
      </c>
      <c r="E52" s="13">
        <v>18</v>
      </c>
      <c r="F52" s="139">
        <f>'Ед. Цени'!F64</f>
        <v>8.9499999999999993</v>
      </c>
      <c r="G52" s="174">
        <f t="shared" si="0"/>
        <v>161.1</v>
      </c>
    </row>
    <row r="53" spans="1:7" x14ac:dyDescent="0.2">
      <c r="A53" s="103">
        <v>42</v>
      </c>
      <c r="B53" s="10" t="s">
        <v>196</v>
      </c>
      <c r="C53" s="11" t="s">
        <v>62</v>
      </c>
      <c r="D53" s="12" t="s">
        <v>21</v>
      </c>
      <c r="E53" s="13">
        <v>108.69599999999998</v>
      </c>
      <c r="F53" s="112">
        <f>'Ед. Цени'!F65</f>
        <v>18.940000000000001</v>
      </c>
      <c r="G53" s="174">
        <f t="shared" si="0"/>
        <v>2058.6999999999998</v>
      </c>
    </row>
    <row r="54" spans="1:7" x14ac:dyDescent="0.2">
      <c r="A54" s="103">
        <v>43</v>
      </c>
      <c r="B54" s="10" t="s">
        <v>197</v>
      </c>
      <c r="C54" s="11" t="s">
        <v>63</v>
      </c>
      <c r="D54" s="12" t="s">
        <v>19</v>
      </c>
      <c r="E54" s="13">
        <v>271.73999999999995</v>
      </c>
      <c r="F54" s="112">
        <f>'Ед. Цени'!F66</f>
        <v>1.77</v>
      </c>
      <c r="G54" s="174">
        <f t="shared" si="0"/>
        <v>480.98</v>
      </c>
    </row>
    <row r="55" spans="1:7" x14ac:dyDescent="0.2">
      <c r="A55" s="103">
        <v>44</v>
      </c>
      <c r="B55" s="10" t="s">
        <v>198</v>
      </c>
      <c r="C55" s="11" t="s">
        <v>134</v>
      </c>
      <c r="D55" s="12" t="s">
        <v>64</v>
      </c>
      <c r="E55" s="13">
        <v>32.608799999999995</v>
      </c>
      <c r="F55" s="112">
        <f>'Ед. Цени'!F67</f>
        <v>125.37</v>
      </c>
      <c r="G55" s="174">
        <f t="shared" si="0"/>
        <v>4088.17</v>
      </c>
    </row>
    <row r="56" spans="1:7" x14ac:dyDescent="0.2">
      <c r="A56" s="103">
        <v>45</v>
      </c>
      <c r="B56" s="10" t="s">
        <v>199</v>
      </c>
      <c r="C56" s="11" t="s">
        <v>65</v>
      </c>
      <c r="D56" s="12" t="s">
        <v>17</v>
      </c>
      <c r="E56" s="13">
        <v>194.1</v>
      </c>
      <c r="F56" s="112">
        <f>'Ед. Цени'!F68</f>
        <v>0.92</v>
      </c>
      <c r="G56" s="174">
        <f t="shared" si="0"/>
        <v>178.57</v>
      </c>
    </row>
    <row r="57" spans="1:7" ht="12.75" thickBot="1" x14ac:dyDescent="0.25">
      <c r="A57" s="103">
        <v>46</v>
      </c>
      <c r="B57" s="10" t="s">
        <v>200</v>
      </c>
      <c r="C57" s="30" t="s">
        <v>66</v>
      </c>
      <c r="D57" s="31" t="s">
        <v>17</v>
      </c>
      <c r="E57" s="13">
        <v>194.1</v>
      </c>
      <c r="F57" s="112">
        <f>'Ед. Цени'!F69</f>
        <v>1.41</v>
      </c>
      <c r="G57" s="174">
        <f t="shared" si="0"/>
        <v>273.68</v>
      </c>
    </row>
    <row r="58" spans="1:7" ht="12.75" thickTop="1" x14ac:dyDescent="0.2">
      <c r="A58" s="107"/>
      <c r="B58" s="136"/>
      <c r="C58" s="32" t="s">
        <v>67</v>
      </c>
      <c r="D58" s="33"/>
      <c r="E58" s="34"/>
      <c r="F58" s="33"/>
      <c r="G58" s="175">
        <f>SUM(G12:G57)</f>
        <v>36840.9</v>
      </c>
    </row>
    <row r="59" spans="1:7" x14ac:dyDescent="0.2">
      <c r="A59" s="273" t="s">
        <v>68</v>
      </c>
      <c r="B59" s="274"/>
      <c r="C59" s="274"/>
      <c r="D59" s="275"/>
      <c r="E59" s="36"/>
      <c r="F59" s="35"/>
      <c r="G59" s="172"/>
    </row>
    <row r="60" spans="1:7" x14ac:dyDescent="0.2">
      <c r="A60" s="86">
        <v>1</v>
      </c>
      <c r="B60" s="75" t="s">
        <v>201</v>
      </c>
      <c r="C60" s="87" t="s">
        <v>69</v>
      </c>
      <c r="D60" s="86" t="s">
        <v>21</v>
      </c>
      <c r="E60" s="39">
        <v>27.2</v>
      </c>
      <c r="F60" s="22">
        <f>'Ед. Цени'!F70</f>
        <v>7.8</v>
      </c>
      <c r="G60" s="176">
        <f>ROUND((E60*F60),2)</f>
        <v>212.16</v>
      </c>
    </row>
    <row r="61" spans="1:7" x14ac:dyDescent="0.2">
      <c r="A61" s="86">
        <v>2</v>
      </c>
      <c r="B61" s="75" t="s">
        <v>202</v>
      </c>
      <c r="C61" s="87" t="s">
        <v>70</v>
      </c>
      <c r="D61" s="86" t="s">
        <v>21</v>
      </c>
      <c r="E61" s="39">
        <v>11.66</v>
      </c>
      <c r="F61" s="22">
        <f>'Ед. Цени'!F71</f>
        <v>16.63</v>
      </c>
      <c r="G61" s="176">
        <f t="shared" ref="G61:G75" si="1">ROUND((E61*F61),2)</f>
        <v>193.91</v>
      </c>
    </row>
    <row r="62" spans="1:7" x14ac:dyDescent="0.2">
      <c r="A62" s="86">
        <v>3</v>
      </c>
      <c r="B62" s="75" t="s">
        <v>203</v>
      </c>
      <c r="C62" s="89" t="s">
        <v>71</v>
      </c>
      <c r="D62" s="86" t="s">
        <v>19</v>
      </c>
      <c r="E62" s="39">
        <v>64.319999999999993</v>
      </c>
      <c r="F62" s="22">
        <f>'Ед. Цени'!F72</f>
        <v>6.09</v>
      </c>
      <c r="G62" s="176">
        <f t="shared" si="1"/>
        <v>391.71</v>
      </c>
    </row>
    <row r="63" spans="1:7" x14ac:dyDescent="0.2">
      <c r="A63" s="86">
        <v>4</v>
      </c>
      <c r="B63" s="75" t="s">
        <v>204</v>
      </c>
      <c r="C63" s="87" t="s">
        <v>72</v>
      </c>
      <c r="D63" s="86" t="s">
        <v>21</v>
      </c>
      <c r="E63" s="39">
        <v>13.99</v>
      </c>
      <c r="F63" s="22">
        <f>'Ед. Цени'!F73</f>
        <v>1.64</v>
      </c>
      <c r="G63" s="176">
        <f t="shared" si="1"/>
        <v>22.94</v>
      </c>
    </row>
    <row r="64" spans="1:7" x14ac:dyDescent="0.2">
      <c r="A64" s="86">
        <v>5</v>
      </c>
      <c r="B64" s="75" t="s">
        <v>205</v>
      </c>
      <c r="C64" s="87" t="s">
        <v>73</v>
      </c>
      <c r="D64" s="86" t="s">
        <v>21</v>
      </c>
      <c r="E64" s="39">
        <v>40.199999999999996</v>
      </c>
      <c r="F64" s="22">
        <f>'Ед. Цени'!F74</f>
        <v>8.5399999999999991</v>
      </c>
      <c r="G64" s="176">
        <f t="shared" si="1"/>
        <v>343.31</v>
      </c>
    </row>
    <row r="65" spans="1:7" x14ac:dyDescent="0.2">
      <c r="A65" s="86">
        <v>6</v>
      </c>
      <c r="B65" s="10" t="s">
        <v>158</v>
      </c>
      <c r="C65" s="89" t="s">
        <v>25</v>
      </c>
      <c r="D65" s="86" t="s">
        <v>21</v>
      </c>
      <c r="E65" s="39">
        <v>40.199999999999996</v>
      </c>
      <c r="F65" s="69">
        <f>'Ед. Цени'!F27</f>
        <v>1.98</v>
      </c>
      <c r="G65" s="176">
        <f t="shared" si="1"/>
        <v>79.599999999999994</v>
      </c>
    </row>
    <row r="66" spans="1:7" x14ac:dyDescent="0.2">
      <c r="A66" s="86">
        <v>7</v>
      </c>
      <c r="B66" s="75" t="s">
        <v>206</v>
      </c>
      <c r="C66" s="87" t="s">
        <v>74</v>
      </c>
      <c r="D66" s="86" t="s">
        <v>19</v>
      </c>
      <c r="E66" s="39">
        <v>670</v>
      </c>
      <c r="F66" s="22">
        <f>'Ед. Цени'!F75</f>
        <v>1.78</v>
      </c>
      <c r="G66" s="176">
        <f t="shared" si="1"/>
        <v>1192.5999999999999</v>
      </c>
    </row>
    <row r="67" spans="1:7" x14ac:dyDescent="0.2">
      <c r="A67" s="86">
        <v>8</v>
      </c>
      <c r="B67" s="75" t="s">
        <v>207</v>
      </c>
      <c r="C67" s="87" t="s">
        <v>75</v>
      </c>
      <c r="D67" s="86" t="s">
        <v>21</v>
      </c>
      <c r="E67" s="39">
        <v>32.159999999999997</v>
      </c>
      <c r="F67" s="22">
        <f>'Ед. Цени'!F76</f>
        <v>1.78</v>
      </c>
      <c r="G67" s="176">
        <f t="shared" si="1"/>
        <v>57.24</v>
      </c>
    </row>
    <row r="68" spans="1:7" x14ac:dyDescent="0.2">
      <c r="A68" s="86">
        <v>9</v>
      </c>
      <c r="B68" s="75" t="s">
        <v>208</v>
      </c>
      <c r="C68" s="87" t="s">
        <v>76</v>
      </c>
      <c r="D68" s="86" t="s">
        <v>77</v>
      </c>
      <c r="E68" s="39">
        <v>46.9</v>
      </c>
      <c r="F68" s="22">
        <f>'Ед. Цени'!F77</f>
        <v>21.54</v>
      </c>
      <c r="G68" s="176">
        <f t="shared" si="1"/>
        <v>1010.23</v>
      </c>
    </row>
    <row r="69" spans="1:7" x14ac:dyDescent="0.2">
      <c r="A69" s="86">
        <v>10</v>
      </c>
      <c r="B69" s="75" t="s">
        <v>209</v>
      </c>
      <c r="C69" s="87" t="s">
        <v>78</v>
      </c>
      <c r="D69" s="86" t="s">
        <v>79</v>
      </c>
      <c r="E69" s="39">
        <v>84</v>
      </c>
      <c r="F69" s="22">
        <f>'Ед. Цени'!F78</f>
        <v>6.93</v>
      </c>
      <c r="G69" s="176">
        <f t="shared" si="1"/>
        <v>582.12</v>
      </c>
    </row>
    <row r="70" spans="1:7" x14ac:dyDescent="0.2">
      <c r="A70" s="86">
        <v>11</v>
      </c>
      <c r="B70" s="75" t="s">
        <v>210</v>
      </c>
      <c r="C70" s="87" t="s">
        <v>80</v>
      </c>
      <c r="D70" s="86" t="s">
        <v>79</v>
      </c>
      <c r="E70" s="39">
        <v>84</v>
      </c>
      <c r="F70" s="22">
        <f>'Ед. Цени'!F79</f>
        <v>27.54</v>
      </c>
      <c r="G70" s="176">
        <f t="shared" si="1"/>
        <v>2313.36</v>
      </c>
    </row>
    <row r="71" spans="1:7" x14ac:dyDescent="0.2">
      <c r="A71" s="86">
        <v>12</v>
      </c>
      <c r="B71" s="75" t="s">
        <v>211</v>
      </c>
      <c r="C71" s="87" t="s">
        <v>81</v>
      </c>
      <c r="D71" s="86" t="s">
        <v>19</v>
      </c>
      <c r="E71" s="39">
        <v>3</v>
      </c>
      <c r="F71" s="22">
        <f>'Ед. Цени'!F80</f>
        <v>7.88</v>
      </c>
      <c r="G71" s="176">
        <f t="shared" si="1"/>
        <v>23.64</v>
      </c>
    </row>
    <row r="72" spans="1:7" x14ac:dyDescent="0.2">
      <c r="A72" s="86">
        <v>13</v>
      </c>
      <c r="B72" s="75" t="s">
        <v>212</v>
      </c>
      <c r="C72" s="87" t="s">
        <v>82</v>
      </c>
      <c r="D72" s="86" t="s">
        <v>19</v>
      </c>
      <c r="E72" s="39">
        <v>75.040000000000006</v>
      </c>
      <c r="F72" s="22">
        <f>'Ед. Цени'!F81</f>
        <v>14.48</v>
      </c>
      <c r="G72" s="176">
        <f t="shared" si="1"/>
        <v>1086.58</v>
      </c>
    </row>
    <row r="73" spans="1:7" x14ac:dyDescent="0.2">
      <c r="A73" s="86">
        <v>14</v>
      </c>
      <c r="B73" s="75" t="s">
        <v>213</v>
      </c>
      <c r="C73" s="87" t="s">
        <v>83</v>
      </c>
      <c r="D73" s="86" t="s">
        <v>19</v>
      </c>
      <c r="E73" s="39">
        <v>609.69999999999993</v>
      </c>
      <c r="F73" s="22">
        <f>'Ед. Цени'!F82</f>
        <v>11.72</v>
      </c>
      <c r="G73" s="176">
        <f t="shared" si="1"/>
        <v>7145.68</v>
      </c>
    </row>
    <row r="74" spans="1:7" x14ac:dyDescent="0.2">
      <c r="A74" s="86">
        <v>15</v>
      </c>
      <c r="B74" s="75" t="s">
        <v>214</v>
      </c>
      <c r="C74" s="87" t="s">
        <v>84</v>
      </c>
      <c r="D74" s="86" t="s">
        <v>19</v>
      </c>
      <c r="E74" s="39">
        <v>804</v>
      </c>
      <c r="F74" s="22">
        <f>'Ед. Цени'!F83</f>
        <v>1.89</v>
      </c>
      <c r="G74" s="176">
        <f t="shared" si="1"/>
        <v>1519.56</v>
      </c>
    </row>
    <row r="75" spans="1:7" x14ac:dyDescent="0.2">
      <c r="A75" s="86">
        <v>16</v>
      </c>
      <c r="B75" s="75" t="s">
        <v>215</v>
      </c>
      <c r="C75" s="87" t="s">
        <v>85</v>
      </c>
      <c r="D75" s="86" t="s">
        <v>77</v>
      </c>
      <c r="E75" s="39">
        <v>96.47999999999999</v>
      </c>
      <c r="F75" s="22">
        <f>'Ед. Цени'!F84</f>
        <v>134.12</v>
      </c>
      <c r="G75" s="176">
        <f t="shared" si="1"/>
        <v>12939.9</v>
      </c>
    </row>
    <row r="76" spans="1:7" x14ac:dyDescent="0.2">
      <c r="A76" s="66"/>
      <c r="B76" s="119"/>
      <c r="C76" s="42"/>
      <c r="D76" s="35"/>
      <c r="E76" s="36"/>
      <c r="F76" s="35"/>
      <c r="G76" s="172"/>
    </row>
    <row r="77" spans="1:7" ht="12.75" thickBot="1" x14ac:dyDescent="0.25">
      <c r="A77" s="66"/>
      <c r="B77" s="119"/>
      <c r="C77" s="42" t="s">
        <v>86</v>
      </c>
      <c r="D77" s="35"/>
      <c r="E77" s="36"/>
      <c r="F77" s="35"/>
      <c r="G77" s="172">
        <f>SUM(G60:G75)</f>
        <v>29114.54</v>
      </c>
    </row>
    <row r="78" spans="1:7" x14ac:dyDescent="0.2">
      <c r="A78" s="90"/>
      <c r="B78" s="126"/>
      <c r="C78" s="91" t="s">
        <v>87</v>
      </c>
      <c r="D78" s="92"/>
      <c r="E78" s="93"/>
      <c r="F78" s="92"/>
      <c r="G78" s="178">
        <f>SUM(G58+G77)</f>
        <v>65955.44</v>
      </c>
    </row>
    <row r="79" spans="1:7" x14ac:dyDescent="0.2">
      <c r="A79" s="94"/>
      <c r="B79" s="127"/>
      <c r="C79" s="95" t="s">
        <v>137</v>
      </c>
      <c r="D79" s="96"/>
      <c r="E79" s="97"/>
      <c r="F79" s="96"/>
      <c r="G79" s="179">
        <f>+G78*0.2</f>
        <v>13191.088000000002</v>
      </c>
    </row>
    <row r="80" spans="1:7" ht="12.75" thickBot="1" x14ac:dyDescent="0.25">
      <c r="A80" s="98"/>
      <c r="B80" s="128"/>
      <c r="C80" s="99" t="s">
        <v>136</v>
      </c>
      <c r="D80" s="100"/>
      <c r="E80" s="101"/>
      <c r="F80" s="100"/>
      <c r="G80" s="180">
        <f>+G79+G78</f>
        <v>79146.528000000006</v>
      </c>
    </row>
  </sheetData>
  <autoFilter ref="A10:G80"/>
  <mergeCells count="11">
    <mergeCell ref="A1:G1"/>
    <mergeCell ref="A2:G2"/>
    <mergeCell ref="A11:D11"/>
    <mergeCell ref="A59:D59"/>
    <mergeCell ref="A4:G4"/>
    <mergeCell ref="A7:A9"/>
    <mergeCell ref="C7:C9"/>
    <mergeCell ref="D7:D9"/>
    <mergeCell ref="E7:E9"/>
    <mergeCell ref="F7:F9"/>
    <mergeCell ref="G7:G9"/>
  </mergeCells>
  <pageMargins left="0.7" right="0.7" top="0.75" bottom="0.75" header="0.3" footer="0.3"/>
  <pageSetup paperSize="9" scale="8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0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146</v>
      </c>
      <c r="B4" s="269"/>
      <c r="C4" s="269"/>
      <c r="D4" s="269"/>
      <c r="E4" s="269"/>
      <c r="F4" s="269"/>
      <c r="G4" s="269"/>
    </row>
    <row r="5" spans="1:7" ht="12.75" thickBot="1" x14ac:dyDescent="0.25"/>
    <row r="6" spans="1:7" ht="12.75" thickTop="1" x14ac:dyDescent="0.2">
      <c r="A6" s="279" t="s">
        <v>9</v>
      </c>
      <c r="B6" s="129"/>
      <c r="C6" s="261" t="s">
        <v>10</v>
      </c>
      <c r="D6" s="261" t="s">
        <v>11</v>
      </c>
      <c r="E6" s="261" t="s">
        <v>12</v>
      </c>
      <c r="F6" s="261" t="s">
        <v>13</v>
      </c>
      <c r="G6" s="264" t="s">
        <v>14</v>
      </c>
    </row>
    <row r="7" spans="1:7" x14ac:dyDescent="0.2">
      <c r="A7" s="280"/>
      <c r="B7" s="130"/>
      <c r="C7" s="262"/>
      <c r="D7" s="262"/>
      <c r="E7" s="262"/>
      <c r="F7" s="262"/>
      <c r="G7" s="265"/>
    </row>
    <row r="8" spans="1:7" ht="12.75" thickBot="1" x14ac:dyDescent="0.25">
      <c r="A8" s="281"/>
      <c r="B8" s="131"/>
      <c r="C8" s="263"/>
      <c r="D8" s="263"/>
      <c r="E8" s="263"/>
      <c r="F8" s="263"/>
      <c r="G8" s="266"/>
    </row>
    <row r="9" spans="1:7" ht="12.75" thickTop="1" x14ac:dyDescent="0.2">
      <c r="A9" s="105">
        <v>1</v>
      </c>
      <c r="B9" s="135"/>
      <c r="C9" s="67">
        <v>2</v>
      </c>
      <c r="D9" s="67">
        <v>3</v>
      </c>
      <c r="E9" s="67">
        <v>4</v>
      </c>
      <c r="F9" s="83">
        <v>5</v>
      </c>
      <c r="G9" s="170">
        <v>6</v>
      </c>
    </row>
    <row r="10" spans="1:7" x14ac:dyDescent="0.2">
      <c r="A10" s="273" t="s">
        <v>15</v>
      </c>
      <c r="B10" s="274"/>
      <c r="C10" s="274"/>
      <c r="D10" s="274"/>
      <c r="E10" s="84"/>
      <c r="F10" s="140"/>
      <c r="G10" s="173"/>
    </row>
    <row r="11" spans="1:7" x14ac:dyDescent="0.2">
      <c r="A11" s="103">
        <v>1</v>
      </c>
      <c r="B11" s="10" t="s">
        <v>152</v>
      </c>
      <c r="C11" s="11" t="s">
        <v>16</v>
      </c>
      <c r="D11" s="12" t="s">
        <v>17</v>
      </c>
      <c r="E11" s="13">
        <v>569.6</v>
      </c>
      <c r="F11" s="112">
        <f>'Ед. Цени'!F21</f>
        <v>3.53</v>
      </c>
      <c r="G11" s="174">
        <f>ROUND((E11*F11),2)</f>
        <v>2010.69</v>
      </c>
    </row>
    <row r="12" spans="1:7" x14ac:dyDescent="0.2">
      <c r="A12" s="103">
        <v>2</v>
      </c>
      <c r="B12" s="10" t="s">
        <v>153</v>
      </c>
      <c r="C12" s="14" t="s">
        <v>18</v>
      </c>
      <c r="D12" s="15" t="s">
        <v>19</v>
      </c>
      <c r="E12" s="16">
        <v>398.71999999999997</v>
      </c>
      <c r="F12" s="112">
        <f>'Ед. Цени'!F22</f>
        <v>6.89</v>
      </c>
      <c r="G12" s="174">
        <f t="shared" ref="G12:G57" si="0">ROUND((E12*F12),2)</f>
        <v>2747.18</v>
      </c>
    </row>
    <row r="13" spans="1:7" x14ac:dyDescent="0.2">
      <c r="A13" s="103">
        <v>3</v>
      </c>
      <c r="B13" s="10" t="s">
        <v>154</v>
      </c>
      <c r="C13" s="14" t="s">
        <v>20</v>
      </c>
      <c r="D13" s="12" t="s">
        <v>21</v>
      </c>
      <c r="E13" s="13">
        <v>374.11220000000003</v>
      </c>
      <c r="F13" s="69">
        <f>'Ед. Цени'!F23</f>
        <v>5.5</v>
      </c>
      <c r="G13" s="174">
        <f t="shared" si="0"/>
        <v>2057.62</v>
      </c>
    </row>
    <row r="14" spans="1:7" x14ac:dyDescent="0.2">
      <c r="A14" s="103">
        <v>4</v>
      </c>
      <c r="B14" s="10" t="s">
        <v>236</v>
      </c>
      <c r="C14" s="14" t="s">
        <v>22</v>
      </c>
      <c r="D14" s="12" t="s">
        <v>21</v>
      </c>
      <c r="E14" s="13">
        <v>160.3338</v>
      </c>
      <c r="F14" s="112">
        <f>'Ед. Цени'!F85</f>
        <v>24.35</v>
      </c>
      <c r="G14" s="174">
        <f t="shared" si="0"/>
        <v>3904.13</v>
      </c>
    </row>
    <row r="15" spans="1:7" ht="24" x14ac:dyDescent="0.2">
      <c r="A15" s="103">
        <v>5</v>
      </c>
      <c r="B15" s="10" t="s">
        <v>156</v>
      </c>
      <c r="C15" s="11" t="s">
        <v>23</v>
      </c>
      <c r="D15" s="12" t="s">
        <v>21</v>
      </c>
      <c r="E15" s="13">
        <v>160.3338</v>
      </c>
      <c r="F15" s="69">
        <f>'Ед. Цени'!F25</f>
        <v>12.47</v>
      </c>
      <c r="G15" s="174">
        <f t="shared" si="0"/>
        <v>1999.36</v>
      </c>
    </row>
    <row r="16" spans="1:7" x14ac:dyDescent="0.2">
      <c r="A16" s="103">
        <v>6</v>
      </c>
      <c r="B16" s="10" t="s">
        <v>157</v>
      </c>
      <c r="C16" s="11" t="s">
        <v>24</v>
      </c>
      <c r="D16" s="12" t="s">
        <v>21</v>
      </c>
      <c r="E16" s="17">
        <v>534.44600000000003</v>
      </c>
      <c r="F16" s="69">
        <f>'Ед. Цени'!F26</f>
        <v>2.79</v>
      </c>
      <c r="G16" s="174">
        <f t="shared" si="0"/>
        <v>1491.1</v>
      </c>
    </row>
    <row r="17" spans="1:7" x14ac:dyDescent="0.2">
      <c r="A17" s="103">
        <v>7</v>
      </c>
      <c r="B17" s="10" t="s">
        <v>158</v>
      </c>
      <c r="C17" s="11" t="s">
        <v>25</v>
      </c>
      <c r="D17" s="12" t="s">
        <v>21</v>
      </c>
      <c r="E17" s="17">
        <v>534.44600000000003</v>
      </c>
      <c r="F17" s="69">
        <f>'Ед. Цени'!F27</f>
        <v>1.98</v>
      </c>
      <c r="G17" s="174">
        <f t="shared" si="0"/>
        <v>1058.2</v>
      </c>
    </row>
    <row r="18" spans="1:7" x14ac:dyDescent="0.2">
      <c r="A18" s="103">
        <v>8</v>
      </c>
      <c r="B18" s="10" t="s">
        <v>159</v>
      </c>
      <c r="C18" s="11" t="s">
        <v>26</v>
      </c>
      <c r="D18" s="12" t="s">
        <v>21</v>
      </c>
      <c r="E18" s="17">
        <v>534.44600000000003</v>
      </c>
      <c r="F18" s="69">
        <f>'Ед. Цени'!F28</f>
        <v>2.79</v>
      </c>
      <c r="G18" s="174">
        <f t="shared" si="0"/>
        <v>1491.1</v>
      </c>
    </row>
    <row r="19" spans="1:7" x14ac:dyDescent="0.2">
      <c r="A19" s="103">
        <v>9</v>
      </c>
      <c r="B19" s="10" t="s">
        <v>160</v>
      </c>
      <c r="C19" s="18" t="s">
        <v>27</v>
      </c>
      <c r="D19" s="12" t="s">
        <v>19</v>
      </c>
      <c r="E19" s="17">
        <v>968.32</v>
      </c>
      <c r="F19" s="69">
        <f>'Ед. Цени'!F29</f>
        <v>2.42</v>
      </c>
      <c r="G19" s="174">
        <f t="shared" si="0"/>
        <v>2343.33</v>
      </c>
    </row>
    <row r="20" spans="1:7" x14ac:dyDescent="0.2">
      <c r="A20" s="103">
        <v>10</v>
      </c>
      <c r="B20" s="10" t="s">
        <v>161</v>
      </c>
      <c r="C20" s="11" t="s">
        <v>28</v>
      </c>
      <c r="D20" s="12" t="s">
        <v>21</v>
      </c>
      <c r="E20" s="17">
        <v>157.19000000000003</v>
      </c>
      <c r="F20" s="112">
        <f>'Ед. Цени'!F30</f>
        <v>19.04</v>
      </c>
      <c r="G20" s="174">
        <f t="shared" si="0"/>
        <v>2992.9</v>
      </c>
    </row>
    <row r="21" spans="1:7" x14ac:dyDescent="0.2">
      <c r="A21" s="103">
        <v>11</v>
      </c>
      <c r="B21" s="10" t="s">
        <v>162</v>
      </c>
      <c r="C21" s="11" t="s">
        <v>29</v>
      </c>
      <c r="D21" s="12" t="s">
        <v>21</v>
      </c>
      <c r="E21" s="17">
        <v>157.19000000000003</v>
      </c>
      <c r="F21" s="112">
        <f>'Ед. Цени'!F31</f>
        <v>6.14</v>
      </c>
      <c r="G21" s="174">
        <f t="shared" si="0"/>
        <v>965.15</v>
      </c>
    </row>
    <row r="22" spans="1:7" x14ac:dyDescent="0.2">
      <c r="A22" s="103">
        <v>12</v>
      </c>
      <c r="B22" s="10" t="s">
        <v>163</v>
      </c>
      <c r="C22" s="14" t="s">
        <v>30</v>
      </c>
      <c r="D22" s="12" t="s">
        <v>21</v>
      </c>
      <c r="E22" s="17">
        <v>31.438000000000006</v>
      </c>
      <c r="F22" s="112">
        <f>'Ед. Цени'!F32</f>
        <v>8.17</v>
      </c>
      <c r="G22" s="174">
        <f t="shared" si="0"/>
        <v>256.85000000000002</v>
      </c>
    </row>
    <row r="23" spans="1:7" x14ac:dyDescent="0.2">
      <c r="A23" s="103">
        <v>13</v>
      </c>
      <c r="B23" s="10" t="s">
        <v>164</v>
      </c>
      <c r="C23" s="14" t="s">
        <v>31</v>
      </c>
      <c r="D23" s="12" t="s">
        <v>21</v>
      </c>
      <c r="E23" s="17">
        <v>125.75200000000002</v>
      </c>
      <c r="F23" s="112">
        <f>'Ед. Цени'!F33</f>
        <v>4.75</v>
      </c>
      <c r="G23" s="174">
        <f t="shared" si="0"/>
        <v>597.32000000000005</v>
      </c>
    </row>
    <row r="24" spans="1:7" x14ac:dyDescent="0.2">
      <c r="A24" s="103">
        <v>14</v>
      </c>
      <c r="B24" s="10" t="s">
        <v>165</v>
      </c>
      <c r="C24" s="11" t="s">
        <v>32</v>
      </c>
      <c r="D24" s="12" t="s">
        <v>21</v>
      </c>
      <c r="E24" s="17">
        <v>157.19000000000003</v>
      </c>
      <c r="F24" s="112">
        <f>'Ед. Цени'!F34</f>
        <v>3.66</v>
      </c>
      <c r="G24" s="174">
        <f t="shared" si="0"/>
        <v>575.32000000000005</v>
      </c>
    </row>
    <row r="25" spans="1:7" x14ac:dyDescent="0.2">
      <c r="A25" s="103">
        <v>15</v>
      </c>
      <c r="B25" s="10" t="s">
        <v>166</v>
      </c>
      <c r="C25" s="11" t="s">
        <v>33</v>
      </c>
      <c r="D25" s="12" t="s">
        <v>21</v>
      </c>
      <c r="E25" s="17">
        <v>251.94399999999996</v>
      </c>
      <c r="F25" s="112">
        <f>'Ед. Цени'!F35</f>
        <v>17.82</v>
      </c>
      <c r="G25" s="174">
        <f t="shared" si="0"/>
        <v>4489.6400000000003</v>
      </c>
    </row>
    <row r="26" spans="1:7" x14ac:dyDescent="0.2">
      <c r="A26" s="103">
        <v>16</v>
      </c>
      <c r="B26" s="10" t="s">
        <v>167</v>
      </c>
      <c r="C26" s="11" t="s">
        <v>34</v>
      </c>
      <c r="D26" s="12" t="s">
        <v>21</v>
      </c>
      <c r="E26" s="17">
        <v>251.94399999999996</v>
      </c>
      <c r="F26" s="112">
        <f>'Ед. Цени'!F36</f>
        <v>6.14</v>
      </c>
      <c r="G26" s="174">
        <f t="shared" si="0"/>
        <v>1546.94</v>
      </c>
    </row>
    <row r="27" spans="1:7" x14ac:dyDescent="0.2">
      <c r="A27" s="103">
        <v>17</v>
      </c>
      <c r="B27" s="10" t="s">
        <v>168</v>
      </c>
      <c r="C27" s="11" t="s">
        <v>35</v>
      </c>
      <c r="D27" s="12" t="s">
        <v>21</v>
      </c>
      <c r="E27" s="17">
        <v>251.94399999999996</v>
      </c>
      <c r="F27" s="112">
        <f>'Ед. Цени'!F37</f>
        <v>3.15</v>
      </c>
      <c r="G27" s="174">
        <f t="shared" si="0"/>
        <v>793.62</v>
      </c>
    </row>
    <row r="28" spans="1:7" x14ac:dyDescent="0.2">
      <c r="A28" s="103">
        <v>18</v>
      </c>
      <c r="B28" s="10" t="s">
        <v>169</v>
      </c>
      <c r="C28" s="14" t="s">
        <v>36</v>
      </c>
      <c r="D28" s="12" t="s">
        <v>19</v>
      </c>
      <c r="E28" s="13">
        <v>114.32000000000001</v>
      </c>
      <c r="F28" s="112">
        <f>'Ед. Цени'!F38</f>
        <v>1.85</v>
      </c>
      <c r="G28" s="174">
        <f t="shared" si="0"/>
        <v>211.49</v>
      </c>
    </row>
    <row r="29" spans="1:7" x14ac:dyDescent="0.2">
      <c r="A29" s="103">
        <v>19</v>
      </c>
      <c r="B29" s="10" t="s">
        <v>170</v>
      </c>
      <c r="C29" s="20" t="s">
        <v>37</v>
      </c>
      <c r="D29" s="12" t="s">
        <v>38</v>
      </c>
      <c r="E29" s="13">
        <v>2.8580000000000001</v>
      </c>
      <c r="F29" s="112">
        <f>'Ед. Цени'!F39</f>
        <v>44.73</v>
      </c>
      <c r="G29" s="174">
        <f t="shared" si="0"/>
        <v>127.84</v>
      </c>
    </row>
    <row r="30" spans="1:7" x14ac:dyDescent="0.2">
      <c r="A30" s="103">
        <v>20</v>
      </c>
      <c r="B30" s="10" t="s">
        <v>171</v>
      </c>
      <c r="C30" s="11" t="s">
        <v>39</v>
      </c>
      <c r="D30" s="12" t="s">
        <v>21</v>
      </c>
      <c r="E30" s="13">
        <v>39.872</v>
      </c>
      <c r="F30" s="112">
        <f>'Ед. Цени'!F40</f>
        <v>3.09</v>
      </c>
      <c r="G30" s="174">
        <f t="shared" si="0"/>
        <v>123.2</v>
      </c>
    </row>
    <row r="31" spans="1:7" x14ac:dyDescent="0.2">
      <c r="A31" s="103">
        <v>21</v>
      </c>
      <c r="B31" s="10" t="s">
        <v>172</v>
      </c>
      <c r="C31" s="22" t="s">
        <v>40</v>
      </c>
      <c r="D31" s="12" t="s">
        <v>21</v>
      </c>
      <c r="E31" s="13">
        <v>39.872</v>
      </c>
      <c r="F31" s="112">
        <f>'Ед. Цени'!F41</f>
        <v>2.2999999999999998</v>
      </c>
      <c r="G31" s="174">
        <f t="shared" si="0"/>
        <v>91.71</v>
      </c>
    </row>
    <row r="32" spans="1:7" x14ac:dyDescent="0.2">
      <c r="A32" s="103">
        <v>22</v>
      </c>
      <c r="B32" s="10" t="s">
        <v>174</v>
      </c>
      <c r="C32" s="11" t="s">
        <v>41</v>
      </c>
      <c r="D32" s="12" t="s">
        <v>17</v>
      </c>
      <c r="E32" s="13">
        <v>221.8</v>
      </c>
      <c r="F32" s="112">
        <f>'Ед. Цени'!F43</f>
        <v>26.13</v>
      </c>
      <c r="G32" s="174">
        <f t="shared" si="0"/>
        <v>5795.63</v>
      </c>
    </row>
    <row r="33" spans="1:7" x14ac:dyDescent="0.2">
      <c r="A33" s="103">
        <v>23</v>
      </c>
      <c r="B33" s="10" t="s">
        <v>175</v>
      </c>
      <c r="C33" s="11" t="s">
        <v>93</v>
      </c>
      <c r="D33" s="12" t="s">
        <v>17</v>
      </c>
      <c r="E33" s="13">
        <v>64</v>
      </c>
      <c r="F33" s="112">
        <f>'Ед. Цени'!F44</f>
        <v>7.79</v>
      </c>
      <c r="G33" s="174">
        <f t="shared" si="0"/>
        <v>498.56</v>
      </c>
    </row>
    <row r="34" spans="1:7" x14ac:dyDescent="0.2">
      <c r="A34" s="103">
        <v>24</v>
      </c>
      <c r="B34" s="10" t="s">
        <v>176</v>
      </c>
      <c r="C34" s="85" t="s">
        <v>44</v>
      </c>
      <c r="D34" s="12" t="s">
        <v>38</v>
      </c>
      <c r="E34" s="85">
        <v>7</v>
      </c>
      <c r="F34" s="112">
        <f>'Ед. Цени'!F45</f>
        <v>14.87</v>
      </c>
      <c r="G34" s="174">
        <f t="shared" si="0"/>
        <v>104.09</v>
      </c>
    </row>
    <row r="35" spans="1:7" x14ac:dyDescent="0.2">
      <c r="A35" s="103">
        <v>25</v>
      </c>
      <c r="B35" s="222" t="s">
        <v>258</v>
      </c>
      <c r="C35" s="85" t="s">
        <v>92</v>
      </c>
      <c r="D35" s="12" t="s">
        <v>38</v>
      </c>
      <c r="E35" s="106">
        <v>12</v>
      </c>
      <c r="F35" s="73">
        <f>'Ед. Цени'!F108</f>
        <v>57.71</v>
      </c>
      <c r="G35" s="174">
        <f t="shared" si="0"/>
        <v>692.52</v>
      </c>
    </row>
    <row r="36" spans="1:7" x14ac:dyDescent="0.2">
      <c r="A36" s="103">
        <v>26</v>
      </c>
      <c r="B36" s="222" t="s">
        <v>259</v>
      </c>
      <c r="C36" s="85" t="s">
        <v>91</v>
      </c>
      <c r="D36" s="12" t="s">
        <v>38</v>
      </c>
      <c r="E36" s="85">
        <v>1</v>
      </c>
      <c r="F36" s="73">
        <f>'Ед. Цени'!F109</f>
        <v>41.12</v>
      </c>
      <c r="G36" s="174">
        <f t="shared" si="0"/>
        <v>41.12</v>
      </c>
    </row>
    <row r="37" spans="1:7" x14ac:dyDescent="0.2">
      <c r="A37" s="103">
        <v>27</v>
      </c>
      <c r="B37" s="10" t="s">
        <v>180</v>
      </c>
      <c r="C37" s="85" t="s">
        <v>46</v>
      </c>
      <c r="D37" s="12" t="s">
        <v>38</v>
      </c>
      <c r="E37" s="106">
        <v>31.400000000000002</v>
      </c>
      <c r="F37" s="112">
        <f>'Ед. Цени'!F49</f>
        <v>15.4</v>
      </c>
      <c r="G37" s="174">
        <f t="shared" si="0"/>
        <v>483.56</v>
      </c>
    </row>
    <row r="38" spans="1:7" x14ac:dyDescent="0.2">
      <c r="A38" s="103">
        <v>28</v>
      </c>
      <c r="B38" s="10" t="s">
        <v>181</v>
      </c>
      <c r="C38" s="85" t="s">
        <v>90</v>
      </c>
      <c r="D38" s="12" t="s">
        <v>38</v>
      </c>
      <c r="E38" s="106">
        <v>12</v>
      </c>
      <c r="F38" s="112">
        <f>'Ед. Цени'!F50</f>
        <v>15.9</v>
      </c>
      <c r="G38" s="174">
        <f t="shared" si="0"/>
        <v>190.8</v>
      </c>
    </row>
    <row r="39" spans="1:7" x14ac:dyDescent="0.2">
      <c r="A39" s="103">
        <v>29</v>
      </c>
      <c r="B39" s="10" t="s">
        <v>182</v>
      </c>
      <c r="C39" s="85" t="s">
        <v>89</v>
      </c>
      <c r="D39" s="12" t="s">
        <v>38</v>
      </c>
      <c r="E39" s="106">
        <v>12</v>
      </c>
      <c r="F39" s="112">
        <f>'Ед. Цени'!F51</f>
        <v>18.32</v>
      </c>
      <c r="G39" s="174">
        <f t="shared" si="0"/>
        <v>219.84</v>
      </c>
    </row>
    <row r="40" spans="1:7" x14ac:dyDescent="0.2">
      <c r="A40" s="103">
        <v>30</v>
      </c>
      <c r="B40" s="10" t="s">
        <v>183</v>
      </c>
      <c r="C40" s="85" t="s">
        <v>49</v>
      </c>
      <c r="D40" s="12" t="s">
        <v>38</v>
      </c>
      <c r="E40" s="85">
        <v>4</v>
      </c>
      <c r="F40" s="112">
        <f>'Ед. Цени'!F52</f>
        <v>35.82</v>
      </c>
      <c r="G40" s="174">
        <f t="shared" si="0"/>
        <v>143.28</v>
      </c>
    </row>
    <row r="41" spans="1:7" x14ac:dyDescent="0.2">
      <c r="A41" s="103">
        <v>31</v>
      </c>
      <c r="B41" s="10" t="s">
        <v>184</v>
      </c>
      <c r="C41" s="85" t="s">
        <v>50</v>
      </c>
      <c r="D41" s="12" t="s">
        <v>38</v>
      </c>
      <c r="E41" s="106">
        <v>2</v>
      </c>
      <c r="F41" s="112">
        <f>'Ед. Цени'!F53</f>
        <v>324.5</v>
      </c>
      <c r="G41" s="174">
        <f t="shared" si="0"/>
        <v>649</v>
      </c>
    </row>
    <row r="42" spans="1:7" x14ac:dyDescent="0.2">
      <c r="A42" s="103">
        <v>32</v>
      </c>
      <c r="B42" s="10" t="s">
        <v>185</v>
      </c>
      <c r="C42" s="85" t="s">
        <v>51</v>
      </c>
      <c r="D42" s="12" t="s">
        <v>38</v>
      </c>
      <c r="E42" s="85">
        <v>4</v>
      </c>
      <c r="F42" s="112">
        <f>'Ед. Цени'!F54</f>
        <v>39.450000000000003</v>
      </c>
      <c r="G42" s="174">
        <f t="shared" si="0"/>
        <v>157.80000000000001</v>
      </c>
    </row>
    <row r="43" spans="1:7" x14ac:dyDescent="0.2">
      <c r="A43" s="103">
        <v>33</v>
      </c>
      <c r="B43" s="10" t="s">
        <v>186</v>
      </c>
      <c r="C43" s="85" t="s">
        <v>52</v>
      </c>
      <c r="D43" s="12" t="s">
        <v>38</v>
      </c>
      <c r="E43" s="85">
        <v>3</v>
      </c>
      <c r="F43" s="112">
        <f>'Ед. Цени'!F55</f>
        <v>150.69999999999999</v>
      </c>
      <c r="G43" s="174">
        <f t="shared" si="0"/>
        <v>452.1</v>
      </c>
    </row>
    <row r="44" spans="1:7" x14ac:dyDescent="0.2">
      <c r="A44" s="103">
        <v>34</v>
      </c>
      <c r="B44" s="103" t="s">
        <v>255</v>
      </c>
      <c r="C44" s="190" t="s">
        <v>53</v>
      </c>
      <c r="D44" s="12" t="s">
        <v>38</v>
      </c>
      <c r="E44" s="106">
        <v>3</v>
      </c>
      <c r="F44" s="112">
        <f>'Ед. Цени'!F105</f>
        <v>53.66</v>
      </c>
      <c r="G44" s="174">
        <f t="shared" si="0"/>
        <v>160.97999999999999</v>
      </c>
    </row>
    <row r="45" spans="1:7" x14ac:dyDescent="0.2">
      <c r="A45" s="103">
        <v>35</v>
      </c>
      <c r="B45" s="10" t="s">
        <v>188</v>
      </c>
      <c r="C45" s="85" t="s">
        <v>88</v>
      </c>
      <c r="D45" s="12" t="s">
        <v>38</v>
      </c>
      <c r="E45" s="106">
        <v>12</v>
      </c>
      <c r="F45" s="73">
        <f>'Ед. Цени'!F57</f>
        <v>132.99</v>
      </c>
      <c r="G45" s="174">
        <f t="shared" si="0"/>
        <v>1595.88</v>
      </c>
    </row>
    <row r="46" spans="1:7" x14ac:dyDescent="0.2">
      <c r="A46" s="103">
        <v>36</v>
      </c>
      <c r="B46" s="10" t="s">
        <v>189</v>
      </c>
      <c r="C46" s="11" t="s">
        <v>55</v>
      </c>
      <c r="D46" s="12" t="s">
        <v>38</v>
      </c>
      <c r="E46" s="18">
        <v>4</v>
      </c>
      <c r="F46" s="112">
        <f>'Ед. Цени'!F58</f>
        <v>39.450000000000003</v>
      </c>
      <c r="G46" s="174">
        <f t="shared" si="0"/>
        <v>157.80000000000001</v>
      </c>
    </row>
    <row r="47" spans="1:7" x14ac:dyDescent="0.2">
      <c r="A47" s="103">
        <v>37</v>
      </c>
      <c r="B47" s="10" t="s">
        <v>190</v>
      </c>
      <c r="C47" s="11" t="s">
        <v>56</v>
      </c>
      <c r="D47" s="12" t="s">
        <v>17</v>
      </c>
      <c r="E47" s="13">
        <v>285.8</v>
      </c>
      <c r="F47" s="112">
        <f>'Ед. Цени'!F59</f>
        <v>1.78</v>
      </c>
      <c r="G47" s="174">
        <f t="shared" si="0"/>
        <v>508.72</v>
      </c>
    </row>
    <row r="48" spans="1:7" x14ac:dyDescent="0.2">
      <c r="A48" s="103">
        <v>38</v>
      </c>
      <c r="B48" s="10" t="s">
        <v>191</v>
      </c>
      <c r="C48" s="18" t="s">
        <v>57</v>
      </c>
      <c r="D48" s="12" t="s">
        <v>17</v>
      </c>
      <c r="E48" s="13">
        <v>285.8</v>
      </c>
      <c r="F48" s="112">
        <f>'Ед. Цени'!F60</f>
        <v>1.61</v>
      </c>
      <c r="G48" s="174">
        <f t="shared" si="0"/>
        <v>460.14</v>
      </c>
    </row>
    <row r="49" spans="1:7" x14ac:dyDescent="0.2">
      <c r="A49" s="103">
        <v>39</v>
      </c>
      <c r="B49" s="10" t="s">
        <v>192</v>
      </c>
      <c r="C49" s="27" t="s">
        <v>58</v>
      </c>
      <c r="D49" s="12" t="s">
        <v>38</v>
      </c>
      <c r="E49" s="13">
        <v>15</v>
      </c>
      <c r="F49" s="112">
        <f>'Ед. Цени'!F61</f>
        <v>10.45</v>
      </c>
      <c r="G49" s="174">
        <f t="shared" si="0"/>
        <v>156.75</v>
      </c>
    </row>
    <row r="50" spans="1:7" x14ac:dyDescent="0.2">
      <c r="A50" s="103">
        <v>40</v>
      </c>
      <c r="B50" s="10" t="s">
        <v>193</v>
      </c>
      <c r="C50" s="28" t="s">
        <v>59</v>
      </c>
      <c r="D50" s="12" t="s">
        <v>38</v>
      </c>
      <c r="E50" s="13">
        <v>3</v>
      </c>
      <c r="F50" s="112">
        <f>'Ед. Цени'!F62</f>
        <v>18.52</v>
      </c>
      <c r="G50" s="174">
        <f t="shared" si="0"/>
        <v>55.56</v>
      </c>
    </row>
    <row r="51" spans="1:7" x14ac:dyDescent="0.2">
      <c r="A51" s="103">
        <v>41</v>
      </c>
      <c r="B51" s="10" t="s">
        <v>194</v>
      </c>
      <c r="C51" s="28" t="s">
        <v>60</v>
      </c>
      <c r="D51" s="12" t="s">
        <v>38</v>
      </c>
      <c r="E51" s="13">
        <v>2</v>
      </c>
      <c r="F51" s="112">
        <f>'Ед. Цени'!F63</f>
        <v>18.52</v>
      </c>
      <c r="G51" s="174">
        <f t="shared" si="0"/>
        <v>37.04</v>
      </c>
    </row>
    <row r="52" spans="1:7" x14ac:dyDescent="0.2">
      <c r="A52" s="103">
        <v>42</v>
      </c>
      <c r="B52" s="10" t="s">
        <v>195</v>
      </c>
      <c r="C52" s="11" t="s">
        <v>61</v>
      </c>
      <c r="D52" s="12" t="s">
        <v>17</v>
      </c>
      <c r="E52" s="13">
        <v>28</v>
      </c>
      <c r="F52" s="139">
        <f>'Ед. Цени'!F64</f>
        <v>8.9499999999999993</v>
      </c>
      <c r="G52" s="174">
        <f t="shared" si="0"/>
        <v>250.6</v>
      </c>
    </row>
    <row r="53" spans="1:7" x14ac:dyDescent="0.2">
      <c r="A53" s="103">
        <v>43</v>
      </c>
      <c r="B53" s="10" t="s">
        <v>196</v>
      </c>
      <c r="C53" s="11" t="s">
        <v>62</v>
      </c>
      <c r="D53" s="12" t="s">
        <v>21</v>
      </c>
      <c r="E53" s="13">
        <v>159.488</v>
      </c>
      <c r="F53" s="112">
        <f>'Ед. Цени'!F65</f>
        <v>18.940000000000001</v>
      </c>
      <c r="G53" s="174">
        <f t="shared" si="0"/>
        <v>3020.7</v>
      </c>
    </row>
    <row r="54" spans="1:7" x14ac:dyDescent="0.2">
      <c r="A54" s="103">
        <v>44</v>
      </c>
      <c r="B54" s="10" t="s">
        <v>197</v>
      </c>
      <c r="C54" s="11" t="s">
        <v>63</v>
      </c>
      <c r="D54" s="12" t="s">
        <v>19</v>
      </c>
      <c r="E54" s="13">
        <v>398.71999999999997</v>
      </c>
      <c r="F54" s="112">
        <f>'Ед. Цени'!F66</f>
        <v>1.77</v>
      </c>
      <c r="G54" s="174">
        <f t="shared" si="0"/>
        <v>705.73</v>
      </c>
    </row>
    <row r="55" spans="1:7" x14ac:dyDescent="0.2">
      <c r="A55" s="103">
        <v>45</v>
      </c>
      <c r="B55" s="10" t="s">
        <v>198</v>
      </c>
      <c r="C55" s="11" t="s">
        <v>134</v>
      </c>
      <c r="D55" s="12" t="s">
        <v>64</v>
      </c>
      <c r="E55" s="13">
        <v>47.846399999999996</v>
      </c>
      <c r="F55" s="112">
        <f>'Ед. Цени'!F67</f>
        <v>125.37</v>
      </c>
      <c r="G55" s="174">
        <f t="shared" si="0"/>
        <v>5998.5</v>
      </c>
    </row>
    <row r="56" spans="1:7" x14ac:dyDescent="0.2">
      <c r="A56" s="103">
        <v>46</v>
      </c>
      <c r="B56" s="10" t="s">
        <v>199</v>
      </c>
      <c r="C56" s="11" t="s">
        <v>65</v>
      </c>
      <c r="D56" s="12" t="s">
        <v>17</v>
      </c>
      <c r="E56" s="13">
        <v>285.8</v>
      </c>
      <c r="F56" s="112">
        <f>'Ед. Цени'!F68</f>
        <v>0.92</v>
      </c>
      <c r="G56" s="174">
        <f t="shared" si="0"/>
        <v>262.94</v>
      </c>
    </row>
    <row r="57" spans="1:7" ht="12.75" thickBot="1" x14ac:dyDescent="0.25">
      <c r="A57" s="103">
        <v>47</v>
      </c>
      <c r="B57" s="10" t="s">
        <v>200</v>
      </c>
      <c r="C57" s="30" t="s">
        <v>66</v>
      </c>
      <c r="D57" s="31" t="s">
        <v>17</v>
      </c>
      <c r="E57" s="13">
        <v>285.8</v>
      </c>
      <c r="F57" s="112">
        <f>'Ед. Цени'!F69</f>
        <v>1.41</v>
      </c>
      <c r="G57" s="174">
        <f t="shared" si="0"/>
        <v>402.98</v>
      </c>
    </row>
    <row r="58" spans="1:7" ht="12.75" thickTop="1" x14ac:dyDescent="0.2">
      <c r="A58" s="107"/>
      <c r="B58" s="136"/>
      <c r="C58" s="32" t="s">
        <v>67</v>
      </c>
      <c r="D58" s="33"/>
      <c r="E58" s="34"/>
      <c r="F58" s="33"/>
      <c r="G58" s="175">
        <f>SUM(G11:G57)</f>
        <v>55077.31</v>
      </c>
    </row>
    <row r="59" spans="1:7" x14ac:dyDescent="0.2">
      <c r="A59" s="273" t="s">
        <v>68</v>
      </c>
      <c r="B59" s="274"/>
      <c r="C59" s="274"/>
      <c r="D59" s="275"/>
      <c r="E59" s="36"/>
      <c r="F59" s="35"/>
      <c r="G59" s="172"/>
    </row>
    <row r="60" spans="1:7" x14ac:dyDescent="0.2">
      <c r="A60" s="86">
        <v>1</v>
      </c>
      <c r="B60" s="75" t="s">
        <v>201</v>
      </c>
      <c r="C60" s="87" t="s">
        <v>69</v>
      </c>
      <c r="D60" s="86" t="s">
        <v>21</v>
      </c>
      <c r="E60" s="39">
        <v>45.07</v>
      </c>
      <c r="F60" s="22">
        <f>'Ед. Цени'!F70</f>
        <v>7.8</v>
      </c>
      <c r="G60" s="176">
        <f>ROUND((E60*F60),2)</f>
        <v>351.55</v>
      </c>
    </row>
    <row r="61" spans="1:7" x14ac:dyDescent="0.2">
      <c r="A61" s="86">
        <v>2</v>
      </c>
      <c r="B61" s="75" t="s">
        <v>202</v>
      </c>
      <c r="C61" s="87" t="s">
        <v>70</v>
      </c>
      <c r="D61" s="86" t="s">
        <v>21</v>
      </c>
      <c r="E61" s="39">
        <v>19.309999999999995</v>
      </c>
      <c r="F61" s="22">
        <f>'Ед. Цени'!F71</f>
        <v>16.63</v>
      </c>
      <c r="G61" s="176">
        <f t="shared" ref="G61:G75" si="1">ROUND((E61*F61),2)</f>
        <v>321.13</v>
      </c>
    </row>
    <row r="62" spans="1:7" x14ac:dyDescent="0.2">
      <c r="A62" s="86">
        <v>3</v>
      </c>
      <c r="B62" s="75" t="s">
        <v>203</v>
      </c>
      <c r="C62" s="89" t="s">
        <v>71</v>
      </c>
      <c r="D62" s="86" t="s">
        <v>19</v>
      </c>
      <c r="E62" s="39">
        <v>106.56</v>
      </c>
      <c r="F62" s="22">
        <f>'Ед. Цени'!F72</f>
        <v>6.09</v>
      </c>
      <c r="G62" s="176">
        <f t="shared" si="1"/>
        <v>648.95000000000005</v>
      </c>
    </row>
    <row r="63" spans="1:7" x14ac:dyDescent="0.2">
      <c r="A63" s="86">
        <v>4</v>
      </c>
      <c r="B63" s="75" t="s">
        <v>204</v>
      </c>
      <c r="C63" s="87" t="s">
        <v>72</v>
      </c>
      <c r="D63" s="86" t="s">
        <v>21</v>
      </c>
      <c r="E63" s="39">
        <v>23.17</v>
      </c>
      <c r="F63" s="22">
        <f>'Ед. Цени'!F73</f>
        <v>1.64</v>
      </c>
      <c r="G63" s="176">
        <f t="shared" si="1"/>
        <v>38</v>
      </c>
    </row>
    <row r="64" spans="1:7" x14ac:dyDescent="0.2">
      <c r="A64" s="86">
        <v>5</v>
      </c>
      <c r="B64" s="75" t="s">
        <v>205</v>
      </c>
      <c r="C64" s="87" t="s">
        <v>73</v>
      </c>
      <c r="D64" s="86" t="s">
        <v>21</v>
      </c>
      <c r="E64" s="39">
        <v>66.599999999999994</v>
      </c>
      <c r="F64" s="22">
        <f>'Ед. Цени'!F74</f>
        <v>8.5399999999999991</v>
      </c>
      <c r="G64" s="176">
        <f t="shared" si="1"/>
        <v>568.76</v>
      </c>
    </row>
    <row r="65" spans="1:7" x14ac:dyDescent="0.2">
      <c r="A65" s="86">
        <v>6</v>
      </c>
      <c r="B65" s="10" t="s">
        <v>158</v>
      </c>
      <c r="C65" s="89" t="s">
        <v>25</v>
      </c>
      <c r="D65" s="86" t="s">
        <v>21</v>
      </c>
      <c r="E65" s="39">
        <v>66.599999999999994</v>
      </c>
      <c r="F65" s="69">
        <f>'Ед. Цени'!F27</f>
        <v>1.98</v>
      </c>
      <c r="G65" s="176">
        <f t="shared" si="1"/>
        <v>131.87</v>
      </c>
    </row>
    <row r="66" spans="1:7" x14ac:dyDescent="0.2">
      <c r="A66" s="86">
        <v>7</v>
      </c>
      <c r="B66" s="75" t="s">
        <v>206</v>
      </c>
      <c r="C66" s="87" t="s">
        <v>74</v>
      </c>
      <c r="D66" s="86" t="s">
        <v>19</v>
      </c>
      <c r="E66" s="39">
        <v>1110</v>
      </c>
      <c r="F66" s="22">
        <f>'Ед. Цени'!F75</f>
        <v>1.78</v>
      </c>
      <c r="G66" s="176">
        <f t="shared" si="1"/>
        <v>1975.8</v>
      </c>
    </row>
    <row r="67" spans="1:7" x14ac:dyDescent="0.2">
      <c r="A67" s="86">
        <v>8</v>
      </c>
      <c r="B67" s="75" t="s">
        <v>207</v>
      </c>
      <c r="C67" s="87" t="s">
        <v>75</v>
      </c>
      <c r="D67" s="86" t="s">
        <v>21</v>
      </c>
      <c r="E67" s="39">
        <v>53.28</v>
      </c>
      <c r="F67" s="22">
        <f>'Ед. Цени'!F76</f>
        <v>1.78</v>
      </c>
      <c r="G67" s="176">
        <f t="shared" si="1"/>
        <v>94.84</v>
      </c>
    </row>
    <row r="68" spans="1:7" x14ac:dyDescent="0.2">
      <c r="A68" s="86">
        <v>9</v>
      </c>
      <c r="B68" s="75" t="s">
        <v>208</v>
      </c>
      <c r="C68" s="87" t="s">
        <v>76</v>
      </c>
      <c r="D68" s="86" t="s">
        <v>77</v>
      </c>
      <c r="E68" s="39">
        <v>77.699999999999989</v>
      </c>
      <c r="F68" s="22">
        <f>'Ед. Цени'!F77</f>
        <v>21.54</v>
      </c>
      <c r="G68" s="176">
        <f t="shared" si="1"/>
        <v>1673.66</v>
      </c>
    </row>
    <row r="69" spans="1:7" x14ac:dyDescent="0.2">
      <c r="A69" s="86">
        <v>10</v>
      </c>
      <c r="B69" s="75" t="s">
        <v>209</v>
      </c>
      <c r="C69" s="87" t="s">
        <v>78</v>
      </c>
      <c r="D69" s="86" t="s">
        <v>79</v>
      </c>
      <c r="E69" s="39">
        <v>130</v>
      </c>
      <c r="F69" s="22">
        <f>'Ед. Цени'!F78</f>
        <v>6.93</v>
      </c>
      <c r="G69" s="176">
        <f t="shared" si="1"/>
        <v>900.9</v>
      </c>
    </row>
    <row r="70" spans="1:7" x14ac:dyDescent="0.2">
      <c r="A70" s="86">
        <v>11</v>
      </c>
      <c r="B70" s="75" t="s">
        <v>210</v>
      </c>
      <c r="C70" s="87" t="s">
        <v>80</v>
      </c>
      <c r="D70" s="86" t="s">
        <v>79</v>
      </c>
      <c r="E70" s="39">
        <v>130</v>
      </c>
      <c r="F70" s="22">
        <f>'Ед. Цени'!F79</f>
        <v>27.54</v>
      </c>
      <c r="G70" s="176">
        <f t="shared" si="1"/>
        <v>3580.2</v>
      </c>
    </row>
    <row r="71" spans="1:7" x14ac:dyDescent="0.2">
      <c r="A71" s="86">
        <v>12</v>
      </c>
      <c r="B71" s="75" t="s">
        <v>211</v>
      </c>
      <c r="C71" s="87" t="s">
        <v>81</v>
      </c>
      <c r="D71" s="86" t="s">
        <v>19</v>
      </c>
      <c r="E71" s="39">
        <v>124.32000000000001</v>
      </c>
      <c r="F71" s="22">
        <f>'Ед. Цени'!F80</f>
        <v>7.88</v>
      </c>
      <c r="G71" s="176">
        <f t="shared" si="1"/>
        <v>979.64</v>
      </c>
    </row>
    <row r="72" spans="1:7" x14ac:dyDescent="0.2">
      <c r="A72" s="86">
        <v>13</v>
      </c>
      <c r="B72" s="75" t="s">
        <v>212</v>
      </c>
      <c r="C72" s="87" t="s">
        <v>82</v>
      </c>
      <c r="D72" s="86" t="s">
        <v>19</v>
      </c>
      <c r="E72" s="39">
        <v>124.32000000000001</v>
      </c>
      <c r="F72" s="22">
        <f>'Ед. Цени'!F81</f>
        <v>14.48</v>
      </c>
      <c r="G72" s="176">
        <f t="shared" si="1"/>
        <v>1800.15</v>
      </c>
    </row>
    <row r="73" spans="1:7" x14ac:dyDescent="0.2">
      <c r="A73" s="86">
        <v>14</v>
      </c>
      <c r="B73" s="75" t="s">
        <v>213</v>
      </c>
      <c r="C73" s="87" t="s">
        <v>83</v>
      </c>
      <c r="D73" s="86" t="s">
        <v>19</v>
      </c>
      <c r="E73" s="39">
        <v>1010.0999999999999</v>
      </c>
      <c r="F73" s="22">
        <f>'Ед. Цени'!F82</f>
        <v>11.72</v>
      </c>
      <c r="G73" s="176">
        <f t="shared" si="1"/>
        <v>11838.37</v>
      </c>
    </row>
    <row r="74" spans="1:7" x14ac:dyDescent="0.2">
      <c r="A74" s="86">
        <v>15</v>
      </c>
      <c r="B74" s="75" t="s">
        <v>214</v>
      </c>
      <c r="C74" s="87" t="s">
        <v>84</v>
      </c>
      <c r="D74" s="86" t="s">
        <v>19</v>
      </c>
      <c r="E74" s="39">
        <v>1332</v>
      </c>
      <c r="F74" s="22">
        <f>'Ед. Цени'!F83</f>
        <v>1.89</v>
      </c>
      <c r="G74" s="176">
        <f t="shared" si="1"/>
        <v>2517.48</v>
      </c>
    </row>
    <row r="75" spans="1:7" x14ac:dyDescent="0.2">
      <c r="A75" s="86">
        <v>16</v>
      </c>
      <c r="B75" s="75" t="s">
        <v>215</v>
      </c>
      <c r="C75" s="87" t="s">
        <v>85</v>
      </c>
      <c r="D75" s="86" t="s">
        <v>77</v>
      </c>
      <c r="E75" s="39">
        <v>159.84</v>
      </c>
      <c r="F75" s="22">
        <f>'Ед. Цени'!F84</f>
        <v>134.12</v>
      </c>
      <c r="G75" s="176">
        <f t="shared" si="1"/>
        <v>21437.74</v>
      </c>
    </row>
    <row r="76" spans="1:7" x14ac:dyDescent="0.2">
      <c r="A76" s="66"/>
      <c r="B76" s="119"/>
      <c r="C76" s="42"/>
      <c r="D76" s="35"/>
      <c r="E76" s="36"/>
      <c r="F76" s="35"/>
      <c r="G76" s="172"/>
    </row>
    <row r="77" spans="1:7" ht="12.75" thickBot="1" x14ac:dyDescent="0.25">
      <c r="A77" s="66"/>
      <c r="B77" s="119"/>
      <c r="C77" s="42" t="s">
        <v>86</v>
      </c>
      <c r="D77" s="35"/>
      <c r="E77" s="36"/>
      <c r="F77" s="35"/>
      <c r="G77" s="172">
        <f>SUM(G60:G75)</f>
        <v>48859.040000000001</v>
      </c>
    </row>
    <row r="78" spans="1:7" x14ac:dyDescent="0.2">
      <c r="A78" s="90"/>
      <c r="B78" s="126"/>
      <c r="C78" s="91" t="s">
        <v>87</v>
      </c>
      <c r="D78" s="92"/>
      <c r="E78" s="93"/>
      <c r="F78" s="92"/>
      <c r="G78" s="178">
        <f>SUM(G58+G77)</f>
        <v>103936.35</v>
      </c>
    </row>
    <row r="79" spans="1:7" x14ac:dyDescent="0.2">
      <c r="A79" s="94"/>
      <c r="B79" s="127"/>
      <c r="C79" s="95" t="s">
        <v>137</v>
      </c>
      <c r="D79" s="96"/>
      <c r="E79" s="97"/>
      <c r="F79" s="96"/>
      <c r="G79" s="179">
        <f>+G78*0.2</f>
        <v>20787.270000000004</v>
      </c>
    </row>
    <row r="80" spans="1:7" ht="12.75" thickBot="1" x14ac:dyDescent="0.25">
      <c r="A80" s="98"/>
      <c r="B80" s="128"/>
      <c r="C80" s="99" t="s">
        <v>136</v>
      </c>
      <c r="D80" s="100"/>
      <c r="E80" s="101"/>
      <c r="F80" s="100"/>
      <c r="G80" s="180">
        <f>+G79+G78</f>
        <v>124723.62000000001</v>
      </c>
    </row>
  </sheetData>
  <autoFilter ref="A9:G80"/>
  <mergeCells count="11">
    <mergeCell ref="A10:D10"/>
    <mergeCell ref="A59:D59"/>
    <mergeCell ref="A1:G1"/>
    <mergeCell ref="A2:G2"/>
    <mergeCell ref="A4:G4"/>
    <mergeCell ref="A6:A8"/>
    <mergeCell ref="C6:C8"/>
    <mergeCell ref="D6:D8"/>
    <mergeCell ref="E6:E8"/>
    <mergeCell ref="F6:F8"/>
    <mergeCell ref="G6:G8"/>
  </mergeCells>
  <pageMargins left="0.7" right="0.7" top="0.75" bottom="0.75" header="0.3" footer="0.3"/>
  <pageSetup paperSize="9" scale="84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1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147</v>
      </c>
      <c r="B4" s="269"/>
      <c r="C4" s="269"/>
      <c r="D4" s="269"/>
      <c r="E4" s="269"/>
      <c r="F4" s="269"/>
      <c r="G4" s="269"/>
    </row>
    <row r="5" spans="1:7" ht="12.75" thickBot="1" x14ac:dyDescent="0.25">
      <c r="A5" s="64"/>
      <c r="B5" s="64"/>
      <c r="C5" s="65"/>
      <c r="D5" s="65"/>
      <c r="E5" s="65"/>
      <c r="F5" s="65"/>
      <c r="G5" s="169"/>
    </row>
    <row r="6" spans="1:7" ht="12.75" thickTop="1" x14ac:dyDescent="0.2">
      <c r="A6" s="270" t="s">
        <v>9</v>
      </c>
      <c r="B6" s="116"/>
      <c r="C6" s="261" t="s">
        <v>10</v>
      </c>
      <c r="D6" s="261" t="s">
        <v>11</v>
      </c>
      <c r="E6" s="261" t="s">
        <v>12</v>
      </c>
      <c r="F6" s="261" t="s">
        <v>13</v>
      </c>
      <c r="G6" s="264" t="s">
        <v>14</v>
      </c>
    </row>
    <row r="7" spans="1:7" x14ac:dyDescent="0.2">
      <c r="A7" s="271"/>
      <c r="B7" s="117"/>
      <c r="C7" s="262"/>
      <c r="D7" s="262"/>
      <c r="E7" s="262"/>
      <c r="F7" s="262"/>
      <c r="G7" s="265"/>
    </row>
    <row r="8" spans="1:7" ht="12.75" thickBot="1" x14ac:dyDescent="0.25">
      <c r="A8" s="272"/>
      <c r="B8" s="118"/>
      <c r="C8" s="263"/>
      <c r="D8" s="263"/>
      <c r="E8" s="263"/>
      <c r="F8" s="263"/>
      <c r="G8" s="266"/>
    </row>
    <row r="9" spans="1:7" ht="12.75" thickTop="1" x14ac:dyDescent="0.2">
      <c r="A9" s="66">
        <v>1</v>
      </c>
      <c r="B9" s="119"/>
      <c r="C9" s="67">
        <v>2</v>
      </c>
      <c r="D9" s="67">
        <v>3</v>
      </c>
      <c r="E9" s="67">
        <v>4</v>
      </c>
      <c r="F9" s="83">
        <v>5</v>
      </c>
      <c r="G9" s="170">
        <v>6</v>
      </c>
    </row>
    <row r="10" spans="1:7" x14ac:dyDescent="0.2">
      <c r="A10" s="273" t="s">
        <v>15</v>
      </c>
      <c r="B10" s="274"/>
      <c r="C10" s="274"/>
      <c r="D10" s="274"/>
      <c r="E10" s="84"/>
      <c r="F10" s="140"/>
      <c r="G10" s="173"/>
    </row>
    <row r="11" spans="1:7" x14ac:dyDescent="0.2">
      <c r="A11" s="10">
        <v>1</v>
      </c>
      <c r="B11" s="10" t="s">
        <v>152</v>
      </c>
      <c r="C11" s="11" t="s">
        <v>16</v>
      </c>
      <c r="D11" s="12" t="s">
        <v>17</v>
      </c>
      <c r="E11" s="13">
        <v>463.6</v>
      </c>
      <c r="F11" s="112">
        <f>'Ед. Цени'!F21</f>
        <v>3.53</v>
      </c>
      <c r="G11" s="174">
        <f>ROUND((E11*F11),2)</f>
        <v>1636.51</v>
      </c>
    </row>
    <row r="12" spans="1:7" x14ac:dyDescent="0.2">
      <c r="A12" s="10">
        <v>2</v>
      </c>
      <c r="B12" s="10" t="s">
        <v>153</v>
      </c>
      <c r="C12" s="14" t="s">
        <v>18</v>
      </c>
      <c r="D12" s="15" t="s">
        <v>19</v>
      </c>
      <c r="E12" s="16">
        <v>324.52</v>
      </c>
      <c r="F12" s="112">
        <f>'Ед. Цени'!F22</f>
        <v>6.89</v>
      </c>
      <c r="G12" s="174">
        <f t="shared" ref="G12:G58" si="0">ROUND((E12*F12),2)</f>
        <v>2235.94</v>
      </c>
    </row>
    <row r="13" spans="1:7" x14ac:dyDescent="0.2">
      <c r="A13" s="10">
        <v>3</v>
      </c>
      <c r="B13" s="10" t="s">
        <v>154</v>
      </c>
      <c r="C13" s="14" t="s">
        <v>20</v>
      </c>
      <c r="D13" s="12" t="s">
        <v>21</v>
      </c>
      <c r="E13" s="13">
        <v>306.52776000000006</v>
      </c>
      <c r="F13" s="69">
        <f>'Ед. Цени'!F23</f>
        <v>5.5</v>
      </c>
      <c r="G13" s="174">
        <f t="shared" si="0"/>
        <v>1685.9</v>
      </c>
    </row>
    <row r="14" spans="1:7" x14ac:dyDescent="0.2">
      <c r="A14" s="10">
        <v>4</v>
      </c>
      <c r="B14" s="10" t="s">
        <v>236</v>
      </c>
      <c r="C14" s="14" t="s">
        <v>22</v>
      </c>
      <c r="D14" s="12" t="s">
        <v>21</v>
      </c>
      <c r="E14" s="13">
        <v>131.36904000000001</v>
      </c>
      <c r="F14" s="112">
        <f>'Ед. Цени'!F85</f>
        <v>24.35</v>
      </c>
      <c r="G14" s="174">
        <f t="shared" si="0"/>
        <v>3198.84</v>
      </c>
    </row>
    <row r="15" spans="1:7" ht="24" x14ac:dyDescent="0.2">
      <c r="A15" s="10">
        <v>5</v>
      </c>
      <c r="B15" s="10" t="s">
        <v>156</v>
      </c>
      <c r="C15" s="11" t="s">
        <v>23</v>
      </c>
      <c r="D15" s="12" t="s">
        <v>21</v>
      </c>
      <c r="E15" s="13">
        <v>131.36904000000001</v>
      </c>
      <c r="F15" s="69">
        <f>'Ед. Цени'!F25</f>
        <v>12.47</v>
      </c>
      <c r="G15" s="174">
        <f t="shared" si="0"/>
        <v>1638.17</v>
      </c>
    </row>
    <row r="16" spans="1:7" x14ac:dyDescent="0.2">
      <c r="A16" s="10">
        <v>6</v>
      </c>
      <c r="B16" s="10" t="s">
        <v>157</v>
      </c>
      <c r="C16" s="11" t="s">
        <v>24</v>
      </c>
      <c r="D16" s="12" t="s">
        <v>21</v>
      </c>
      <c r="E16" s="17">
        <v>437.8968000000001</v>
      </c>
      <c r="F16" s="69">
        <f>'Ед. Цени'!F26</f>
        <v>2.79</v>
      </c>
      <c r="G16" s="174">
        <f t="shared" si="0"/>
        <v>1221.73</v>
      </c>
    </row>
    <row r="17" spans="1:7" x14ac:dyDescent="0.2">
      <c r="A17" s="10">
        <v>7</v>
      </c>
      <c r="B17" s="10" t="s">
        <v>158</v>
      </c>
      <c r="C17" s="11" t="s">
        <v>25</v>
      </c>
      <c r="D17" s="12" t="s">
        <v>21</v>
      </c>
      <c r="E17" s="17">
        <v>437.8968000000001</v>
      </c>
      <c r="F17" s="69">
        <f>'Ед. Цени'!F27</f>
        <v>1.98</v>
      </c>
      <c r="G17" s="174">
        <f t="shared" si="0"/>
        <v>867.04</v>
      </c>
    </row>
    <row r="18" spans="1:7" x14ac:dyDescent="0.2">
      <c r="A18" s="10">
        <v>8</v>
      </c>
      <c r="B18" s="10" t="s">
        <v>159</v>
      </c>
      <c r="C18" s="11" t="s">
        <v>26</v>
      </c>
      <c r="D18" s="12" t="s">
        <v>21</v>
      </c>
      <c r="E18" s="17">
        <v>437.8968000000001</v>
      </c>
      <c r="F18" s="69">
        <f>'Ед. Цени'!F28</f>
        <v>2.79</v>
      </c>
      <c r="G18" s="174">
        <f t="shared" si="0"/>
        <v>1221.73</v>
      </c>
    </row>
    <row r="19" spans="1:7" x14ac:dyDescent="0.2">
      <c r="A19" s="10">
        <v>9</v>
      </c>
      <c r="B19" s="10" t="s">
        <v>160</v>
      </c>
      <c r="C19" s="18" t="s">
        <v>27</v>
      </c>
      <c r="D19" s="12" t="s">
        <v>19</v>
      </c>
      <c r="E19" s="17">
        <v>792.75599999999997</v>
      </c>
      <c r="F19" s="69">
        <f>'Ед. Цени'!F29</f>
        <v>2.42</v>
      </c>
      <c r="G19" s="174">
        <f t="shared" si="0"/>
        <v>1918.47</v>
      </c>
    </row>
    <row r="20" spans="1:7" x14ac:dyDescent="0.2">
      <c r="A20" s="10">
        <v>10</v>
      </c>
      <c r="B20" s="10" t="s">
        <v>161</v>
      </c>
      <c r="C20" s="11" t="s">
        <v>28</v>
      </c>
      <c r="D20" s="12" t="s">
        <v>21</v>
      </c>
      <c r="E20" s="17">
        <v>128.04000000000002</v>
      </c>
      <c r="F20" s="112">
        <f>'Ед. Цени'!F30</f>
        <v>19.04</v>
      </c>
      <c r="G20" s="174">
        <f t="shared" si="0"/>
        <v>2437.88</v>
      </c>
    </row>
    <row r="21" spans="1:7" x14ac:dyDescent="0.2">
      <c r="A21" s="10">
        <v>11</v>
      </c>
      <c r="B21" s="10" t="s">
        <v>162</v>
      </c>
      <c r="C21" s="11" t="s">
        <v>29</v>
      </c>
      <c r="D21" s="12" t="s">
        <v>21</v>
      </c>
      <c r="E21" s="17">
        <v>128.04000000000002</v>
      </c>
      <c r="F21" s="112">
        <f>'Ед. Цени'!F31</f>
        <v>6.14</v>
      </c>
      <c r="G21" s="174">
        <f t="shared" si="0"/>
        <v>786.17</v>
      </c>
    </row>
    <row r="22" spans="1:7" x14ac:dyDescent="0.2">
      <c r="A22" s="10">
        <v>12</v>
      </c>
      <c r="B22" s="10" t="s">
        <v>163</v>
      </c>
      <c r="C22" s="14" t="s">
        <v>30</v>
      </c>
      <c r="D22" s="12" t="s">
        <v>21</v>
      </c>
      <c r="E22" s="17">
        <v>25.608000000000004</v>
      </c>
      <c r="F22" s="112">
        <f>'Ед. Цени'!F32</f>
        <v>8.17</v>
      </c>
      <c r="G22" s="174">
        <f t="shared" si="0"/>
        <v>209.22</v>
      </c>
    </row>
    <row r="23" spans="1:7" x14ac:dyDescent="0.2">
      <c r="A23" s="10">
        <v>13</v>
      </c>
      <c r="B23" s="10" t="s">
        <v>164</v>
      </c>
      <c r="C23" s="14" t="s">
        <v>31</v>
      </c>
      <c r="D23" s="12" t="s">
        <v>21</v>
      </c>
      <c r="E23" s="17">
        <v>102.43200000000002</v>
      </c>
      <c r="F23" s="112">
        <f>'Ед. Цени'!F33</f>
        <v>4.75</v>
      </c>
      <c r="G23" s="174">
        <f t="shared" si="0"/>
        <v>486.55</v>
      </c>
    </row>
    <row r="24" spans="1:7" x14ac:dyDescent="0.2">
      <c r="A24" s="10">
        <v>14</v>
      </c>
      <c r="B24" s="10" t="s">
        <v>165</v>
      </c>
      <c r="C24" s="11" t="s">
        <v>32</v>
      </c>
      <c r="D24" s="12" t="s">
        <v>21</v>
      </c>
      <c r="E24" s="17">
        <v>128.04000000000002</v>
      </c>
      <c r="F24" s="112">
        <f>'Ед. Цени'!F34</f>
        <v>3.66</v>
      </c>
      <c r="G24" s="174">
        <f t="shared" si="0"/>
        <v>468.63</v>
      </c>
    </row>
    <row r="25" spans="1:7" x14ac:dyDescent="0.2">
      <c r="A25" s="10">
        <v>15</v>
      </c>
      <c r="B25" s="10" t="s">
        <v>166</v>
      </c>
      <c r="C25" s="11" t="s">
        <v>33</v>
      </c>
      <c r="D25" s="12" t="s">
        <v>21</v>
      </c>
      <c r="E25" s="17">
        <v>207.86480000000006</v>
      </c>
      <c r="F25" s="112">
        <f>'Ед. Цени'!F35</f>
        <v>17.82</v>
      </c>
      <c r="G25" s="174">
        <f t="shared" si="0"/>
        <v>3704.15</v>
      </c>
    </row>
    <row r="26" spans="1:7" x14ac:dyDescent="0.2">
      <c r="A26" s="10">
        <v>16</v>
      </c>
      <c r="B26" s="10" t="s">
        <v>167</v>
      </c>
      <c r="C26" s="11" t="s">
        <v>34</v>
      </c>
      <c r="D26" s="12" t="s">
        <v>21</v>
      </c>
      <c r="E26" s="17">
        <v>207.86480000000006</v>
      </c>
      <c r="F26" s="112">
        <f>'Ед. Цени'!F36</f>
        <v>6.14</v>
      </c>
      <c r="G26" s="174">
        <f t="shared" si="0"/>
        <v>1276.29</v>
      </c>
    </row>
    <row r="27" spans="1:7" x14ac:dyDescent="0.2">
      <c r="A27" s="10">
        <v>17</v>
      </c>
      <c r="B27" s="10" t="s">
        <v>168</v>
      </c>
      <c r="C27" s="11" t="s">
        <v>35</v>
      </c>
      <c r="D27" s="12" t="s">
        <v>21</v>
      </c>
      <c r="E27" s="17">
        <v>207.86480000000006</v>
      </c>
      <c r="F27" s="112">
        <f>'Ед. Цени'!F37</f>
        <v>3.15</v>
      </c>
      <c r="G27" s="174">
        <f t="shared" si="0"/>
        <v>654.77</v>
      </c>
    </row>
    <row r="28" spans="1:7" x14ac:dyDescent="0.2">
      <c r="A28" s="10">
        <v>18</v>
      </c>
      <c r="B28" s="10" t="s">
        <v>169</v>
      </c>
      <c r="C28" s="14" t="s">
        <v>36</v>
      </c>
      <c r="D28" s="12" t="s">
        <v>19</v>
      </c>
      <c r="E28" s="13">
        <v>93.12</v>
      </c>
      <c r="F28" s="112">
        <f>'Ед. Цени'!F38</f>
        <v>1.85</v>
      </c>
      <c r="G28" s="174">
        <f t="shared" si="0"/>
        <v>172.27</v>
      </c>
    </row>
    <row r="29" spans="1:7" x14ac:dyDescent="0.2">
      <c r="A29" s="10">
        <v>19</v>
      </c>
      <c r="B29" s="10" t="s">
        <v>170</v>
      </c>
      <c r="C29" s="20" t="s">
        <v>37</v>
      </c>
      <c r="D29" s="12" t="s">
        <v>38</v>
      </c>
      <c r="E29" s="13">
        <v>2.3280000000000003</v>
      </c>
      <c r="F29" s="112">
        <f>'Ед. Цени'!F39</f>
        <v>44.73</v>
      </c>
      <c r="G29" s="174">
        <f t="shared" si="0"/>
        <v>104.13</v>
      </c>
    </row>
    <row r="30" spans="1:7" x14ac:dyDescent="0.2">
      <c r="A30" s="10">
        <v>20</v>
      </c>
      <c r="B30" s="10" t="s">
        <v>171</v>
      </c>
      <c r="C30" s="11" t="s">
        <v>39</v>
      </c>
      <c r="D30" s="12" t="s">
        <v>21</v>
      </c>
      <c r="E30" s="13">
        <v>32.451999999999998</v>
      </c>
      <c r="F30" s="112">
        <f>'Ед. Цени'!F40</f>
        <v>3.09</v>
      </c>
      <c r="G30" s="174">
        <f t="shared" si="0"/>
        <v>100.28</v>
      </c>
    </row>
    <row r="31" spans="1:7" x14ac:dyDescent="0.2">
      <c r="A31" s="10">
        <v>21</v>
      </c>
      <c r="B31" s="10" t="s">
        <v>172</v>
      </c>
      <c r="C31" s="22" t="s">
        <v>40</v>
      </c>
      <c r="D31" s="12" t="s">
        <v>21</v>
      </c>
      <c r="E31" s="13">
        <v>32.451999999999998</v>
      </c>
      <c r="F31" s="112">
        <f>'Ед. Цени'!F41</f>
        <v>2.2999999999999998</v>
      </c>
      <c r="G31" s="174">
        <f t="shared" si="0"/>
        <v>74.64</v>
      </c>
    </row>
    <row r="32" spans="1:7" x14ac:dyDescent="0.2">
      <c r="A32" s="10">
        <v>22</v>
      </c>
      <c r="B32" s="10" t="s">
        <v>174</v>
      </c>
      <c r="C32" s="11" t="s">
        <v>41</v>
      </c>
      <c r="D32" s="12" t="s">
        <v>17</v>
      </c>
      <c r="E32" s="13">
        <v>184.8</v>
      </c>
      <c r="F32" s="112">
        <f>'Ед. Цени'!F43</f>
        <v>26.13</v>
      </c>
      <c r="G32" s="174">
        <f t="shared" si="0"/>
        <v>4828.82</v>
      </c>
    </row>
    <row r="33" spans="1:7" x14ac:dyDescent="0.2">
      <c r="A33" s="10">
        <v>23</v>
      </c>
      <c r="B33" s="10" t="s">
        <v>175</v>
      </c>
      <c r="C33" s="11" t="s">
        <v>93</v>
      </c>
      <c r="D33" s="12" t="s">
        <v>17</v>
      </c>
      <c r="E33" s="13">
        <v>48</v>
      </c>
      <c r="F33" s="112">
        <f>'Ед. Цени'!F44</f>
        <v>7.79</v>
      </c>
      <c r="G33" s="174">
        <f t="shared" si="0"/>
        <v>373.92</v>
      </c>
    </row>
    <row r="34" spans="1:7" x14ac:dyDescent="0.2">
      <c r="A34" s="10">
        <v>24</v>
      </c>
      <c r="B34" s="10" t="s">
        <v>176</v>
      </c>
      <c r="C34" s="85" t="s">
        <v>44</v>
      </c>
      <c r="D34" s="12" t="s">
        <v>38</v>
      </c>
      <c r="E34" s="85">
        <v>7</v>
      </c>
      <c r="F34" s="112">
        <f>'Ед. Цени'!F45</f>
        <v>14.87</v>
      </c>
      <c r="G34" s="174">
        <f t="shared" si="0"/>
        <v>104.09</v>
      </c>
    </row>
    <row r="35" spans="1:7" x14ac:dyDescent="0.2">
      <c r="A35" s="10">
        <v>25</v>
      </c>
      <c r="B35" s="222" t="s">
        <v>258</v>
      </c>
      <c r="C35" s="85" t="s">
        <v>92</v>
      </c>
      <c r="D35" s="12" t="s">
        <v>38</v>
      </c>
      <c r="E35" s="106">
        <v>8</v>
      </c>
      <c r="F35" s="73">
        <f>'Ед. Цени'!F108</f>
        <v>57.71</v>
      </c>
      <c r="G35" s="174">
        <f t="shared" si="0"/>
        <v>461.68</v>
      </c>
    </row>
    <row r="36" spans="1:7" x14ac:dyDescent="0.2">
      <c r="A36" s="10">
        <v>26</v>
      </c>
      <c r="B36" s="223" t="s">
        <v>180</v>
      </c>
      <c r="C36" s="85" t="s">
        <v>46</v>
      </c>
      <c r="D36" s="12" t="s">
        <v>38</v>
      </c>
      <c r="E36" s="106">
        <v>28.31666666666667</v>
      </c>
      <c r="F36" s="112">
        <f>'Ед. Цени'!F49</f>
        <v>15.4</v>
      </c>
      <c r="G36" s="174">
        <f t="shared" si="0"/>
        <v>436.08</v>
      </c>
    </row>
    <row r="37" spans="1:7" x14ac:dyDescent="0.2">
      <c r="A37" s="10">
        <v>27</v>
      </c>
      <c r="B37" s="223" t="s">
        <v>181</v>
      </c>
      <c r="C37" s="85" t="s">
        <v>90</v>
      </c>
      <c r="D37" s="12" t="s">
        <v>38</v>
      </c>
      <c r="E37" s="106">
        <v>8</v>
      </c>
      <c r="F37" s="112">
        <f>'Ед. Цени'!F50</f>
        <v>15.9</v>
      </c>
      <c r="G37" s="174">
        <f t="shared" si="0"/>
        <v>127.2</v>
      </c>
    </row>
    <row r="38" spans="1:7" x14ac:dyDescent="0.2">
      <c r="A38" s="10">
        <v>28</v>
      </c>
      <c r="B38" s="223" t="s">
        <v>260</v>
      </c>
      <c r="C38" s="85" t="s">
        <v>94</v>
      </c>
      <c r="D38" s="12" t="s">
        <v>38</v>
      </c>
      <c r="E38" s="85">
        <v>1</v>
      </c>
      <c r="F38" s="112">
        <f>'Ед. Цени'!F110</f>
        <v>43.54</v>
      </c>
      <c r="G38" s="174">
        <f t="shared" si="0"/>
        <v>43.54</v>
      </c>
    </row>
    <row r="39" spans="1:7" x14ac:dyDescent="0.2">
      <c r="A39" s="10">
        <v>29</v>
      </c>
      <c r="B39" s="103" t="s">
        <v>252</v>
      </c>
      <c r="C39" s="85" t="s">
        <v>95</v>
      </c>
      <c r="D39" s="12" t="s">
        <v>38</v>
      </c>
      <c r="E39" s="85">
        <v>1</v>
      </c>
      <c r="F39" s="112">
        <f>'Ед. Цени'!F102</f>
        <v>31.44</v>
      </c>
      <c r="G39" s="174">
        <f t="shared" si="0"/>
        <v>31.44</v>
      </c>
    </row>
    <row r="40" spans="1:7" x14ac:dyDescent="0.2">
      <c r="A40" s="10">
        <v>30</v>
      </c>
      <c r="B40" s="10" t="s">
        <v>182</v>
      </c>
      <c r="C40" s="85" t="s">
        <v>89</v>
      </c>
      <c r="D40" s="12" t="s">
        <v>38</v>
      </c>
      <c r="E40" s="106">
        <v>8</v>
      </c>
      <c r="F40" s="112">
        <f>'Ед. Цени'!F51</f>
        <v>18.32</v>
      </c>
      <c r="G40" s="174">
        <f t="shared" si="0"/>
        <v>146.56</v>
      </c>
    </row>
    <row r="41" spans="1:7" x14ac:dyDescent="0.2">
      <c r="A41" s="10">
        <v>31</v>
      </c>
      <c r="B41" s="10" t="s">
        <v>183</v>
      </c>
      <c r="C41" s="85" t="s">
        <v>49</v>
      </c>
      <c r="D41" s="12" t="s">
        <v>38</v>
      </c>
      <c r="E41" s="85">
        <v>4</v>
      </c>
      <c r="F41" s="112">
        <f>'Ед. Цени'!F52</f>
        <v>35.82</v>
      </c>
      <c r="G41" s="174">
        <f t="shared" si="0"/>
        <v>143.28</v>
      </c>
    </row>
    <row r="42" spans="1:7" x14ac:dyDescent="0.2">
      <c r="A42" s="10">
        <v>32</v>
      </c>
      <c r="B42" s="10" t="s">
        <v>184</v>
      </c>
      <c r="C42" s="85" t="s">
        <v>50</v>
      </c>
      <c r="D42" s="12" t="s">
        <v>38</v>
      </c>
      <c r="E42" s="106">
        <v>2</v>
      </c>
      <c r="F42" s="112">
        <f>'Ед. Цени'!F53</f>
        <v>324.5</v>
      </c>
      <c r="G42" s="174">
        <f t="shared" si="0"/>
        <v>649</v>
      </c>
    </row>
    <row r="43" spans="1:7" x14ac:dyDescent="0.2">
      <c r="A43" s="10">
        <v>33</v>
      </c>
      <c r="B43" s="10" t="s">
        <v>185</v>
      </c>
      <c r="C43" s="85" t="s">
        <v>51</v>
      </c>
      <c r="D43" s="12" t="s">
        <v>38</v>
      </c>
      <c r="E43" s="85">
        <v>4</v>
      </c>
      <c r="F43" s="112">
        <f>'Ед. Цени'!F54</f>
        <v>39.450000000000003</v>
      </c>
      <c r="G43" s="174">
        <f t="shared" si="0"/>
        <v>157.80000000000001</v>
      </c>
    </row>
    <row r="44" spans="1:7" x14ac:dyDescent="0.2">
      <c r="A44" s="10">
        <v>34</v>
      </c>
      <c r="B44" s="10" t="s">
        <v>186</v>
      </c>
      <c r="C44" s="85" t="s">
        <v>96</v>
      </c>
      <c r="D44" s="12" t="s">
        <v>38</v>
      </c>
      <c r="E44" s="85">
        <v>3</v>
      </c>
      <c r="F44" s="112">
        <f>'Ед. Цени'!F55</f>
        <v>150.69999999999999</v>
      </c>
      <c r="G44" s="174">
        <f t="shared" si="0"/>
        <v>452.1</v>
      </c>
    </row>
    <row r="45" spans="1:7" x14ac:dyDescent="0.2">
      <c r="A45" s="10">
        <v>35</v>
      </c>
      <c r="B45" s="103" t="s">
        <v>255</v>
      </c>
      <c r="C45" s="85" t="s">
        <v>53</v>
      </c>
      <c r="D45" s="12" t="s">
        <v>38</v>
      </c>
      <c r="E45" s="18">
        <v>3</v>
      </c>
      <c r="F45" s="112">
        <f>'Ед. Цени'!F105</f>
        <v>53.66</v>
      </c>
      <c r="G45" s="174">
        <f t="shared" si="0"/>
        <v>160.97999999999999</v>
      </c>
    </row>
    <row r="46" spans="1:7" x14ac:dyDescent="0.2">
      <c r="A46" s="10">
        <v>36</v>
      </c>
      <c r="B46" s="10" t="s">
        <v>188</v>
      </c>
      <c r="C46" s="85" t="s">
        <v>88</v>
      </c>
      <c r="D46" s="12" t="s">
        <v>38</v>
      </c>
      <c r="E46" s="106">
        <v>8</v>
      </c>
      <c r="F46" s="73">
        <f>'Ед. Цени'!F57</f>
        <v>132.99</v>
      </c>
      <c r="G46" s="174">
        <f t="shared" si="0"/>
        <v>1063.92</v>
      </c>
    </row>
    <row r="47" spans="1:7" x14ac:dyDescent="0.2">
      <c r="A47" s="10">
        <v>37</v>
      </c>
      <c r="B47" s="10" t="s">
        <v>189</v>
      </c>
      <c r="C47" s="11" t="s">
        <v>55</v>
      </c>
      <c r="D47" s="12" t="s">
        <v>38</v>
      </c>
      <c r="E47" s="18">
        <v>4</v>
      </c>
      <c r="F47" s="112">
        <f>'Ед. Цени'!F58</f>
        <v>39.450000000000003</v>
      </c>
      <c r="G47" s="174">
        <f t="shared" si="0"/>
        <v>157.80000000000001</v>
      </c>
    </row>
    <row r="48" spans="1:7" x14ac:dyDescent="0.2">
      <c r="A48" s="10">
        <v>38</v>
      </c>
      <c r="B48" s="10" t="s">
        <v>190</v>
      </c>
      <c r="C48" s="11" t="s">
        <v>56</v>
      </c>
      <c r="D48" s="12" t="s">
        <v>17</v>
      </c>
      <c r="E48" s="13">
        <v>232.8</v>
      </c>
      <c r="F48" s="112">
        <f>'Ед. Цени'!F59</f>
        <v>1.78</v>
      </c>
      <c r="G48" s="174">
        <f t="shared" si="0"/>
        <v>414.38</v>
      </c>
    </row>
    <row r="49" spans="1:7" x14ac:dyDescent="0.2">
      <c r="A49" s="10">
        <v>39</v>
      </c>
      <c r="B49" s="10" t="s">
        <v>191</v>
      </c>
      <c r="C49" s="18" t="s">
        <v>57</v>
      </c>
      <c r="D49" s="12" t="s">
        <v>17</v>
      </c>
      <c r="E49" s="13">
        <v>232.8</v>
      </c>
      <c r="F49" s="112">
        <f>'Ед. Цени'!F60</f>
        <v>1.61</v>
      </c>
      <c r="G49" s="174">
        <f t="shared" si="0"/>
        <v>374.81</v>
      </c>
    </row>
    <row r="50" spans="1:7" x14ac:dyDescent="0.2">
      <c r="A50" s="10">
        <v>40</v>
      </c>
      <c r="B50" s="10" t="s">
        <v>192</v>
      </c>
      <c r="C50" s="27" t="s">
        <v>58</v>
      </c>
      <c r="D50" s="12" t="s">
        <v>38</v>
      </c>
      <c r="E50" s="13">
        <v>11</v>
      </c>
      <c r="F50" s="112">
        <f>'Ед. Цени'!F61</f>
        <v>10.45</v>
      </c>
      <c r="G50" s="174">
        <f t="shared" si="0"/>
        <v>114.95</v>
      </c>
    </row>
    <row r="51" spans="1:7" x14ac:dyDescent="0.2">
      <c r="A51" s="10">
        <v>41</v>
      </c>
      <c r="B51" s="10" t="s">
        <v>193</v>
      </c>
      <c r="C51" s="28" t="s">
        <v>59</v>
      </c>
      <c r="D51" s="12" t="s">
        <v>38</v>
      </c>
      <c r="E51" s="13">
        <v>3</v>
      </c>
      <c r="F51" s="112">
        <f>'Ед. Цени'!F62</f>
        <v>18.52</v>
      </c>
      <c r="G51" s="174">
        <f t="shared" si="0"/>
        <v>55.56</v>
      </c>
    </row>
    <row r="52" spans="1:7" x14ac:dyDescent="0.2">
      <c r="A52" s="10">
        <v>42</v>
      </c>
      <c r="B52" s="10" t="s">
        <v>194</v>
      </c>
      <c r="C52" s="28" t="s">
        <v>60</v>
      </c>
      <c r="D52" s="12" t="s">
        <v>38</v>
      </c>
      <c r="E52" s="13">
        <v>2</v>
      </c>
      <c r="F52" s="112">
        <f>'Ед. Цени'!F63</f>
        <v>18.52</v>
      </c>
      <c r="G52" s="174">
        <f t="shared" si="0"/>
        <v>37.04</v>
      </c>
    </row>
    <row r="53" spans="1:7" x14ac:dyDescent="0.2">
      <c r="A53" s="10">
        <v>43</v>
      </c>
      <c r="B53" s="10" t="s">
        <v>195</v>
      </c>
      <c r="C53" s="11" t="s">
        <v>61</v>
      </c>
      <c r="D53" s="12" t="s">
        <v>17</v>
      </c>
      <c r="E53" s="13">
        <v>20</v>
      </c>
      <c r="F53" s="139">
        <f>'Ед. Цени'!F64</f>
        <v>8.9499999999999993</v>
      </c>
      <c r="G53" s="174">
        <f t="shared" si="0"/>
        <v>179</v>
      </c>
    </row>
    <row r="54" spans="1:7" x14ac:dyDescent="0.2">
      <c r="A54" s="10">
        <v>44</v>
      </c>
      <c r="B54" s="10" t="s">
        <v>196</v>
      </c>
      <c r="C54" s="11" t="s">
        <v>62</v>
      </c>
      <c r="D54" s="12" t="s">
        <v>21</v>
      </c>
      <c r="E54" s="13">
        <v>129.80799999999999</v>
      </c>
      <c r="F54" s="112">
        <f>'Ед. Цени'!F65</f>
        <v>18.940000000000001</v>
      </c>
      <c r="G54" s="174">
        <f t="shared" si="0"/>
        <v>2458.56</v>
      </c>
    </row>
    <row r="55" spans="1:7" x14ac:dyDescent="0.2">
      <c r="A55" s="10">
        <v>45</v>
      </c>
      <c r="B55" s="10" t="s">
        <v>197</v>
      </c>
      <c r="C55" s="11" t="s">
        <v>63</v>
      </c>
      <c r="D55" s="12" t="s">
        <v>19</v>
      </c>
      <c r="E55" s="13">
        <v>324.52</v>
      </c>
      <c r="F55" s="112">
        <f>'Ед. Цени'!F66</f>
        <v>1.77</v>
      </c>
      <c r="G55" s="174">
        <f t="shared" si="0"/>
        <v>574.4</v>
      </c>
    </row>
    <row r="56" spans="1:7" x14ac:dyDescent="0.2">
      <c r="A56" s="10">
        <v>46</v>
      </c>
      <c r="B56" s="10" t="s">
        <v>198</v>
      </c>
      <c r="C56" s="11" t="s">
        <v>134</v>
      </c>
      <c r="D56" s="12" t="s">
        <v>64</v>
      </c>
      <c r="E56" s="13">
        <v>38.942399999999992</v>
      </c>
      <c r="F56" s="112">
        <f>'Ед. Цени'!F67</f>
        <v>125.37</v>
      </c>
      <c r="G56" s="174">
        <f t="shared" si="0"/>
        <v>4882.21</v>
      </c>
    </row>
    <row r="57" spans="1:7" x14ac:dyDescent="0.2">
      <c r="A57" s="10">
        <v>47</v>
      </c>
      <c r="B57" s="10" t="s">
        <v>199</v>
      </c>
      <c r="C57" s="11" t="s">
        <v>65</v>
      </c>
      <c r="D57" s="12" t="s">
        <v>17</v>
      </c>
      <c r="E57" s="13">
        <v>232.8</v>
      </c>
      <c r="F57" s="112">
        <f>'Ед. Цени'!F68</f>
        <v>0.92</v>
      </c>
      <c r="G57" s="174">
        <f t="shared" si="0"/>
        <v>214.18</v>
      </c>
    </row>
    <row r="58" spans="1:7" ht="12.75" thickBot="1" x14ac:dyDescent="0.25">
      <c r="A58" s="10">
        <v>48</v>
      </c>
      <c r="B58" s="10" t="s">
        <v>200</v>
      </c>
      <c r="C58" s="30" t="s">
        <v>66</v>
      </c>
      <c r="D58" s="31" t="s">
        <v>17</v>
      </c>
      <c r="E58" s="13">
        <v>232.8</v>
      </c>
      <c r="F58" s="112">
        <f>'Ед. Цени'!F69</f>
        <v>1.41</v>
      </c>
      <c r="G58" s="174">
        <f t="shared" si="0"/>
        <v>328.25</v>
      </c>
    </row>
    <row r="59" spans="1:7" ht="12.75" thickTop="1" x14ac:dyDescent="0.2">
      <c r="A59" s="74"/>
      <c r="B59" s="121"/>
      <c r="C59" s="32" t="s">
        <v>67</v>
      </c>
      <c r="D59" s="33"/>
      <c r="E59" s="34"/>
      <c r="F59" s="33"/>
      <c r="G59" s="175">
        <f>SUM(G11:G58)</f>
        <v>45070.86</v>
      </c>
    </row>
    <row r="60" spans="1:7" x14ac:dyDescent="0.2">
      <c r="A60" s="273" t="s">
        <v>68</v>
      </c>
      <c r="B60" s="274"/>
      <c r="C60" s="274"/>
      <c r="D60" s="275"/>
      <c r="E60" s="36"/>
      <c r="F60" s="35"/>
      <c r="G60" s="172"/>
    </row>
    <row r="61" spans="1:7" x14ac:dyDescent="0.2">
      <c r="A61" s="86">
        <v>1</v>
      </c>
      <c r="B61" s="75" t="s">
        <v>201</v>
      </c>
      <c r="C61" s="87" t="s">
        <v>69</v>
      </c>
      <c r="D61" s="86" t="s">
        <v>21</v>
      </c>
      <c r="E61" s="39">
        <v>37.56</v>
      </c>
      <c r="F61" s="22">
        <f>'Ед. Цени'!F70</f>
        <v>7.8</v>
      </c>
      <c r="G61" s="176">
        <f>ROUND((E61*F61),2)</f>
        <v>292.97000000000003</v>
      </c>
    </row>
    <row r="62" spans="1:7" x14ac:dyDescent="0.2">
      <c r="A62" s="86">
        <v>2</v>
      </c>
      <c r="B62" s="75" t="s">
        <v>202</v>
      </c>
      <c r="C62" s="87" t="s">
        <v>70</v>
      </c>
      <c r="D62" s="86" t="s">
        <v>21</v>
      </c>
      <c r="E62" s="39">
        <v>16.089999999999996</v>
      </c>
      <c r="F62" s="22">
        <f>'Ед. Цени'!F71</f>
        <v>16.63</v>
      </c>
      <c r="G62" s="176">
        <f t="shared" ref="G62:G76" si="1">ROUND((E62*F62),2)</f>
        <v>267.58</v>
      </c>
    </row>
    <row r="63" spans="1:7" x14ac:dyDescent="0.2">
      <c r="A63" s="86">
        <v>3</v>
      </c>
      <c r="B63" s="75" t="s">
        <v>203</v>
      </c>
      <c r="C63" s="89" t="s">
        <v>71</v>
      </c>
      <c r="D63" s="86" t="s">
        <v>19</v>
      </c>
      <c r="E63" s="39">
        <v>88.8</v>
      </c>
      <c r="F63" s="22">
        <f>'Ед. Цени'!F72</f>
        <v>6.09</v>
      </c>
      <c r="G63" s="176">
        <f t="shared" si="1"/>
        <v>540.79</v>
      </c>
    </row>
    <row r="64" spans="1:7" x14ac:dyDescent="0.2">
      <c r="A64" s="86">
        <v>4</v>
      </c>
      <c r="B64" s="75" t="s">
        <v>204</v>
      </c>
      <c r="C64" s="87" t="s">
        <v>72</v>
      </c>
      <c r="D64" s="86" t="s">
        <v>21</v>
      </c>
      <c r="E64" s="39">
        <v>19.309999999999999</v>
      </c>
      <c r="F64" s="22">
        <f>'Ед. Цени'!F73</f>
        <v>1.64</v>
      </c>
      <c r="G64" s="176">
        <f t="shared" si="1"/>
        <v>31.67</v>
      </c>
    </row>
    <row r="65" spans="1:7" x14ac:dyDescent="0.2">
      <c r="A65" s="86">
        <v>5</v>
      </c>
      <c r="B65" s="75" t="s">
        <v>205</v>
      </c>
      <c r="C65" s="87" t="s">
        <v>73</v>
      </c>
      <c r="D65" s="86" t="s">
        <v>21</v>
      </c>
      <c r="E65" s="39">
        <v>55.5</v>
      </c>
      <c r="F65" s="22">
        <f>'Ед. Цени'!F74</f>
        <v>8.5399999999999991</v>
      </c>
      <c r="G65" s="176">
        <f t="shared" si="1"/>
        <v>473.97</v>
      </c>
    </row>
    <row r="66" spans="1:7" x14ac:dyDescent="0.2">
      <c r="A66" s="86">
        <v>6</v>
      </c>
      <c r="B66" s="10" t="s">
        <v>158</v>
      </c>
      <c r="C66" s="89" t="s">
        <v>25</v>
      </c>
      <c r="D66" s="86" t="s">
        <v>21</v>
      </c>
      <c r="E66" s="39">
        <v>55.5</v>
      </c>
      <c r="F66" s="69">
        <f>'Ед. Цени'!F27</f>
        <v>1.98</v>
      </c>
      <c r="G66" s="176">
        <f t="shared" si="1"/>
        <v>109.89</v>
      </c>
    </row>
    <row r="67" spans="1:7" x14ac:dyDescent="0.2">
      <c r="A67" s="86">
        <v>7</v>
      </c>
      <c r="B67" s="75" t="s">
        <v>206</v>
      </c>
      <c r="C67" s="87" t="s">
        <v>74</v>
      </c>
      <c r="D67" s="86" t="s">
        <v>19</v>
      </c>
      <c r="E67" s="39">
        <v>925</v>
      </c>
      <c r="F67" s="22">
        <f>'Ед. Цени'!F75</f>
        <v>1.78</v>
      </c>
      <c r="G67" s="176">
        <f t="shared" si="1"/>
        <v>1646.5</v>
      </c>
    </row>
    <row r="68" spans="1:7" x14ac:dyDescent="0.2">
      <c r="A68" s="86">
        <v>8</v>
      </c>
      <c r="B68" s="75" t="s">
        <v>207</v>
      </c>
      <c r="C68" s="87" t="s">
        <v>75</v>
      </c>
      <c r="D68" s="86" t="s">
        <v>21</v>
      </c>
      <c r="E68" s="39">
        <v>44.4</v>
      </c>
      <c r="F68" s="22">
        <f>'Ед. Цени'!F76</f>
        <v>1.78</v>
      </c>
      <c r="G68" s="176">
        <f t="shared" si="1"/>
        <v>79.03</v>
      </c>
    </row>
    <row r="69" spans="1:7" x14ac:dyDescent="0.2">
      <c r="A69" s="86">
        <v>9</v>
      </c>
      <c r="B69" s="75" t="s">
        <v>208</v>
      </c>
      <c r="C69" s="87" t="s">
        <v>76</v>
      </c>
      <c r="D69" s="86" t="s">
        <v>77</v>
      </c>
      <c r="E69" s="39">
        <v>64.75</v>
      </c>
      <c r="F69" s="22">
        <f>'Ед. Цени'!F77</f>
        <v>21.54</v>
      </c>
      <c r="G69" s="176">
        <f t="shared" si="1"/>
        <v>1394.72</v>
      </c>
    </row>
    <row r="70" spans="1:7" x14ac:dyDescent="0.2">
      <c r="A70" s="86">
        <v>10</v>
      </c>
      <c r="B70" s="75" t="s">
        <v>209</v>
      </c>
      <c r="C70" s="87" t="s">
        <v>78</v>
      </c>
      <c r="D70" s="86" t="s">
        <v>79</v>
      </c>
      <c r="E70" s="39">
        <v>120</v>
      </c>
      <c r="F70" s="22">
        <f>'Ед. Цени'!F78</f>
        <v>6.93</v>
      </c>
      <c r="G70" s="176">
        <f t="shared" si="1"/>
        <v>831.6</v>
      </c>
    </row>
    <row r="71" spans="1:7" x14ac:dyDescent="0.2">
      <c r="A71" s="86">
        <v>11</v>
      </c>
      <c r="B71" s="75" t="s">
        <v>210</v>
      </c>
      <c r="C71" s="87" t="s">
        <v>80</v>
      </c>
      <c r="D71" s="86" t="s">
        <v>79</v>
      </c>
      <c r="E71" s="39">
        <v>120</v>
      </c>
      <c r="F71" s="22">
        <f>'Ед. Цени'!F79</f>
        <v>27.54</v>
      </c>
      <c r="G71" s="176">
        <f t="shared" si="1"/>
        <v>3304.8</v>
      </c>
    </row>
    <row r="72" spans="1:7" x14ac:dyDescent="0.2">
      <c r="A72" s="86">
        <v>12</v>
      </c>
      <c r="B72" s="75" t="s">
        <v>211</v>
      </c>
      <c r="C72" s="87" t="s">
        <v>81</v>
      </c>
      <c r="D72" s="86" t="s">
        <v>19</v>
      </c>
      <c r="E72" s="39">
        <v>103.60000000000001</v>
      </c>
      <c r="F72" s="22">
        <f>'Ед. Цени'!F80</f>
        <v>7.88</v>
      </c>
      <c r="G72" s="176">
        <f t="shared" si="1"/>
        <v>816.37</v>
      </c>
    </row>
    <row r="73" spans="1:7" x14ac:dyDescent="0.2">
      <c r="A73" s="86">
        <v>13</v>
      </c>
      <c r="B73" s="75" t="s">
        <v>212</v>
      </c>
      <c r="C73" s="87" t="s">
        <v>82</v>
      </c>
      <c r="D73" s="86" t="s">
        <v>19</v>
      </c>
      <c r="E73" s="39">
        <v>103.60000000000001</v>
      </c>
      <c r="F73" s="22">
        <f>'Ед. Цени'!F81</f>
        <v>14.48</v>
      </c>
      <c r="G73" s="176">
        <f t="shared" si="1"/>
        <v>1500.13</v>
      </c>
    </row>
    <row r="74" spans="1:7" x14ac:dyDescent="0.2">
      <c r="A74" s="86">
        <v>14</v>
      </c>
      <c r="B74" s="75" t="s">
        <v>213</v>
      </c>
      <c r="C74" s="87" t="s">
        <v>83</v>
      </c>
      <c r="D74" s="86" t="s">
        <v>19</v>
      </c>
      <c r="E74" s="39">
        <v>841.75</v>
      </c>
      <c r="F74" s="22">
        <f>'Ед. Цени'!F82</f>
        <v>11.72</v>
      </c>
      <c r="G74" s="176">
        <f t="shared" si="1"/>
        <v>9865.31</v>
      </c>
    </row>
    <row r="75" spans="1:7" x14ac:dyDescent="0.2">
      <c r="A75" s="86">
        <v>15</v>
      </c>
      <c r="B75" s="75" t="s">
        <v>214</v>
      </c>
      <c r="C75" s="87" t="s">
        <v>84</v>
      </c>
      <c r="D75" s="86" t="s">
        <v>19</v>
      </c>
      <c r="E75" s="39">
        <v>1110</v>
      </c>
      <c r="F75" s="22">
        <f>'Ед. Цени'!F83</f>
        <v>1.89</v>
      </c>
      <c r="G75" s="176">
        <f t="shared" si="1"/>
        <v>2097.9</v>
      </c>
    </row>
    <row r="76" spans="1:7" x14ac:dyDescent="0.2">
      <c r="A76" s="86">
        <v>16</v>
      </c>
      <c r="B76" s="75" t="s">
        <v>215</v>
      </c>
      <c r="C76" s="87" t="s">
        <v>85</v>
      </c>
      <c r="D76" s="86" t="s">
        <v>77</v>
      </c>
      <c r="E76" s="39">
        <v>133.19999999999999</v>
      </c>
      <c r="F76" s="22">
        <f>'Ед. Цени'!F84</f>
        <v>134.12</v>
      </c>
      <c r="G76" s="176">
        <f t="shared" si="1"/>
        <v>17864.78</v>
      </c>
    </row>
    <row r="77" spans="1:7" x14ac:dyDescent="0.2">
      <c r="A77" s="66"/>
      <c r="B77" s="119"/>
      <c r="C77" s="42"/>
      <c r="D77" s="35"/>
      <c r="E77" s="36"/>
      <c r="F77" s="35"/>
      <c r="G77" s="172"/>
    </row>
    <row r="78" spans="1:7" ht="12.75" thickBot="1" x14ac:dyDescent="0.25">
      <c r="A78" s="66"/>
      <c r="B78" s="119"/>
      <c r="C78" s="42" t="s">
        <v>86</v>
      </c>
      <c r="D78" s="35"/>
      <c r="E78" s="36"/>
      <c r="F78" s="35"/>
      <c r="G78" s="172">
        <f>SUM(G61:G76)</f>
        <v>41118.01</v>
      </c>
    </row>
    <row r="79" spans="1:7" x14ac:dyDescent="0.2">
      <c r="A79" s="90"/>
      <c r="B79" s="126"/>
      <c r="C79" s="91" t="s">
        <v>87</v>
      </c>
      <c r="D79" s="92"/>
      <c r="E79" s="93"/>
      <c r="F79" s="92"/>
      <c r="G79" s="178">
        <f>SUM(G59+G78)</f>
        <v>86188.87</v>
      </c>
    </row>
    <row r="80" spans="1:7" x14ac:dyDescent="0.2">
      <c r="A80" s="94"/>
      <c r="B80" s="127"/>
      <c r="C80" s="95" t="s">
        <v>137</v>
      </c>
      <c r="D80" s="96"/>
      <c r="E80" s="97"/>
      <c r="F80" s="96"/>
      <c r="G80" s="179">
        <f>+G79*0.2</f>
        <v>17237.774000000001</v>
      </c>
    </row>
    <row r="81" spans="1:7" ht="12.75" thickBot="1" x14ac:dyDescent="0.25">
      <c r="A81" s="98"/>
      <c r="B81" s="128"/>
      <c r="C81" s="99" t="s">
        <v>136</v>
      </c>
      <c r="D81" s="100"/>
      <c r="E81" s="101"/>
      <c r="F81" s="100"/>
      <c r="G81" s="180">
        <f>+G80+G79</f>
        <v>103426.644</v>
      </c>
    </row>
  </sheetData>
  <autoFilter ref="A9:G81"/>
  <mergeCells count="11">
    <mergeCell ref="A10:D10"/>
    <mergeCell ref="A60:D60"/>
    <mergeCell ref="A1:G1"/>
    <mergeCell ref="A2:G2"/>
    <mergeCell ref="A4:G4"/>
    <mergeCell ref="A6:A8"/>
    <mergeCell ref="C6:C8"/>
    <mergeCell ref="D6:D8"/>
    <mergeCell ref="E6:E8"/>
    <mergeCell ref="F6:F8"/>
    <mergeCell ref="G6:G8"/>
  </mergeCells>
  <pageMargins left="0.7" right="0.7" top="0.75" bottom="0.75" header="0.3" footer="0.3"/>
  <pageSetup paperSize="9" scale="85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0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ht="12" customHeight="1" x14ac:dyDescent="0.2">
      <c r="A4" s="284" t="s">
        <v>148</v>
      </c>
      <c r="B4" s="284"/>
      <c r="C4" s="284"/>
      <c r="D4" s="284"/>
      <c r="E4" s="284"/>
      <c r="F4" s="284"/>
      <c r="G4" s="284"/>
    </row>
    <row r="5" spans="1:7" ht="12.75" thickBot="1" x14ac:dyDescent="0.25"/>
    <row r="6" spans="1:7" ht="12.75" thickTop="1" x14ac:dyDescent="0.2">
      <c r="A6" s="279" t="s">
        <v>9</v>
      </c>
      <c r="B6" s="129"/>
      <c r="C6" s="261" t="s">
        <v>10</v>
      </c>
      <c r="D6" s="261" t="s">
        <v>11</v>
      </c>
      <c r="E6" s="261" t="s">
        <v>12</v>
      </c>
      <c r="F6" s="261" t="s">
        <v>13</v>
      </c>
      <c r="G6" s="264" t="s">
        <v>14</v>
      </c>
    </row>
    <row r="7" spans="1:7" x14ac:dyDescent="0.2">
      <c r="A7" s="280"/>
      <c r="B7" s="130"/>
      <c r="C7" s="262"/>
      <c r="D7" s="262"/>
      <c r="E7" s="262"/>
      <c r="F7" s="262"/>
      <c r="G7" s="265"/>
    </row>
    <row r="8" spans="1:7" ht="12.75" thickBot="1" x14ac:dyDescent="0.25">
      <c r="A8" s="281"/>
      <c r="B8" s="131"/>
      <c r="C8" s="263"/>
      <c r="D8" s="263"/>
      <c r="E8" s="263"/>
      <c r="F8" s="263"/>
      <c r="G8" s="266"/>
    </row>
    <row r="9" spans="1:7" ht="12.75" thickTop="1" x14ac:dyDescent="0.2">
      <c r="A9" s="105">
        <v>1</v>
      </c>
      <c r="B9" s="135"/>
      <c r="C9" s="67">
        <v>2</v>
      </c>
      <c r="D9" s="67">
        <v>3</v>
      </c>
      <c r="E9" s="67">
        <v>4</v>
      </c>
      <c r="F9" s="83">
        <v>5</v>
      </c>
      <c r="G9" s="170">
        <v>6</v>
      </c>
    </row>
    <row r="10" spans="1:7" x14ac:dyDescent="0.2">
      <c r="A10" s="273" t="s">
        <v>15</v>
      </c>
      <c r="B10" s="274"/>
      <c r="C10" s="274"/>
      <c r="D10" s="274"/>
      <c r="E10" s="84"/>
      <c r="F10" s="140"/>
      <c r="G10" s="173"/>
    </row>
    <row r="11" spans="1:7" x14ac:dyDescent="0.2">
      <c r="A11" s="103">
        <v>1</v>
      </c>
      <c r="B11" s="10" t="s">
        <v>152</v>
      </c>
      <c r="C11" s="11" t="s">
        <v>16</v>
      </c>
      <c r="D11" s="12" t="s">
        <v>17</v>
      </c>
      <c r="E11" s="13">
        <v>319.8</v>
      </c>
      <c r="F11" s="112">
        <f>'Ед. Цени'!F21</f>
        <v>3.53</v>
      </c>
      <c r="G11" s="174">
        <f>ROUND((E11*F11),2)</f>
        <v>1128.8900000000001</v>
      </c>
    </row>
    <row r="12" spans="1:7" x14ac:dyDescent="0.2">
      <c r="A12" s="103">
        <v>2</v>
      </c>
      <c r="B12" s="10" t="s">
        <v>153</v>
      </c>
      <c r="C12" s="14" t="s">
        <v>18</v>
      </c>
      <c r="D12" s="15" t="s">
        <v>19</v>
      </c>
      <c r="E12" s="16">
        <v>223.85999999999999</v>
      </c>
      <c r="F12" s="112">
        <f>'Ед. Цени'!F22</f>
        <v>6.89</v>
      </c>
      <c r="G12" s="174">
        <f t="shared" ref="G12:G57" si="0">ROUND((E12*F12),2)</f>
        <v>1542.4</v>
      </c>
    </row>
    <row r="13" spans="1:7" x14ac:dyDescent="0.2">
      <c r="A13" s="103">
        <v>3</v>
      </c>
      <c r="B13" s="10" t="s">
        <v>154</v>
      </c>
      <c r="C13" s="14" t="s">
        <v>20</v>
      </c>
      <c r="D13" s="12" t="s">
        <v>21</v>
      </c>
      <c r="E13" s="13">
        <v>209.96360000000004</v>
      </c>
      <c r="F13" s="69">
        <f>'Ед. Цени'!F23</f>
        <v>5.5</v>
      </c>
      <c r="G13" s="174">
        <f t="shared" si="0"/>
        <v>1154.8</v>
      </c>
    </row>
    <row r="14" spans="1:7" x14ac:dyDescent="0.2">
      <c r="A14" s="103">
        <v>4</v>
      </c>
      <c r="B14" s="10" t="s">
        <v>236</v>
      </c>
      <c r="C14" s="14" t="s">
        <v>22</v>
      </c>
      <c r="D14" s="12" t="s">
        <v>21</v>
      </c>
      <c r="E14" s="13">
        <v>89.984400000000008</v>
      </c>
      <c r="F14" s="112">
        <f>'Ед. Цени'!F85</f>
        <v>24.35</v>
      </c>
      <c r="G14" s="174">
        <f t="shared" si="0"/>
        <v>2191.12</v>
      </c>
    </row>
    <row r="15" spans="1:7" ht="24" x14ac:dyDescent="0.2">
      <c r="A15" s="103">
        <v>5</v>
      </c>
      <c r="B15" s="10" t="s">
        <v>156</v>
      </c>
      <c r="C15" s="11" t="s">
        <v>23</v>
      </c>
      <c r="D15" s="12" t="s">
        <v>21</v>
      </c>
      <c r="E15" s="13">
        <v>89.984400000000008</v>
      </c>
      <c r="F15" s="69">
        <f>'Ед. Цени'!F25</f>
        <v>12.47</v>
      </c>
      <c r="G15" s="174">
        <f t="shared" si="0"/>
        <v>1122.1099999999999</v>
      </c>
    </row>
    <row r="16" spans="1:7" x14ac:dyDescent="0.2">
      <c r="A16" s="103">
        <v>6</v>
      </c>
      <c r="B16" s="10" t="s">
        <v>157</v>
      </c>
      <c r="C16" s="11" t="s">
        <v>24</v>
      </c>
      <c r="D16" s="12" t="s">
        <v>21</v>
      </c>
      <c r="E16" s="17">
        <v>299.94800000000004</v>
      </c>
      <c r="F16" s="69">
        <f>'Ед. Цени'!F26</f>
        <v>2.79</v>
      </c>
      <c r="G16" s="174">
        <f t="shared" si="0"/>
        <v>836.85</v>
      </c>
    </row>
    <row r="17" spans="1:7" x14ac:dyDescent="0.2">
      <c r="A17" s="103">
        <v>7</v>
      </c>
      <c r="B17" s="10" t="s">
        <v>158</v>
      </c>
      <c r="C17" s="11" t="s">
        <v>25</v>
      </c>
      <c r="D17" s="12" t="s">
        <v>21</v>
      </c>
      <c r="E17" s="17">
        <v>299.94800000000004</v>
      </c>
      <c r="F17" s="69">
        <f>'Ед. Цени'!F27</f>
        <v>1.98</v>
      </c>
      <c r="G17" s="174">
        <f t="shared" si="0"/>
        <v>593.9</v>
      </c>
    </row>
    <row r="18" spans="1:7" x14ac:dyDescent="0.2">
      <c r="A18" s="103">
        <v>8</v>
      </c>
      <c r="B18" s="10" t="s">
        <v>159</v>
      </c>
      <c r="C18" s="11" t="s">
        <v>26</v>
      </c>
      <c r="D18" s="12" t="s">
        <v>21</v>
      </c>
      <c r="E18" s="17">
        <v>299.94800000000004</v>
      </c>
      <c r="F18" s="69">
        <f>'Ед. Цени'!F28</f>
        <v>2.79</v>
      </c>
      <c r="G18" s="174">
        <f t="shared" si="0"/>
        <v>836.85</v>
      </c>
    </row>
    <row r="19" spans="1:7" x14ac:dyDescent="0.2">
      <c r="A19" s="103">
        <v>9</v>
      </c>
      <c r="B19" s="10" t="s">
        <v>160</v>
      </c>
      <c r="C19" s="18" t="s">
        <v>27</v>
      </c>
      <c r="D19" s="12" t="s">
        <v>19</v>
      </c>
      <c r="E19" s="17">
        <v>543.66</v>
      </c>
      <c r="F19" s="69">
        <f>'Ед. Цени'!F29</f>
        <v>2.42</v>
      </c>
      <c r="G19" s="174">
        <f t="shared" si="0"/>
        <v>1315.66</v>
      </c>
    </row>
    <row r="20" spans="1:7" x14ac:dyDescent="0.2">
      <c r="A20" s="103">
        <v>10</v>
      </c>
      <c r="B20" s="10" t="s">
        <v>161</v>
      </c>
      <c r="C20" s="11" t="s">
        <v>28</v>
      </c>
      <c r="D20" s="12" t="s">
        <v>21</v>
      </c>
      <c r="E20" s="17">
        <v>88.220000000000013</v>
      </c>
      <c r="F20" s="112">
        <f>'Ед. Цени'!F30</f>
        <v>19.04</v>
      </c>
      <c r="G20" s="174">
        <f t="shared" si="0"/>
        <v>1679.71</v>
      </c>
    </row>
    <row r="21" spans="1:7" x14ac:dyDescent="0.2">
      <c r="A21" s="103">
        <v>11</v>
      </c>
      <c r="B21" s="10" t="s">
        <v>162</v>
      </c>
      <c r="C21" s="11" t="s">
        <v>29</v>
      </c>
      <c r="D21" s="12" t="s">
        <v>21</v>
      </c>
      <c r="E21" s="17">
        <v>88.220000000000013</v>
      </c>
      <c r="F21" s="112">
        <f>'Ед. Цени'!F31</f>
        <v>6.14</v>
      </c>
      <c r="G21" s="174">
        <f t="shared" si="0"/>
        <v>541.66999999999996</v>
      </c>
    </row>
    <row r="22" spans="1:7" x14ac:dyDescent="0.2">
      <c r="A22" s="103">
        <v>12</v>
      </c>
      <c r="B22" s="10" t="s">
        <v>163</v>
      </c>
      <c r="C22" s="14" t="s">
        <v>30</v>
      </c>
      <c r="D22" s="12" t="s">
        <v>21</v>
      </c>
      <c r="E22" s="17">
        <v>17.644000000000002</v>
      </c>
      <c r="F22" s="112">
        <f>'Ед. Цени'!F32</f>
        <v>8.17</v>
      </c>
      <c r="G22" s="174">
        <f t="shared" si="0"/>
        <v>144.15</v>
      </c>
    </row>
    <row r="23" spans="1:7" x14ac:dyDescent="0.2">
      <c r="A23" s="103">
        <v>13</v>
      </c>
      <c r="B23" s="10" t="s">
        <v>164</v>
      </c>
      <c r="C23" s="14" t="s">
        <v>31</v>
      </c>
      <c r="D23" s="12" t="s">
        <v>21</v>
      </c>
      <c r="E23" s="17">
        <v>70.576000000000008</v>
      </c>
      <c r="F23" s="112">
        <f>'Ед. Цени'!F33</f>
        <v>4.75</v>
      </c>
      <c r="G23" s="174">
        <f t="shared" si="0"/>
        <v>335.24</v>
      </c>
    </row>
    <row r="24" spans="1:7" x14ac:dyDescent="0.2">
      <c r="A24" s="103">
        <v>14</v>
      </c>
      <c r="B24" s="10" t="s">
        <v>165</v>
      </c>
      <c r="C24" s="11" t="s">
        <v>32</v>
      </c>
      <c r="D24" s="12" t="s">
        <v>21</v>
      </c>
      <c r="E24" s="17">
        <v>88.220000000000013</v>
      </c>
      <c r="F24" s="112">
        <f>'Ед. Цени'!F34</f>
        <v>3.66</v>
      </c>
      <c r="G24" s="174">
        <f t="shared" si="0"/>
        <v>322.89</v>
      </c>
    </row>
    <row r="25" spans="1:7" x14ac:dyDescent="0.2">
      <c r="A25" s="103">
        <v>15</v>
      </c>
      <c r="B25" s="10" t="s">
        <v>166</v>
      </c>
      <c r="C25" s="11" t="s">
        <v>33</v>
      </c>
      <c r="D25" s="12" t="s">
        <v>21</v>
      </c>
      <c r="E25" s="17">
        <v>141.37200000000001</v>
      </c>
      <c r="F25" s="112">
        <f>'Ед. Цени'!F35</f>
        <v>17.82</v>
      </c>
      <c r="G25" s="174">
        <f t="shared" si="0"/>
        <v>2519.25</v>
      </c>
    </row>
    <row r="26" spans="1:7" x14ac:dyDescent="0.2">
      <c r="A26" s="103">
        <v>16</v>
      </c>
      <c r="B26" s="10" t="s">
        <v>167</v>
      </c>
      <c r="C26" s="11" t="s">
        <v>34</v>
      </c>
      <c r="D26" s="12" t="s">
        <v>21</v>
      </c>
      <c r="E26" s="17">
        <v>141.37200000000001</v>
      </c>
      <c r="F26" s="112">
        <f>'Ед. Цени'!F36</f>
        <v>6.14</v>
      </c>
      <c r="G26" s="174">
        <f t="shared" si="0"/>
        <v>868.02</v>
      </c>
    </row>
    <row r="27" spans="1:7" x14ac:dyDescent="0.2">
      <c r="A27" s="103">
        <v>17</v>
      </c>
      <c r="B27" s="10" t="s">
        <v>168</v>
      </c>
      <c r="C27" s="11" t="s">
        <v>35</v>
      </c>
      <c r="D27" s="12" t="s">
        <v>21</v>
      </c>
      <c r="E27" s="17">
        <v>141.37200000000001</v>
      </c>
      <c r="F27" s="112">
        <f>'Ед. Цени'!F37</f>
        <v>3.15</v>
      </c>
      <c r="G27" s="174">
        <f t="shared" si="0"/>
        <v>445.32</v>
      </c>
    </row>
    <row r="28" spans="1:7" x14ac:dyDescent="0.2">
      <c r="A28" s="103">
        <v>18</v>
      </c>
      <c r="B28" s="10" t="s">
        <v>169</v>
      </c>
      <c r="C28" s="14" t="s">
        <v>36</v>
      </c>
      <c r="D28" s="12" t="s">
        <v>19</v>
      </c>
      <c r="E28" s="13">
        <v>64.160000000000011</v>
      </c>
      <c r="F28" s="112">
        <f>'Ед. Цени'!F38</f>
        <v>1.85</v>
      </c>
      <c r="G28" s="174">
        <f t="shared" si="0"/>
        <v>118.7</v>
      </c>
    </row>
    <row r="29" spans="1:7" x14ac:dyDescent="0.2">
      <c r="A29" s="103">
        <v>19</v>
      </c>
      <c r="B29" s="10" t="s">
        <v>170</v>
      </c>
      <c r="C29" s="20" t="s">
        <v>37</v>
      </c>
      <c r="D29" s="12" t="s">
        <v>38</v>
      </c>
      <c r="E29" s="13">
        <v>1.6040000000000001</v>
      </c>
      <c r="F29" s="112">
        <f>'Ед. Цени'!F39</f>
        <v>44.73</v>
      </c>
      <c r="G29" s="174">
        <f t="shared" si="0"/>
        <v>71.75</v>
      </c>
    </row>
    <row r="30" spans="1:7" x14ac:dyDescent="0.2">
      <c r="A30" s="103">
        <v>20</v>
      </c>
      <c r="B30" s="10" t="s">
        <v>171</v>
      </c>
      <c r="C30" s="11" t="s">
        <v>39</v>
      </c>
      <c r="D30" s="12" t="s">
        <v>21</v>
      </c>
      <c r="E30" s="13">
        <v>22.385999999999999</v>
      </c>
      <c r="F30" s="112">
        <f>'Ед. Цени'!F40</f>
        <v>3.09</v>
      </c>
      <c r="G30" s="174">
        <f t="shared" si="0"/>
        <v>69.17</v>
      </c>
    </row>
    <row r="31" spans="1:7" x14ac:dyDescent="0.2">
      <c r="A31" s="103">
        <v>21</v>
      </c>
      <c r="B31" s="10" t="s">
        <v>172</v>
      </c>
      <c r="C31" s="22" t="s">
        <v>40</v>
      </c>
      <c r="D31" s="12" t="s">
        <v>21</v>
      </c>
      <c r="E31" s="13">
        <v>22.385999999999999</v>
      </c>
      <c r="F31" s="112">
        <f>'Ед. Цени'!F41</f>
        <v>2.2999999999999998</v>
      </c>
      <c r="G31" s="174">
        <f t="shared" si="0"/>
        <v>51.49</v>
      </c>
    </row>
    <row r="32" spans="1:7" x14ac:dyDescent="0.2">
      <c r="A32" s="103">
        <v>22</v>
      </c>
      <c r="B32" s="10" t="s">
        <v>174</v>
      </c>
      <c r="C32" s="11" t="s">
        <v>41</v>
      </c>
      <c r="D32" s="12" t="s">
        <v>17</v>
      </c>
      <c r="E32" s="13">
        <v>152.4</v>
      </c>
      <c r="F32" s="112">
        <f>'Ед. Цени'!F43</f>
        <v>26.13</v>
      </c>
      <c r="G32" s="174">
        <f t="shared" si="0"/>
        <v>3982.21</v>
      </c>
    </row>
    <row r="33" spans="1:7" x14ac:dyDescent="0.2">
      <c r="A33" s="103">
        <v>23</v>
      </c>
      <c r="B33" s="222" t="s">
        <v>261</v>
      </c>
      <c r="C33" s="11" t="s">
        <v>42</v>
      </c>
      <c r="D33" s="12" t="s">
        <v>17</v>
      </c>
      <c r="E33" s="13">
        <v>8</v>
      </c>
      <c r="F33" s="112">
        <f>'Ед. Цени'!F111</f>
        <v>8.64</v>
      </c>
      <c r="G33" s="174">
        <f t="shared" si="0"/>
        <v>69.12</v>
      </c>
    </row>
    <row r="34" spans="1:7" x14ac:dyDescent="0.2">
      <c r="A34" s="103">
        <v>24</v>
      </c>
      <c r="B34" s="222" t="s">
        <v>262</v>
      </c>
      <c r="C34" s="85" t="s">
        <v>43</v>
      </c>
      <c r="D34" s="12" t="s">
        <v>38</v>
      </c>
      <c r="E34" s="85">
        <v>1</v>
      </c>
      <c r="F34" s="112">
        <f>'Ед. Цени'!F112</f>
        <v>43.54</v>
      </c>
      <c r="G34" s="174">
        <f t="shared" si="0"/>
        <v>43.54</v>
      </c>
    </row>
    <row r="35" spans="1:7" x14ac:dyDescent="0.2">
      <c r="A35" s="103">
        <v>25</v>
      </c>
      <c r="B35" s="223" t="s">
        <v>176</v>
      </c>
      <c r="C35" s="85" t="s">
        <v>44</v>
      </c>
      <c r="D35" s="12" t="s">
        <v>38</v>
      </c>
      <c r="E35" s="85">
        <v>3</v>
      </c>
      <c r="F35" s="112">
        <f>'Ед. Цени'!F45</f>
        <v>14.87</v>
      </c>
      <c r="G35" s="174">
        <f t="shared" si="0"/>
        <v>44.61</v>
      </c>
    </row>
    <row r="36" spans="1:7" x14ac:dyDescent="0.2">
      <c r="A36" s="103">
        <v>26</v>
      </c>
      <c r="B36" s="222" t="s">
        <v>263</v>
      </c>
      <c r="C36" s="85" t="s">
        <v>45</v>
      </c>
      <c r="D36" s="12" t="s">
        <v>38</v>
      </c>
      <c r="E36" s="85">
        <v>1</v>
      </c>
      <c r="F36" s="73">
        <f>'Ед. Цени'!F113</f>
        <v>61.34</v>
      </c>
      <c r="G36" s="174">
        <f t="shared" si="0"/>
        <v>61.34</v>
      </c>
    </row>
    <row r="37" spans="1:7" x14ac:dyDescent="0.2">
      <c r="A37" s="103">
        <v>27</v>
      </c>
      <c r="B37" s="223" t="s">
        <v>180</v>
      </c>
      <c r="C37" s="85" t="s">
        <v>46</v>
      </c>
      <c r="D37" s="12" t="s">
        <v>38</v>
      </c>
      <c r="E37" s="106">
        <v>18.158333333333331</v>
      </c>
      <c r="F37" s="112">
        <f>'Ед. Цени'!F49</f>
        <v>15.4</v>
      </c>
      <c r="G37" s="174">
        <f t="shared" si="0"/>
        <v>279.64</v>
      </c>
    </row>
    <row r="38" spans="1:7" x14ac:dyDescent="0.2">
      <c r="A38" s="103">
        <v>28</v>
      </c>
      <c r="B38" s="222" t="s">
        <v>264</v>
      </c>
      <c r="C38" s="85" t="s">
        <v>47</v>
      </c>
      <c r="D38" s="12" t="s">
        <v>38</v>
      </c>
      <c r="E38" s="85">
        <v>1</v>
      </c>
      <c r="F38" s="88">
        <f>'Ед. Цени'!F114</f>
        <v>17.3</v>
      </c>
      <c r="G38" s="174">
        <f t="shared" si="0"/>
        <v>17.3</v>
      </c>
    </row>
    <row r="39" spans="1:7" x14ac:dyDescent="0.2">
      <c r="A39" s="103">
        <v>29</v>
      </c>
      <c r="B39" s="222" t="s">
        <v>265</v>
      </c>
      <c r="C39" s="85" t="s">
        <v>48</v>
      </c>
      <c r="D39" s="12" t="s">
        <v>38</v>
      </c>
      <c r="E39" s="85">
        <v>1</v>
      </c>
      <c r="F39" s="88">
        <f>'Ед. Цени'!F115</f>
        <v>19.600000000000001</v>
      </c>
      <c r="G39" s="174">
        <f t="shared" si="0"/>
        <v>19.600000000000001</v>
      </c>
    </row>
    <row r="40" spans="1:7" x14ac:dyDescent="0.2">
      <c r="A40" s="103">
        <v>30</v>
      </c>
      <c r="B40" s="10" t="s">
        <v>183</v>
      </c>
      <c r="C40" s="85" t="s">
        <v>49</v>
      </c>
      <c r="D40" s="12" t="s">
        <v>38</v>
      </c>
      <c r="E40" s="85">
        <v>1</v>
      </c>
      <c r="F40" s="112">
        <f>'Ед. Цени'!F52</f>
        <v>35.82</v>
      </c>
      <c r="G40" s="174">
        <f t="shared" si="0"/>
        <v>35.82</v>
      </c>
    </row>
    <row r="41" spans="1:7" x14ac:dyDescent="0.2">
      <c r="A41" s="103">
        <v>31</v>
      </c>
      <c r="B41" s="10" t="s">
        <v>184</v>
      </c>
      <c r="C41" s="85" t="s">
        <v>50</v>
      </c>
      <c r="D41" s="12" t="s">
        <v>38</v>
      </c>
      <c r="E41" s="85">
        <v>1</v>
      </c>
      <c r="F41" s="112">
        <f>'Ед. Цени'!F53</f>
        <v>324.5</v>
      </c>
      <c r="G41" s="174">
        <f t="shared" si="0"/>
        <v>324.5</v>
      </c>
    </row>
    <row r="42" spans="1:7" x14ac:dyDescent="0.2">
      <c r="A42" s="103">
        <v>32</v>
      </c>
      <c r="B42" s="10" t="s">
        <v>185</v>
      </c>
      <c r="C42" s="85" t="s">
        <v>51</v>
      </c>
      <c r="D42" s="12" t="s">
        <v>38</v>
      </c>
      <c r="E42" s="85">
        <v>1</v>
      </c>
      <c r="F42" s="112">
        <f>'Ед. Цени'!F54</f>
        <v>39.450000000000003</v>
      </c>
      <c r="G42" s="174">
        <f t="shared" si="0"/>
        <v>39.450000000000003</v>
      </c>
    </row>
    <row r="43" spans="1:7" x14ac:dyDescent="0.2">
      <c r="A43" s="103">
        <v>33</v>
      </c>
      <c r="B43" s="10" t="s">
        <v>186</v>
      </c>
      <c r="C43" s="85" t="s">
        <v>52</v>
      </c>
      <c r="D43" s="12" t="s">
        <v>38</v>
      </c>
      <c r="E43" s="85">
        <v>1</v>
      </c>
      <c r="F43" s="112">
        <f>'Ед. Цени'!F55</f>
        <v>150.69999999999999</v>
      </c>
      <c r="G43" s="174">
        <f t="shared" si="0"/>
        <v>150.69999999999999</v>
      </c>
    </row>
    <row r="44" spans="1:7" x14ac:dyDescent="0.2">
      <c r="A44" s="103">
        <v>34</v>
      </c>
      <c r="B44" s="103" t="s">
        <v>255</v>
      </c>
      <c r="C44" s="85" t="s">
        <v>53</v>
      </c>
      <c r="D44" s="12" t="s">
        <v>38</v>
      </c>
      <c r="E44" s="85">
        <v>1</v>
      </c>
      <c r="F44" s="112">
        <f>'Ед. Цени'!F105</f>
        <v>53.66</v>
      </c>
      <c r="G44" s="174">
        <f t="shared" si="0"/>
        <v>53.66</v>
      </c>
    </row>
    <row r="45" spans="1:7" x14ac:dyDescent="0.2">
      <c r="A45" s="103">
        <v>35</v>
      </c>
      <c r="B45" s="222" t="s">
        <v>266</v>
      </c>
      <c r="C45" s="85" t="s">
        <v>54</v>
      </c>
      <c r="D45" s="12" t="s">
        <v>38</v>
      </c>
      <c r="E45" s="85">
        <v>1</v>
      </c>
      <c r="F45" s="112">
        <f>'Ед. Цени'!F116</f>
        <v>136.62</v>
      </c>
      <c r="G45" s="174">
        <f t="shared" si="0"/>
        <v>136.62</v>
      </c>
    </row>
    <row r="46" spans="1:7" x14ac:dyDescent="0.2">
      <c r="A46" s="103">
        <v>36</v>
      </c>
      <c r="B46" s="10" t="s">
        <v>189</v>
      </c>
      <c r="C46" s="11" t="s">
        <v>55</v>
      </c>
      <c r="D46" s="12" t="s">
        <v>38</v>
      </c>
      <c r="E46" s="18">
        <v>1</v>
      </c>
      <c r="F46" s="112">
        <f>'Ед. Цени'!F58</f>
        <v>39.450000000000003</v>
      </c>
      <c r="G46" s="174">
        <f t="shared" si="0"/>
        <v>39.450000000000003</v>
      </c>
    </row>
    <row r="47" spans="1:7" x14ac:dyDescent="0.2">
      <c r="A47" s="103">
        <v>37</v>
      </c>
      <c r="B47" s="10" t="s">
        <v>190</v>
      </c>
      <c r="C47" s="11" t="s">
        <v>56</v>
      </c>
      <c r="D47" s="12" t="s">
        <v>17</v>
      </c>
      <c r="E47" s="13">
        <v>160.4</v>
      </c>
      <c r="F47" s="112">
        <f>'Ед. Цени'!F59</f>
        <v>1.78</v>
      </c>
      <c r="G47" s="174">
        <f t="shared" si="0"/>
        <v>285.51</v>
      </c>
    </row>
    <row r="48" spans="1:7" x14ac:dyDescent="0.2">
      <c r="A48" s="103">
        <v>38</v>
      </c>
      <c r="B48" s="10" t="s">
        <v>191</v>
      </c>
      <c r="C48" s="18" t="s">
        <v>57</v>
      </c>
      <c r="D48" s="12" t="s">
        <v>17</v>
      </c>
      <c r="E48" s="13">
        <v>160.4</v>
      </c>
      <c r="F48" s="112">
        <f>'Ед. Цени'!F60</f>
        <v>1.61</v>
      </c>
      <c r="G48" s="174">
        <f t="shared" si="0"/>
        <v>258.24</v>
      </c>
    </row>
    <row r="49" spans="1:7" x14ac:dyDescent="0.2">
      <c r="A49" s="103">
        <v>39</v>
      </c>
      <c r="B49" s="10" t="s">
        <v>192</v>
      </c>
      <c r="C49" s="27" t="s">
        <v>58</v>
      </c>
      <c r="D49" s="12" t="s">
        <v>38</v>
      </c>
      <c r="E49" s="13">
        <v>2</v>
      </c>
      <c r="F49" s="112">
        <f>'Ед. Цени'!F61</f>
        <v>10.45</v>
      </c>
      <c r="G49" s="174">
        <f t="shared" si="0"/>
        <v>20.9</v>
      </c>
    </row>
    <row r="50" spans="1:7" x14ac:dyDescent="0.2">
      <c r="A50" s="103">
        <v>40</v>
      </c>
      <c r="B50" s="10" t="s">
        <v>193</v>
      </c>
      <c r="C50" s="28" t="s">
        <v>59</v>
      </c>
      <c r="D50" s="12" t="s">
        <v>38</v>
      </c>
      <c r="E50" s="13">
        <v>1</v>
      </c>
      <c r="F50" s="112">
        <f>'Ед. Цени'!F62</f>
        <v>18.52</v>
      </c>
      <c r="G50" s="174">
        <f t="shared" si="0"/>
        <v>18.52</v>
      </c>
    </row>
    <row r="51" spans="1:7" x14ac:dyDescent="0.2">
      <c r="A51" s="103">
        <v>41</v>
      </c>
      <c r="B51" s="10" t="s">
        <v>194</v>
      </c>
      <c r="C51" s="28" t="s">
        <v>60</v>
      </c>
      <c r="D51" s="12" t="s">
        <v>38</v>
      </c>
      <c r="E51" s="13">
        <v>1</v>
      </c>
      <c r="F51" s="112">
        <f>'Ед. Цени'!F63</f>
        <v>18.52</v>
      </c>
      <c r="G51" s="174">
        <f t="shared" si="0"/>
        <v>18.52</v>
      </c>
    </row>
    <row r="52" spans="1:7" x14ac:dyDescent="0.2">
      <c r="A52" s="103">
        <v>42</v>
      </c>
      <c r="B52" s="10" t="s">
        <v>195</v>
      </c>
      <c r="C52" s="11" t="s">
        <v>61</v>
      </c>
      <c r="D52" s="12" t="s">
        <v>17</v>
      </c>
      <c r="E52" s="13">
        <v>4</v>
      </c>
      <c r="F52" s="139">
        <f>'Ед. Цени'!F64</f>
        <v>8.9499999999999993</v>
      </c>
      <c r="G52" s="174">
        <f t="shared" si="0"/>
        <v>35.799999999999997</v>
      </c>
    </row>
    <row r="53" spans="1:7" x14ac:dyDescent="0.2">
      <c r="A53" s="103">
        <v>43</v>
      </c>
      <c r="B53" s="10" t="s">
        <v>196</v>
      </c>
      <c r="C53" s="11" t="s">
        <v>62</v>
      </c>
      <c r="D53" s="12" t="s">
        <v>21</v>
      </c>
      <c r="E53" s="13">
        <v>89.543999999999997</v>
      </c>
      <c r="F53" s="112">
        <f>'Ед. Цени'!F65</f>
        <v>18.940000000000001</v>
      </c>
      <c r="G53" s="174">
        <f t="shared" si="0"/>
        <v>1695.96</v>
      </c>
    </row>
    <row r="54" spans="1:7" x14ac:dyDescent="0.2">
      <c r="A54" s="103">
        <v>44</v>
      </c>
      <c r="B54" s="10" t="s">
        <v>197</v>
      </c>
      <c r="C54" s="11" t="s">
        <v>63</v>
      </c>
      <c r="D54" s="12" t="s">
        <v>19</v>
      </c>
      <c r="E54" s="13">
        <v>223.85999999999999</v>
      </c>
      <c r="F54" s="112">
        <f>'Ед. Цени'!F66</f>
        <v>1.77</v>
      </c>
      <c r="G54" s="174">
        <f t="shared" si="0"/>
        <v>396.23</v>
      </c>
    </row>
    <row r="55" spans="1:7" x14ac:dyDescent="0.2">
      <c r="A55" s="103">
        <v>45</v>
      </c>
      <c r="B55" s="10" t="s">
        <v>198</v>
      </c>
      <c r="C55" s="11" t="s">
        <v>134</v>
      </c>
      <c r="D55" s="12" t="s">
        <v>64</v>
      </c>
      <c r="E55" s="13">
        <v>26.863199999999996</v>
      </c>
      <c r="F55" s="112">
        <f>'Ед. Цени'!F67</f>
        <v>125.37</v>
      </c>
      <c r="G55" s="174">
        <f t="shared" si="0"/>
        <v>3367.84</v>
      </c>
    </row>
    <row r="56" spans="1:7" x14ac:dyDescent="0.2">
      <c r="A56" s="103">
        <v>46</v>
      </c>
      <c r="B56" s="10" t="s">
        <v>199</v>
      </c>
      <c r="C56" s="11" t="s">
        <v>65</v>
      </c>
      <c r="D56" s="12" t="s">
        <v>17</v>
      </c>
      <c r="E56" s="13">
        <v>160.4</v>
      </c>
      <c r="F56" s="112">
        <f>'Ед. Цени'!F68</f>
        <v>0.92</v>
      </c>
      <c r="G56" s="174">
        <f t="shared" si="0"/>
        <v>147.57</v>
      </c>
    </row>
    <row r="57" spans="1:7" ht="12.75" thickBot="1" x14ac:dyDescent="0.25">
      <c r="A57" s="103">
        <v>47</v>
      </c>
      <c r="B57" s="10" t="s">
        <v>200</v>
      </c>
      <c r="C57" s="30" t="s">
        <v>66</v>
      </c>
      <c r="D57" s="31" t="s">
        <v>17</v>
      </c>
      <c r="E57" s="13">
        <v>160.4</v>
      </c>
      <c r="F57" s="112">
        <f>'Ед. Цени'!F69</f>
        <v>1.41</v>
      </c>
      <c r="G57" s="174">
        <f t="shared" si="0"/>
        <v>226.16</v>
      </c>
    </row>
    <row r="58" spans="1:7" ht="12.75" thickTop="1" x14ac:dyDescent="0.2">
      <c r="A58" s="107"/>
      <c r="B58" s="136"/>
      <c r="C58" s="32" t="s">
        <v>67</v>
      </c>
      <c r="D58" s="33"/>
      <c r="E58" s="34"/>
      <c r="F58" s="33"/>
      <c r="G58" s="175">
        <f>SUM(G11:G57)</f>
        <v>29658.749999999996</v>
      </c>
    </row>
    <row r="59" spans="1:7" x14ac:dyDescent="0.2">
      <c r="A59" s="273" t="s">
        <v>68</v>
      </c>
      <c r="B59" s="274"/>
      <c r="C59" s="274"/>
      <c r="D59" s="275"/>
      <c r="E59" s="36"/>
      <c r="F59" s="35"/>
      <c r="G59" s="172"/>
    </row>
    <row r="60" spans="1:7" x14ac:dyDescent="0.2">
      <c r="A60" s="86">
        <v>1</v>
      </c>
      <c r="B60" s="75" t="s">
        <v>201</v>
      </c>
      <c r="C60" s="87" t="s">
        <v>69</v>
      </c>
      <c r="D60" s="86" t="s">
        <v>21</v>
      </c>
      <c r="E60" s="39">
        <v>30.86</v>
      </c>
      <c r="F60" s="22">
        <f>'Ед. Цени'!F70</f>
        <v>7.8</v>
      </c>
      <c r="G60" s="176">
        <f>ROUND((E60*F60),2)</f>
        <v>240.71</v>
      </c>
    </row>
    <row r="61" spans="1:7" x14ac:dyDescent="0.2">
      <c r="A61" s="86">
        <v>2</v>
      </c>
      <c r="B61" s="75" t="s">
        <v>202</v>
      </c>
      <c r="C61" s="87" t="s">
        <v>70</v>
      </c>
      <c r="D61" s="86" t="s">
        <v>21</v>
      </c>
      <c r="E61" s="39">
        <v>13.219999999999999</v>
      </c>
      <c r="F61" s="22">
        <f>'Ед. Цени'!F71</f>
        <v>16.63</v>
      </c>
      <c r="G61" s="176">
        <f t="shared" ref="G61:G75" si="1">ROUND((E61*F61),2)</f>
        <v>219.85</v>
      </c>
    </row>
    <row r="62" spans="1:7" x14ac:dyDescent="0.2">
      <c r="A62" s="86">
        <v>3</v>
      </c>
      <c r="B62" s="75" t="s">
        <v>203</v>
      </c>
      <c r="C62" s="89" t="s">
        <v>71</v>
      </c>
      <c r="D62" s="86" t="s">
        <v>19</v>
      </c>
      <c r="E62" s="39">
        <v>72.959999999999994</v>
      </c>
      <c r="F62" s="22">
        <f>'Ед. Цени'!F72</f>
        <v>6.09</v>
      </c>
      <c r="G62" s="176">
        <f t="shared" si="1"/>
        <v>444.33</v>
      </c>
    </row>
    <row r="63" spans="1:7" x14ac:dyDescent="0.2">
      <c r="A63" s="86">
        <v>4</v>
      </c>
      <c r="B63" s="75" t="s">
        <v>204</v>
      </c>
      <c r="C63" s="87" t="s">
        <v>72</v>
      </c>
      <c r="D63" s="86" t="s">
        <v>21</v>
      </c>
      <c r="E63" s="39">
        <v>15.86</v>
      </c>
      <c r="F63" s="22">
        <f>'Ед. Цени'!F73</f>
        <v>1.64</v>
      </c>
      <c r="G63" s="176">
        <f t="shared" si="1"/>
        <v>26.01</v>
      </c>
    </row>
    <row r="64" spans="1:7" x14ac:dyDescent="0.2">
      <c r="A64" s="86">
        <v>5</v>
      </c>
      <c r="B64" s="75" t="s">
        <v>205</v>
      </c>
      <c r="C64" s="87" t="s">
        <v>73</v>
      </c>
      <c r="D64" s="86" t="s">
        <v>21</v>
      </c>
      <c r="E64" s="39">
        <v>45.6</v>
      </c>
      <c r="F64" s="22">
        <f>'Ед. Цени'!F74</f>
        <v>8.5399999999999991</v>
      </c>
      <c r="G64" s="176">
        <f t="shared" si="1"/>
        <v>389.42</v>
      </c>
    </row>
    <row r="65" spans="1:7" x14ac:dyDescent="0.2">
      <c r="A65" s="86">
        <v>6</v>
      </c>
      <c r="B65" s="10" t="s">
        <v>158</v>
      </c>
      <c r="C65" s="89" t="s">
        <v>25</v>
      </c>
      <c r="D65" s="86" t="s">
        <v>21</v>
      </c>
      <c r="E65" s="39">
        <v>45.6</v>
      </c>
      <c r="F65" s="69">
        <f>'Ед. Цени'!F27</f>
        <v>1.98</v>
      </c>
      <c r="G65" s="176">
        <f t="shared" si="1"/>
        <v>90.29</v>
      </c>
    </row>
    <row r="66" spans="1:7" x14ac:dyDescent="0.2">
      <c r="A66" s="86">
        <v>7</v>
      </c>
      <c r="B66" s="75" t="s">
        <v>206</v>
      </c>
      <c r="C66" s="87" t="s">
        <v>74</v>
      </c>
      <c r="D66" s="86" t="s">
        <v>19</v>
      </c>
      <c r="E66" s="39">
        <v>782.8</v>
      </c>
      <c r="F66" s="22">
        <f>'Ед. Цени'!F75</f>
        <v>1.78</v>
      </c>
      <c r="G66" s="176">
        <f t="shared" si="1"/>
        <v>1393.38</v>
      </c>
    </row>
    <row r="67" spans="1:7" x14ac:dyDescent="0.2">
      <c r="A67" s="86">
        <v>8</v>
      </c>
      <c r="B67" s="75" t="s">
        <v>207</v>
      </c>
      <c r="C67" s="87" t="s">
        <v>75</v>
      </c>
      <c r="D67" s="86" t="s">
        <v>21</v>
      </c>
      <c r="E67" s="39">
        <v>36.479999999999997</v>
      </c>
      <c r="F67" s="22">
        <f>'Ед. Цени'!F76</f>
        <v>1.78</v>
      </c>
      <c r="G67" s="176">
        <f t="shared" si="1"/>
        <v>64.930000000000007</v>
      </c>
    </row>
    <row r="68" spans="1:7" x14ac:dyDescent="0.2">
      <c r="A68" s="86">
        <v>9</v>
      </c>
      <c r="B68" s="75" t="s">
        <v>208</v>
      </c>
      <c r="C68" s="87" t="s">
        <v>76</v>
      </c>
      <c r="D68" s="86" t="s">
        <v>77</v>
      </c>
      <c r="E68" s="39">
        <v>53.199999999999996</v>
      </c>
      <c r="F68" s="22">
        <f>'Ед. Цени'!F77</f>
        <v>21.54</v>
      </c>
      <c r="G68" s="176">
        <f t="shared" si="1"/>
        <v>1145.93</v>
      </c>
    </row>
    <row r="69" spans="1:7" x14ac:dyDescent="0.2">
      <c r="A69" s="86">
        <v>10</v>
      </c>
      <c r="B69" s="75" t="s">
        <v>209</v>
      </c>
      <c r="C69" s="87" t="s">
        <v>78</v>
      </c>
      <c r="D69" s="86" t="s">
        <v>79</v>
      </c>
      <c r="E69" s="39">
        <v>105</v>
      </c>
      <c r="F69" s="22">
        <f>'Ед. Цени'!F78</f>
        <v>6.93</v>
      </c>
      <c r="G69" s="176">
        <f t="shared" si="1"/>
        <v>727.65</v>
      </c>
    </row>
    <row r="70" spans="1:7" x14ac:dyDescent="0.2">
      <c r="A70" s="86">
        <v>11</v>
      </c>
      <c r="B70" s="75" t="s">
        <v>210</v>
      </c>
      <c r="C70" s="87" t="s">
        <v>80</v>
      </c>
      <c r="D70" s="86" t="s">
        <v>79</v>
      </c>
      <c r="E70" s="39">
        <v>105</v>
      </c>
      <c r="F70" s="22">
        <f>'Ед. Цени'!F79</f>
        <v>27.54</v>
      </c>
      <c r="G70" s="176">
        <f t="shared" si="1"/>
        <v>2891.7</v>
      </c>
    </row>
    <row r="71" spans="1:7" x14ac:dyDescent="0.2">
      <c r="A71" s="86">
        <v>12</v>
      </c>
      <c r="B71" s="75" t="s">
        <v>211</v>
      </c>
      <c r="C71" s="87" t="s">
        <v>81</v>
      </c>
      <c r="D71" s="86" t="s">
        <v>19</v>
      </c>
      <c r="E71" s="39">
        <v>85.12</v>
      </c>
      <c r="F71" s="22">
        <f>'Ед. Цени'!F80</f>
        <v>7.88</v>
      </c>
      <c r="G71" s="176">
        <f t="shared" si="1"/>
        <v>670.75</v>
      </c>
    </row>
    <row r="72" spans="1:7" x14ac:dyDescent="0.2">
      <c r="A72" s="86">
        <v>13</v>
      </c>
      <c r="B72" s="75" t="s">
        <v>212</v>
      </c>
      <c r="C72" s="87" t="s">
        <v>82</v>
      </c>
      <c r="D72" s="86" t="s">
        <v>19</v>
      </c>
      <c r="E72" s="39">
        <v>85.12</v>
      </c>
      <c r="F72" s="22">
        <f>'Ед. Цени'!F81</f>
        <v>14.48</v>
      </c>
      <c r="G72" s="176">
        <f t="shared" si="1"/>
        <v>1232.54</v>
      </c>
    </row>
    <row r="73" spans="1:7" x14ac:dyDescent="0.2">
      <c r="A73" s="86">
        <v>14</v>
      </c>
      <c r="B73" s="75" t="s">
        <v>213</v>
      </c>
      <c r="C73" s="87" t="s">
        <v>83</v>
      </c>
      <c r="D73" s="86" t="s">
        <v>19</v>
      </c>
      <c r="E73" s="39">
        <v>691.6</v>
      </c>
      <c r="F73" s="22">
        <f>'Ед. Цени'!F82</f>
        <v>11.72</v>
      </c>
      <c r="G73" s="176">
        <f t="shared" si="1"/>
        <v>8105.55</v>
      </c>
    </row>
    <row r="74" spans="1:7" x14ac:dyDescent="0.2">
      <c r="A74" s="86">
        <v>15</v>
      </c>
      <c r="B74" s="75" t="s">
        <v>214</v>
      </c>
      <c r="C74" s="87" t="s">
        <v>84</v>
      </c>
      <c r="D74" s="86" t="s">
        <v>19</v>
      </c>
      <c r="E74" s="39">
        <v>934.80000000000007</v>
      </c>
      <c r="F74" s="22">
        <f>'Ед. Цени'!F83</f>
        <v>1.89</v>
      </c>
      <c r="G74" s="176">
        <f t="shared" si="1"/>
        <v>1766.77</v>
      </c>
    </row>
    <row r="75" spans="1:7" x14ac:dyDescent="0.2">
      <c r="A75" s="86">
        <v>16</v>
      </c>
      <c r="B75" s="75" t="s">
        <v>215</v>
      </c>
      <c r="C75" s="87" t="s">
        <v>85</v>
      </c>
      <c r="D75" s="86" t="s">
        <v>77</v>
      </c>
      <c r="E75" s="39">
        <v>112.176</v>
      </c>
      <c r="F75" s="22">
        <f>'Ед. Цени'!F84</f>
        <v>134.12</v>
      </c>
      <c r="G75" s="176">
        <f t="shared" si="1"/>
        <v>15045.05</v>
      </c>
    </row>
    <row r="76" spans="1:7" x14ac:dyDescent="0.2">
      <c r="A76" s="66"/>
      <c r="B76" s="119"/>
      <c r="C76" s="42"/>
      <c r="D76" s="35"/>
      <c r="E76" s="36"/>
      <c r="F76" s="35"/>
      <c r="G76" s="172"/>
    </row>
    <row r="77" spans="1:7" ht="12.75" thickBot="1" x14ac:dyDescent="0.25">
      <c r="A77" s="66"/>
      <c r="B77" s="119"/>
      <c r="C77" s="42" t="s">
        <v>86</v>
      </c>
      <c r="D77" s="35"/>
      <c r="E77" s="36"/>
      <c r="F77" s="35"/>
      <c r="G77" s="172">
        <f>SUM(G60:G75)</f>
        <v>34454.86</v>
      </c>
    </row>
    <row r="78" spans="1:7" x14ac:dyDescent="0.2">
      <c r="A78" s="79"/>
      <c r="B78" s="123"/>
      <c r="C78" s="50" t="s">
        <v>87</v>
      </c>
      <c r="D78" s="51"/>
      <c r="E78" s="52"/>
      <c r="F78" s="51"/>
      <c r="G78" s="164">
        <f>SUM(G58+G77)</f>
        <v>64113.61</v>
      </c>
    </row>
    <row r="79" spans="1:7" x14ac:dyDescent="0.2">
      <c r="A79" s="80"/>
      <c r="B79" s="124"/>
      <c r="C79" s="44" t="s">
        <v>138</v>
      </c>
      <c r="D79" s="45"/>
      <c r="E79" s="46"/>
      <c r="F79" s="45"/>
      <c r="G79" s="165">
        <f>+G77*0.2</f>
        <v>6890.9720000000007</v>
      </c>
    </row>
    <row r="80" spans="1:7" ht="12.75" thickBot="1" x14ac:dyDescent="0.25">
      <c r="A80" s="81"/>
      <c r="B80" s="125"/>
      <c r="C80" s="53" t="s">
        <v>136</v>
      </c>
      <c r="D80" s="54"/>
      <c r="E80" s="55"/>
      <c r="F80" s="54"/>
      <c r="G80" s="166">
        <f>+G79+G78</f>
        <v>71004.581999999995</v>
      </c>
    </row>
  </sheetData>
  <autoFilter ref="A9:G80"/>
  <mergeCells count="11">
    <mergeCell ref="A10:D10"/>
    <mergeCell ref="A59:D59"/>
    <mergeCell ref="A1:G1"/>
    <mergeCell ref="A2:G2"/>
    <mergeCell ref="A4:G4"/>
    <mergeCell ref="A6:A8"/>
    <mergeCell ref="C6:C8"/>
    <mergeCell ref="D6:D8"/>
    <mergeCell ref="E6:E8"/>
    <mergeCell ref="F6:F8"/>
    <mergeCell ref="G6:G8"/>
  </mergeCells>
  <pageMargins left="0.7" right="0.7" top="0.75" bottom="0.75" header="0.3" footer="0.3"/>
  <pageSetup paperSize="9" scale="85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3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149</v>
      </c>
      <c r="B4" s="269"/>
      <c r="C4" s="269"/>
      <c r="D4" s="269"/>
      <c r="E4" s="269"/>
      <c r="F4" s="269"/>
      <c r="G4" s="269"/>
    </row>
    <row r="5" spans="1:7" x14ac:dyDescent="0.2">
      <c r="A5" s="212"/>
      <c r="B5" s="212"/>
      <c r="C5" s="212"/>
      <c r="D5" s="212"/>
      <c r="E5" s="212"/>
      <c r="F5" s="212"/>
      <c r="G5" s="168"/>
    </row>
    <row r="6" spans="1:7" ht="12.75" thickBot="1" x14ac:dyDescent="0.25">
      <c r="A6" s="64"/>
      <c r="B6" s="64"/>
      <c r="C6" s="65"/>
      <c r="D6" s="65"/>
      <c r="E6" s="65"/>
      <c r="F6" s="65"/>
      <c r="G6" s="169"/>
    </row>
    <row r="7" spans="1:7" ht="12.75" thickTop="1" x14ac:dyDescent="0.2">
      <c r="A7" s="279" t="s">
        <v>9</v>
      </c>
      <c r="B7" s="129"/>
      <c r="C7" s="261" t="s">
        <v>10</v>
      </c>
      <c r="D7" s="261" t="s">
        <v>11</v>
      </c>
      <c r="E7" s="261" t="s">
        <v>12</v>
      </c>
      <c r="F7" s="261" t="s">
        <v>13</v>
      </c>
      <c r="G7" s="264" t="s">
        <v>14</v>
      </c>
    </row>
    <row r="8" spans="1:7" x14ac:dyDescent="0.2">
      <c r="A8" s="280"/>
      <c r="B8" s="130"/>
      <c r="C8" s="262"/>
      <c r="D8" s="262"/>
      <c r="E8" s="262"/>
      <c r="F8" s="262"/>
      <c r="G8" s="265"/>
    </row>
    <row r="9" spans="1:7" ht="12.75" thickBot="1" x14ac:dyDescent="0.25">
      <c r="A9" s="281"/>
      <c r="B9" s="131"/>
      <c r="C9" s="263"/>
      <c r="D9" s="263"/>
      <c r="E9" s="263"/>
      <c r="F9" s="263"/>
      <c r="G9" s="266"/>
    </row>
    <row r="10" spans="1:7" ht="12.75" thickTop="1" x14ac:dyDescent="0.2">
      <c r="A10" s="105">
        <v>1</v>
      </c>
      <c r="B10" s="135"/>
      <c r="C10" s="67">
        <v>2</v>
      </c>
      <c r="D10" s="67">
        <v>3</v>
      </c>
      <c r="E10" s="67">
        <v>4</v>
      </c>
      <c r="F10" s="83">
        <v>5</v>
      </c>
      <c r="G10" s="170">
        <v>6</v>
      </c>
    </row>
    <row r="11" spans="1:7" x14ac:dyDescent="0.2">
      <c r="A11" s="273" t="s">
        <v>15</v>
      </c>
      <c r="B11" s="274"/>
      <c r="C11" s="274"/>
      <c r="D11" s="274"/>
      <c r="E11" s="84"/>
      <c r="F11" s="140"/>
      <c r="G11" s="173"/>
    </row>
    <row r="12" spans="1:7" x14ac:dyDescent="0.2">
      <c r="A12" s="103">
        <v>1</v>
      </c>
      <c r="B12" s="10" t="s">
        <v>152</v>
      </c>
      <c r="C12" s="11" t="s">
        <v>16</v>
      </c>
      <c r="D12" s="12" t="s">
        <v>17</v>
      </c>
      <c r="E12" s="13">
        <v>674.8</v>
      </c>
      <c r="F12" s="112">
        <f>'Ед. Цени'!F21</f>
        <v>3.53</v>
      </c>
      <c r="G12" s="174">
        <f>ROUND((E12*F12),2)</f>
        <v>2382.04</v>
      </c>
    </row>
    <row r="13" spans="1:7" x14ac:dyDescent="0.2">
      <c r="A13" s="103">
        <v>2</v>
      </c>
      <c r="B13" s="10" t="s">
        <v>153</v>
      </c>
      <c r="C13" s="14" t="s">
        <v>18</v>
      </c>
      <c r="D13" s="15" t="s">
        <v>19</v>
      </c>
      <c r="E13" s="16">
        <v>472.35999999999996</v>
      </c>
      <c r="F13" s="112">
        <f>'Ед. Цени'!F22</f>
        <v>6.89</v>
      </c>
      <c r="G13" s="174">
        <f t="shared" ref="G13:G59" si="0">ROUND((E13*F13),2)</f>
        <v>3254.56</v>
      </c>
    </row>
    <row r="14" spans="1:7" x14ac:dyDescent="0.2">
      <c r="A14" s="103">
        <v>3</v>
      </c>
      <c r="B14" s="10" t="s">
        <v>154</v>
      </c>
      <c r="C14" s="14" t="s">
        <v>20</v>
      </c>
      <c r="D14" s="12" t="s">
        <v>21</v>
      </c>
      <c r="E14" s="13">
        <v>444.91292999999996</v>
      </c>
      <c r="F14" s="69">
        <f>'Ед. Цени'!F23</f>
        <v>5.5</v>
      </c>
      <c r="G14" s="174">
        <f t="shared" si="0"/>
        <v>2447.02</v>
      </c>
    </row>
    <row r="15" spans="1:7" x14ac:dyDescent="0.2">
      <c r="A15" s="103">
        <v>4</v>
      </c>
      <c r="B15" s="10" t="s">
        <v>236</v>
      </c>
      <c r="C15" s="14" t="s">
        <v>22</v>
      </c>
      <c r="D15" s="12" t="s">
        <v>21</v>
      </c>
      <c r="E15" s="13">
        <v>190.67696999999998</v>
      </c>
      <c r="F15" s="112">
        <f>'Ед. Цени'!F85</f>
        <v>24.35</v>
      </c>
      <c r="G15" s="174">
        <f t="shared" si="0"/>
        <v>4642.9799999999996</v>
      </c>
    </row>
    <row r="16" spans="1:7" ht="24" x14ac:dyDescent="0.2">
      <c r="A16" s="103">
        <v>5</v>
      </c>
      <c r="B16" s="10" t="s">
        <v>156</v>
      </c>
      <c r="C16" s="11" t="s">
        <v>23</v>
      </c>
      <c r="D16" s="12" t="s">
        <v>21</v>
      </c>
      <c r="E16" s="13">
        <v>190.67696999999998</v>
      </c>
      <c r="F16" s="69">
        <f>'Ед. Цени'!F25</f>
        <v>12.47</v>
      </c>
      <c r="G16" s="174">
        <f t="shared" si="0"/>
        <v>2377.7399999999998</v>
      </c>
    </row>
    <row r="17" spans="1:7" x14ac:dyDescent="0.2">
      <c r="A17" s="103">
        <v>6</v>
      </c>
      <c r="B17" s="10" t="s">
        <v>157</v>
      </c>
      <c r="C17" s="11" t="s">
        <v>24</v>
      </c>
      <c r="D17" s="12" t="s">
        <v>21</v>
      </c>
      <c r="E17" s="17">
        <v>635.58989999999994</v>
      </c>
      <c r="F17" s="69">
        <f>'Ед. Цени'!F26</f>
        <v>2.79</v>
      </c>
      <c r="G17" s="174">
        <f t="shared" si="0"/>
        <v>1773.3</v>
      </c>
    </row>
    <row r="18" spans="1:7" x14ac:dyDescent="0.2">
      <c r="A18" s="103">
        <v>7</v>
      </c>
      <c r="B18" s="10" t="s">
        <v>158</v>
      </c>
      <c r="C18" s="11" t="s">
        <v>25</v>
      </c>
      <c r="D18" s="12" t="s">
        <v>21</v>
      </c>
      <c r="E18" s="17">
        <v>635.58989999999994</v>
      </c>
      <c r="F18" s="69">
        <f>'Ед. Цени'!F27</f>
        <v>1.98</v>
      </c>
      <c r="G18" s="174">
        <f t="shared" si="0"/>
        <v>1258.47</v>
      </c>
    </row>
    <row r="19" spans="1:7" x14ac:dyDescent="0.2">
      <c r="A19" s="103">
        <v>8</v>
      </c>
      <c r="B19" s="10" t="s">
        <v>159</v>
      </c>
      <c r="C19" s="11" t="s">
        <v>26</v>
      </c>
      <c r="D19" s="12" t="s">
        <v>21</v>
      </c>
      <c r="E19" s="17">
        <v>635.58989999999994</v>
      </c>
      <c r="F19" s="69">
        <f>'Ед. Цени'!F28</f>
        <v>2.79</v>
      </c>
      <c r="G19" s="174">
        <f t="shared" si="0"/>
        <v>1773.3</v>
      </c>
    </row>
    <row r="20" spans="1:7" x14ac:dyDescent="0.2">
      <c r="A20" s="103">
        <v>9</v>
      </c>
      <c r="B20" s="10" t="s">
        <v>160</v>
      </c>
      <c r="C20" s="18" t="s">
        <v>27</v>
      </c>
      <c r="D20" s="12" t="s">
        <v>19</v>
      </c>
      <c r="E20" s="17">
        <v>1153.9079999999999</v>
      </c>
      <c r="F20" s="69">
        <f>'Ед. Цени'!F29</f>
        <v>2.42</v>
      </c>
      <c r="G20" s="174">
        <f t="shared" si="0"/>
        <v>2792.46</v>
      </c>
    </row>
    <row r="21" spans="1:7" x14ac:dyDescent="0.2">
      <c r="A21" s="103">
        <v>10</v>
      </c>
      <c r="B21" s="10" t="s">
        <v>161</v>
      </c>
      <c r="C21" s="11" t="s">
        <v>28</v>
      </c>
      <c r="D21" s="12" t="s">
        <v>21</v>
      </c>
      <c r="E21" s="17">
        <v>185.84500000000003</v>
      </c>
      <c r="F21" s="112">
        <f>'Ед. Цени'!F30</f>
        <v>19.04</v>
      </c>
      <c r="G21" s="174">
        <f t="shared" si="0"/>
        <v>3538.49</v>
      </c>
    </row>
    <row r="22" spans="1:7" x14ac:dyDescent="0.2">
      <c r="A22" s="103">
        <v>11</v>
      </c>
      <c r="B22" s="10" t="s">
        <v>162</v>
      </c>
      <c r="C22" s="11" t="s">
        <v>29</v>
      </c>
      <c r="D22" s="12" t="s">
        <v>21</v>
      </c>
      <c r="E22" s="17">
        <v>185.84500000000003</v>
      </c>
      <c r="F22" s="112">
        <f>'Ед. Цени'!F31</f>
        <v>6.14</v>
      </c>
      <c r="G22" s="174">
        <f t="shared" si="0"/>
        <v>1141.0899999999999</v>
      </c>
    </row>
    <row r="23" spans="1:7" x14ac:dyDescent="0.2">
      <c r="A23" s="103">
        <v>12</v>
      </c>
      <c r="B23" s="10" t="s">
        <v>163</v>
      </c>
      <c r="C23" s="14" t="s">
        <v>30</v>
      </c>
      <c r="D23" s="12" t="s">
        <v>21</v>
      </c>
      <c r="E23" s="17">
        <v>37.169000000000004</v>
      </c>
      <c r="F23" s="112">
        <f>'Ед. Цени'!F32</f>
        <v>8.17</v>
      </c>
      <c r="G23" s="174">
        <f t="shared" si="0"/>
        <v>303.67</v>
      </c>
    </row>
    <row r="24" spans="1:7" x14ac:dyDescent="0.2">
      <c r="A24" s="103">
        <v>13</v>
      </c>
      <c r="B24" s="10" t="s">
        <v>164</v>
      </c>
      <c r="C24" s="14" t="s">
        <v>31</v>
      </c>
      <c r="D24" s="12" t="s">
        <v>21</v>
      </c>
      <c r="E24" s="17">
        <v>148.67600000000002</v>
      </c>
      <c r="F24" s="112">
        <f>'Ед. Цени'!F33</f>
        <v>4.75</v>
      </c>
      <c r="G24" s="174">
        <f t="shared" si="0"/>
        <v>706.21</v>
      </c>
    </row>
    <row r="25" spans="1:7" x14ac:dyDescent="0.2">
      <c r="A25" s="103">
        <v>14</v>
      </c>
      <c r="B25" s="10" t="s">
        <v>165</v>
      </c>
      <c r="C25" s="11" t="s">
        <v>32</v>
      </c>
      <c r="D25" s="12" t="s">
        <v>21</v>
      </c>
      <c r="E25" s="17">
        <v>185.84500000000003</v>
      </c>
      <c r="F25" s="112">
        <f>'Ед. Цени'!F34</f>
        <v>3.66</v>
      </c>
      <c r="G25" s="174">
        <f t="shared" si="0"/>
        <v>680.19</v>
      </c>
    </row>
    <row r="26" spans="1:7" x14ac:dyDescent="0.2">
      <c r="A26" s="103">
        <v>15</v>
      </c>
      <c r="B26" s="10" t="s">
        <v>166</v>
      </c>
      <c r="C26" s="11" t="s">
        <v>33</v>
      </c>
      <c r="D26" s="12" t="s">
        <v>21</v>
      </c>
      <c r="E26" s="17">
        <v>301.2888999999999</v>
      </c>
      <c r="F26" s="112">
        <f>'Ед. Цени'!F35</f>
        <v>17.82</v>
      </c>
      <c r="G26" s="174">
        <f t="shared" si="0"/>
        <v>5368.97</v>
      </c>
    </row>
    <row r="27" spans="1:7" x14ac:dyDescent="0.2">
      <c r="A27" s="103">
        <v>16</v>
      </c>
      <c r="B27" s="10" t="s">
        <v>167</v>
      </c>
      <c r="C27" s="11" t="s">
        <v>34</v>
      </c>
      <c r="D27" s="12" t="s">
        <v>21</v>
      </c>
      <c r="E27" s="17">
        <v>301.2888999999999</v>
      </c>
      <c r="F27" s="112">
        <f>'Ед. Цени'!F36</f>
        <v>6.14</v>
      </c>
      <c r="G27" s="174">
        <f t="shared" si="0"/>
        <v>1849.91</v>
      </c>
    </row>
    <row r="28" spans="1:7" x14ac:dyDescent="0.2">
      <c r="A28" s="103">
        <v>17</v>
      </c>
      <c r="B28" s="10" t="s">
        <v>168</v>
      </c>
      <c r="C28" s="11" t="s">
        <v>35</v>
      </c>
      <c r="D28" s="12" t="s">
        <v>21</v>
      </c>
      <c r="E28" s="17">
        <v>301.2888999999999</v>
      </c>
      <c r="F28" s="112">
        <f>'Ед. Цени'!F37</f>
        <v>3.15</v>
      </c>
      <c r="G28" s="174">
        <f t="shared" si="0"/>
        <v>949.06</v>
      </c>
    </row>
    <row r="29" spans="1:7" x14ac:dyDescent="0.2">
      <c r="A29" s="103">
        <v>18</v>
      </c>
      <c r="B29" s="10" t="s">
        <v>169</v>
      </c>
      <c r="C29" s="14" t="s">
        <v>36</v>
      </c>
      <c r="D29" s="12" t="s">
        <v>19</v>
      </c>
      <c r="E29" s="13">
        <v>135.16</v>
      </c>
      <c r="F29" s="112">
        <f>'Ед. Цени'!F38</f>
        <v>1.85</v>
      </c>
      <c r="G29" s="174">
        <f t="shared" si="0"/>
        <v>250.05</v>
      </c>
    </row>
    <row r="30" spans="1:7" x14ac:dyDescent="0.2">
      <c r="A30" s="103">
        <v>19</v>
      </c>
      <c r="B30" s="10" t="s">
        <v>170</v>
      </c>
      <c r="C30" s="20" t="s">
        <v>37</v>
      </c>
      <c r="D30" s="12" t="s">
        <v>38</v>
      </c>
      <c r="E30" s="13">
        <v>3.3789999999999996</v>
      </c>
      <c r="F30" s="112">
        <f>'Ед. Цени'!F39</f>
        <v>44.73</v>
      </c>
      <c r="G30" s="174">
        <f t="shared" si="0"/>
        <v>151.13999999999999</v>
      </c>
    </row>
    <row r="31" spans="1:7" x14ac:dyDescent="0.2">
      <c r="A31" s="103">
        <v>20</v>
      </c>
      <c r="B31" s="10" t="s">
        <v>171</v>
      </c>
      <c r="C31" s="11" t="s">
        <v>39</v>
      </c>
      <c r="D31" s="12" t="s">
        <v>21</v>
      </c>
      <c r="E31" s="13">
        <v>47.235999999999997</v>
      </c>
      <c r="F31" s="112">
        <f>'Ед. Цени'!F40</f>
        <v>3.09</v>
      </c>
      <c r="G31" s="174">
        <f t="shared" si="0"/>
        <v>145.96</v>
      </c>
    </row>
    <row r="32" spans="1:7" x14ac:dyDescent="0.2">
      <c r="A32" s="103">
        <v>21</v>
      </c>
      <c r="B32" s="10" t="s">
        <v>172</v>
      </c>
      <c r="C32" s="22" t="s">
        <v>40</v>
      </c>
      <c r="D32" s="12" t="s">
        <v>21</v>
      </c>
      <c r="E32" s="13">
        <v>47.235999999999997</v>
      </c>
      <c r="F32" s="112">
        <f>'Ед. Цени'!F41</f>
        <v>2.2999999999999998</v>
      </c>
      <c r="G32" s="174">
        <f t="shared" si="0"/>
        <v>108.64</v>
      </c>
    </row>
    <row r="33" spans="1:7" x14ac:dyDescent="0.2">
      <c r="A33" s="103">
        <v>22</v>
      </c>
      <c r="B33" s="10" t="s">
        <v>174</v>
      </c>
      <c r="C33" s="11" t="s">
        <v>41</v>
      </c>
      <c r="D33" s="12" t="s">
        <v>17</v>
      </c>
      <c r="E33" s="13">
        <v>251.9</v>
      </c>
      <c r="F33" s="112">
        <f>'Ед. Цени'!F43</f>
        <v>26.13</v>
      </c>
      <c r="G33" s="174">
        <f t="shared" si="0"/>
        <v>6582.15</v>
      </c>
    </row>
    <row r="34" spans="1:7" x14ac:dyDescent="0.2">
      <c r="A34" s="103">
        <v>23</v>
      </c>
      <c r="B34" s="10" t="s">
        <v>175</v>
      </c>
      <c r="C34" s="11" t="s">
        <v>93</v>
      </c>
      <c r="D34" s="12" t="s">
        <v>17</v>
      </c>
      <c r="E34" s="13">
        <v>86</v>
      </c>
      <c r="F34" s="112">
        <f>'Ед. Цени'!F44</f>
        <v>7.79</v>
      </c>
      <c r="G34" s="174">
        <f t="shared" si="0"/>
        <v>669.94</v>
      </c>
    </row>
    <row r="35" spans="1:7" x14ac:dyDescent="0.2">
      <c r="A35" s="103">
        <v>24</v>
      </c>
      <c r="B35" s="222" t="s">
        <v>267</v>
      </c>
      <c r="C35" s="85" t="s">
        <v>132</v>
      </c>
      <c r="D35" s="12" t="s">
        <v>38</v>
      </c>
      <c r="E35" s="85">
        <v>1</v>
      </c>
      <c r="F35" s="73">
        <f>'Ед. Цени'!F117</f>
        <v>42.09</v>
      </c>
      <c r="G35" s="174">
        <f t="shared" si="0"/>
        <v>42.09</v>
      </c>
    </row>
    <row r="36" spans="1:7" x14ac:dyDescent="0.2">
      <c r="A36" s="103">
        <v>25</v>
      </c>
      <c r="B36" s="223" t="s">
        <v>176</v>
      </c>
      <c r="C36" s="85" t="s">
        <v>44</v>
      </c>
      <c r="D36" s="12" t="s">
        <v>38</v>
      </c>
      <c r="E36" s="85">
        <v>6</v>
      </c>
      <c r="F36" s="112">
        <f>'Ед. Цени'!F45</f>
        <v>14.87</v>
      </c>
      <c r="G36" s="174">
        <f t="shared" si="0"/>
        <v>89.22</v>
      </c>
    </row>
    <row r="37" spans="1:7" x14ac:dyDescent="0.2">
      <c r="A37" s="103">
        <v>26</v>
      </c>
      <c r="B37" s="222" t="s">
        <v>258</v>
      </c>
      <c r="C37" s="85" t="s">
        <v>92</v>
      </c>
      <c r="D37" s="12" t="s">
        <v>38</v>
      </c>
      <c r="E37" s="106">
        <v>18</v>
      </c>
      <c r="F37" s="73">
        <f>'Ед. Цени'!F108</f>
        <v>57.71</v>
      </c>
      <c r="G37" s="174">
        <f t="shared" si="0"/>
        <v>1038.78</v>
      </c>
    </row>
    <row r="38" spans="1:7" x14ac:dyDescent="0.2">
      <c r="A38" s="103">
        <v>27</v>
      </c>
      <c r="B38" s="222" t="s">
        <v>268</v>
      </c>
      <c r="C38" s="85" t="s">
        <v>133</v>
      </c>
      <c r="D38" s="12" t="s">
        <v>38</v>
      </c>
      <c r="E38" s="18">
        <v>1</v>
      </c>
      <c r="F38" s="73">
        <f>'Ед. Цени'!F118</f>
        <v>42.69</v>
      </c>
      <c r="G38" s="174">
        <f t="shared" si="0"/>
        <v>42.69</v>
      </c>
    </row>
    <row r="39" spans="1:7" x14ac:dyDescent="0.2">
      <c r="A39" s="103">
        <v>28</v>
      </c>
      <c r="B39" s="223" t="s">
        <v>180</v>
      </c>
      <c r="C39" s="85" t="s">
        <v>46</v>
      </c>
      <c r="D39" s="12" t="s">
        <v>38</v>
      </c>
      <c r="E39" s="106">
        <v>32.450000000000003</v>
      </c>
      <c r="F39" s="112">
        <f>'Ед. Цени'!F49</f>
        <v>15.4</v>
      </c>
      <c r="G39" s="174">
        <f t="shared" si="0"/>
        <v>499.73</v>
      </c>
    </row>
    <row r="40" spans="1:7" x14ac:dyDescent="0.2">
      <c r="A40" s="103">
        <v>29</v>
      </c>
      <c r="B40" s="10" t="s">
        <v>181</v>
      </c>
      <c r="C40" s="85" t="s">
        <v>90</v>
      </c>
      <c r="D40" s="12" t="s">
        <v>38</v>
      </c>
      <c r="E40" s="106">
        <v>18</v>
      </c>
      <c r="F40" s="112">
        <f>'Ед. Цени'!F50</f>
        <v>15.9</v>
      </c>
      <c r="G40" s="174">
        <f t="shared" si="0"/>
        <v>286.2</v>
      </c>
    </row>
    <row r="41" spans="1:7" x14ac:dyDescent="0.2">
      <c r="A41" s="103">
        <v>30</v>
      </c>
      <c r="B41" s="10" t="s">
        <v>182</v>
      </c>
      <c r="C41" s="85" t="s">
        <v>89</v>
      </c>
      <c r="D41" s="12" t="s">
        <v>38</v>
      </c>
      <c r="E41" s="106">
        <v>18</v>
      </c>
      <c r="F41" s="112">
        <f>'Ед. Цени'!F51</f>
        <v>18.32</v>
      </c>
      <c r="G41" s="174">
        <f t="shared" si="0"/>
        <v>329.76</v>
      </c>
    </row>
    <row r="42" spans="1:7" x14ac:dyDescent="0.2">
      <c r="A42" s="103">
        <v>31</v>
      </c>
      <c r="B42" s="10" t="s">
        <v>183</v>
      </c>
      <c r="C42" s="85" t="s">
        <v>49</v>
      </c>
      <c r="D42" s="12" t="s">
        <v>38</v>
      </c>
      <c r="E42" s="85">
        <v>3</v>
      </c>
      <c r="F42" s="112">
        <f>'Ед. Цени'!F52</f>
        <v>35.82</v>
      </c>
      <c r="G42" s="174">
        <f t="shared" si="0"/>
        <v>107.46</v>
      </c>
    </row>
    <row r="43" spans="1:7" x14ac:dyDescent="0.2">
      <c r="A43" s="103">
        <v>32</v>
      </c>
      <c r="B43" s="10" t="s">
        <v>184</v>
      </c>
      <c r="C43" s="85" t="s">
        <v>50</v>
      </c>
      <c r="D43" s="12" t="s">
        <v>38</v>
      </c>
      <c r="E43" s="85">
        <v>1</v>
      </c>
      <c r="F43" s="112">
        <f>'Ед. Цени'!F53</f>
        <v>324.5</v>
      </c>
      <c r="G43" s="174">
        <f t="shared" si="0"/>
        <v>324.5</v>
      </c>
    </row>
    <row r="44" spans="1:7" x14ac:dyDescent="0.2">
      <c r="A44" s="103">
        <v>33</v>
      </c>
      <c r="B44" s="10" t="s">
        <v>185</v>
      </c>
      <c r="C44" s="85" t="s">
        <v>51</v>
      </c>
      <c r="D44" s="12" t="s">
        <v>38</v>
      </c>
      <c r="E44" s="85">
        <v>3</v>
      </c>
      <c r="F44" s="112">
        <f>'Ед. Цени'!F54</f>
        <v>39.450000000000003</v>
      </c>
      <c r="G44" s="174">
        <f t="shared" si="0"/>
        <v>118.35</v>
      </c>
    </row>
    <row r="45" spans="1:7" x14ac:dyDescent="0.2">
      <c r="A45" s="103">
        <v>34</v>
      </c>
      <c r="B45" s="10" t="s">
        <v>186</v>
      </c>
      <c r="C45" s="85" t="s">
        <v>52</v>
      </c>
      <c r="D45" s="12" t="s">
        <v>38</v>
      </c>
      <c r="E45" s="85">
        <v>2</v>
      </c>
      <c r="F45" s="112">
        <f>'Ед. Цени'!F55</f>
        <v>150.69999999999999</v>
      </c>
      <c r="G45" s="174">
        <f t="shared" si="0"/>
        <v>301.39999999999998</v>
      </c>
    </row>
    <row r="46" spans="1:7" x14ac:dyDescent="0.2">
      <c r="A46" s="103">
        <v>35</v>
      </c>
      <c r="B46" s="103" t="s">
        <v>255</v>
      </c>
      <c r="C46" s="85" t="s">
        <v>53</v>
      </c>
      <c r="D46" s="12" t="s">
        <v>38</v>
      </c>
      <c r="E46" s="85">
        <v>2</v>
      </c>
      <c r="F46" s="112">
        <f>'Ед. Цени'!F105</f>
        <v>53.66</v>
      </c>
      <c r="G46" s="174">
        <f t="shared" si="0"/>
        <v>107.32</v>
      </c>
    </row>
    <row r="47" spans="1:7" x14ac:dyDescent="0.2">
      <c r="A47" s="103">
        <v>36</v>
      </c>
      <c r="B47" s="10" t="s">
        <v>188</v>
      </c>
      <c r="C47" s="85" t="s">
        <v>88</v>
      </c>
      <c r="D47" s="12" t="s">
        <v>38</v>
      </c>
      <c r="E47" s="106">
        <v>18</v>
      </c>
      <c r="F47" s="73">
        <f>'Ед. Цени'!F57</f>
        <v>132.99</v>
      </c>
      <c r="G47" s="174">
        <f t="shared" si="0"/>
        <v>2393.8200000000002</v>
      </c>
    </row>
    <row r="48" spans="1:7" x14ac:dyDescent="0.2">
      <c r="A48" s="103">
        <v>37</v>
      </c>
      <c r="B48" s="10" t="s">
        <v>189</v>
      </c>
      <c r="C48" s="11" t="s">
        <v>55</v>
      </c>
      <c r="D48" s="12" t="s">
        <v>38</v>
      </c>
      <c r="E48" s="18">
        <v>3</v>
      </c>
      <c r="F48" s="112">
        <f>'Ед. Цени'!F58</f>
        <v>39.450000000000003</v>
      </c>
      <c r="G48" s="174">
        <f t="shared" si="0"/>
        <v>118.35</v>
      </c>
    </row>
    <row r="49" spans="1:7" x14ac:dyDescent="0.2">
      <c r="A49" s="103">
        <v>38</v>
      </c>
      <c r="B49" s="10" t="s">
        <v>190</v>
      </c>
      <c r="C49" s="11" t="s">
        <v>56</v>
      </c>
      <c r="D49" s="12" t="s">
        <v>17</v>
      </c>
      <c r="E49" s="13">
        <v>337.9</v>
      </c>
      <c r="F49" s="112">
        <f>'Ед. Цени'!F59</f>
        <v>1.78</v>
      </c>
      <c r="G49" s="174">
        <f t="shared" si="0"/>
        <v>601.46</v>
      </c>
    </row>
    <row r="50" spans="1:7" x14ac:dyDescent="0.2">
      <c r="A50" s="103">
        <v>39</v>
      </c>
      <c r="B50" s="10" t="s">
        <v>191</v>
      </c>
      <c r="C50" s="18" t="s">
        <v>57</v>
      </c>
      <c r="D50" s="12" t="s">
        <v>17</v>
      </c>
      <c r="E50" s="13">
        <v>337.9</v>
      </c>
      <c r="F50" s="112">
        <f>'Ед. Цени'!F60</f>
        <v>1.61</v>
      </c>
      <c r="G50" s="174">
        <f t="shared" si="0"/>
        <v>544.02</v>
      </c>
    </row>
    <row r="51" spans="1:7" x14ac:dyDescent="0.2">
      <c r="A51" s="103">
        <v>40</v>
      </c>
      <c r="B51" s="10" t="s">
        <v>192</v>
      </c>
      <c r="C51" s="27" t="s">
        <v>58</v>
      </c>
      <c r="D51" s="12" t="s">
        <v>38</v>
      </c>
      <c r="E51" s="13">
        <v>20</v>
      </c>
      <c r="F51" s="112">
        <f>'Ед. Цени'!F61</f>
        <v>10.45</v>
      </c>
      <c r="G51" s="174">
        <f t="shared" si="0"/>
        <v>209</v>
      </c>
    </row>
    <row r="52" spans="1:7" x14ac:dyDescent="0.2">
      <c r="A52" s="103">
        <v>41</v>
      </c>
      <c r="B52" s="10" t="s">
        <v>193</v>
      </c>
      <c r="C52" s="28" t="s">
        <v>59</v>
      </c>
      <c r="D52" s="12" t="s">
        <v>38</v>
      </c>
      <c r="E52" s="13">
        <v>2</v>
      </c>
      <c r="F52" s="112">
        <f>'Ед. Цени'!F62</f>
        <v>18.52</v>
      </c>
      <c r="G52" s="174">
        <f t="shared" si="0"/>
        <v>37.04</v>
      </c>
    </row>
    <row r="53" spans="1:7" x14ac:dyDescent="0.2">
      <c r="A53" s="103">
        <v>42</v>
      </c>
      <c r="B53" s="10" t="s">
        <v>194</v>
      </c>
      <c r="C53" s="28" t="s">
        <v>60</v>
      </c>
      <c r="D53" s="12" t="s">
        <v>38</v>
      </c>
      <c r="E53" s="13">
        <v>1</v>
      </c>
      <c r="F53" s="112">
        <f>'Ед. Цени'!F63</f>
        <v>18.52</v>
      </c>
      <c r="G53" s="174">
        <f t="shared" si="0"/>
        <v>18.52</v>
      </c>
    </row>
    <row r="54" spans="1:7" x14ac:dyDescent="0.2">
      <c r="A54" s="103">
        <v>43</v>
      </c>
      <c r="B54" s="10" t="s">
        <v>195</v>
      </c>
      <c r="C54" s="11" t="s">
        <v>61</v>
      </c>
      <c r="D54" s="12" t="s">
        <v>17</v>
      </c>
      <c r="E54" s="13">
        <v>38</v>
      </c>
      <c r="F54" s="139">
        <f>'Ед. Цени'!F64</f>
        <v>8.9499999999999993</v>
      </c>
      <c r="G54" s="174">
        <f t="shared" si="0"/>
        <v>340.1</v>
      </c>
    </row>
    <row r="55" spans="1:7" x14ac:dyDescent="0.2">
      <c r="A55" s="103">
        <v>44</v>
      </c>
      <c r="B55" s="10" t="s">
        <v>196</v>
      </c>
      <c r="C55" s="11" t="s">
        <v>62</v>
      </c>
      <c r="D55" s="12" t="s">
        <v>21</v>
      </c>
      <c r="E55" s="13">
        <v>188.94399999999999</v>
      </c>
      <c r="F55" s="112">
        <f>'Ед. Цени'!F65</f>
        <v>18.940000000000001</v>
      </c>
      <c r="G55" s="174">
        <f t="shared" si="0"/>
        <v>3578.6</v>
      </c>
    </row>
    <row r="56" spans="1:7" x14ac:dyDescent="0.2">
      <c r="A56" s="103">
        <v>45</v>
      </c>
      <c r="B56" s="10" t="s">
        <v>197</v>
      </c>
      <c r="C56" s="11" t="s">
        <v>63</v>
      </c>
      <c r="D56" s="12" t="s">
        <v>19</v>
      </c>
      <c r="E56" s="13">
        <v>472.35999999999996</v>
      </c>
      <c r="F56" s="112">
        <f>'Ед. Цени'!F66</f>
        <v>1.77</v>
      </c>
      <c r="G56" s="174">
        <f t="shared" si="0"/>
        <v>836.08</v>
      </c>
    </row>
    <row r="57" spans="1:7" x14ac:dyDescent="0.2">
      <c r="A57" s="103">
        <v>46</v>
      </c>
      <c r="B57" s="10" t="s">
        <v>198</v>
      </c>
      <c r="C57" s="11" t="s">
        <v>134</v>
      </c>
      <c r="D57" s="12" t="s">
        <v>64</v>
      </c>
      <c r="E57" s="13">
        <v>56.683199999999999</v>
      </c>
      <c r="F57" s="112">
        <f>'Ед. Цени'!F67</f>
        <v>125.37</v>
      </c>
      <c r="G57" s="174">
        <f t="shared" si="0"/>
        <v>7106.37</v>
      </c>
    </row>
    <row r="58" spans="1:7" x14ac:dyDescent="0.2">
      <c r="A58" s="103">
        <v>47</v>
      </c>
      <c r="B58" s="10" t="s">
        <v>199</v>
      </c>
      <c r="C58" s="11" t="s">
        <v>65</v>
      </c>
      <c r="D58" s="12" t="s">
        <v>17</v>
      </c>
      <c r="E58" s="13">
        <v>337.9</v>
      </c>
      <c r="F58" s="112">
        <f>'Ед. Цени'!F68</f>
        <v>0.92</v>
      </c>
      <c r="G58" s="174">
        <f t="shared" si="0"/>
        <v>310.87</v>
      </c>
    </row>
    <row r="59" spans="1:7" ht="12.75" thickBot="1" x14ac:dyDescent="0.25">
      <c r="A59" s="103">
        <v>48</v>
      </c>
      <c r="B59" s="10" t="s">
        <v>200</v>
      </c>
      <c r="C59" s="30" t="s">
        <v>66</v>
      </c>
      <c r="D59" s="31" t="s">
        <v>17</v>
      </c>
      <c r="E59" s="13">
        <v>337.9</v>
      </c>
      <c r="F59" s="112">
        <f>'Ед. Цени'!F69</f>
        <v>1.41</v>
      </c>
      <c r="G59" s="174">
        <f t="shared" si="0"/>
        <v>476.44</v>
      </c>
    </row>
    <row r="60" spans="1:7" ht="12.75" thickTop="1" x14ac:dyDescent="0.2">
      <c r="A60" s="107"/>
      <c r="B60" s="136"/>
      <c r="C60" s="32" t="s">
        <v>67</v>
      </c>
      <c r="D60" s="33"/>
      <c r="E60" s="34"/>
      <c r="F60" s="33"/>
      <c r="G60" s="175">
        <f>SUM(G12:G59)</f>
        <v>65005.51</v>
      </c>
    </row>
    <row r="61" spans="1:7" x14ac:dyDescent="0.2">
      <c r="A61" s="273" t="s">
        <v>68</v>
      </c>
      <c r="B61" s="274"/>
      <c r="C61" s="274"/>
      <c r="D61" s="275"/>
      <c r="E61" s="36"/>
      <c r="F61" s="35"/>
      <c r="G61" s="172"/>
    </row>
    <row r="62" spans="1:7" x14ac:dyDescent="0.2">
      <c r="A62" s="86">
        <v>1</v>
      </c>
      <c r="B62" s="75" t="s">
        <v>201</v>
      </c>
      <c r="C62" s="87" t="s">
        <v>69</v>
      </c>
      <c r="D62" s="86" t="s">
        <v>21</v>
      </c>
      <c r="E62" s="39">
        <v>51.16</v>
      </c>
      <c r="F62" s="22">
        <f>'Ед. Цени'!F70</f>
        <v>7.8</v>
      </c>
      <c r="G62" s="176">
        <f>ROUND((E62*F62),2)</f>
        <v>399.05</v>
      </c>
    </row>
    <row r="63" spans="1:7" x14ac:dyDescent="0.2">
      <c r="A63" s="86">
        <v>2</v>
      </c>
      <c r="B63" s="75" t="s">
        <v>202</v>
      </c>
      <c r="C63" s="87" t="s">
        <v>70</v>
      </c>
      <c r="D63" s="86" t="s">
        <v>21</v>
      </c>
      <c r="E63" s="39">
        <v>21.92</v>
      </c>
      <c r="F63" s="22">
        <f>'Ед. Цени'!F71</f>
        <v>16.63</v>
      </c>
      <c r="G63" s="176">
        <f t="shared" ref="G63:G77" si="1">ROUND((E63*F63),2)</f>
        <v>364.53</v>
      </c>
    </row>
    <row r="64" spans="1:7" x14ac:dyDescent="0.2">
      <c r="A64" s="86">
        <v>3</v>
      </c>
      <c r="B64" s="75" t="s">
        <v>203</v>
      </c>
      <c r="C64" s="89" t="s">
        <v>71</v>
      </c>
      <c r="D64" s="86" t="s">
        <v>19</v>
      </c>
      <c r="E64" s="39">
        <v>120.96</v>
      </c>
      <c r="F64" s="22">
        <f>'Ед. Цени'!F72</f>
        <v>6.09</v>
      </c>
      <c r="G64" s="176">
        <f t="shared" si="1"/>
        <v>736.65</v>
      </c>
    </row>
    <row r="65" spans="1:7" x14ac:dyDescent="0.2">
      <c r="A65" s="86">
        <v>4</v>
      </c>
      <c r="B65" s="75" t="s">
        <v>204</v>
      </c>
      <c r="C65" s="87" t="s">
        <v>72</v>
      </c>
      <c r="D65" s="86" t="s">
        <v>21</v>
      </c>
      <c r="E65" s="39">
        <v>26.3</v>
      </c>
      <c r="F65" s="22">
        <f>'Ед. Цени'!F73</f>
        <v>1.64</v>
      </c>
      <c r="G65" s="176">
        <f t="shared" si="1"/>
        <v>43.13</v>
      </c>
    </row>
    <row r="66" spans="1:7" x14ac:dyDescent="0.2">
      <c r="A66" s="86">
        <v>5</v>
      </c>
      <c r="B66" s="75" t="s">
        <v>205</v>
      </c>
      <c r="C66" s="87" t="s">
        <v>73</v>
      </c>
      <c r="D66" s="86" t="s">
        <v>21</v>
      </c>
      <c r="E66" s="39">
        <v>75.599999999999994</v>
      </c>
      <c r="F66" s="22">
        <f>'Ед. Цени'!F74</f>
        <v>8.5399999999999991</v>
      </c>
      <c r="G66" s="176">
        <f t="shared" si="1"/>
        <v>645.62</v>
      </c>
    </row>
    <row r="67" spans="1:7" x14ac:dyDescent="0.2">
      <c r="A67" s="86">
        <v>6</v>
      </c>
      <c r="B67" s="10" t="s">
        <v>158</v>
      </c>
      <c r="C67" s="89" t="s">
        <v>25</v>
      </c>
      <c r="D67" s="86" t="s">
        <v>21</v>
      </c>
      <c r="E67" s="39">
        <v>75.599999999999994</v>
      </c>
      <c r="F67" s="69">
        <f>'Ед. Цени'!F27</f>
        <v>1.98</v>
      </c>
      <c r="G67" s="176">
        <f t="shared" si="1"/>
        <v>149.69</v>
      </c>
    </row>
    <row r="68" spans="1:7" x14ac:dyDescent="0.2">
      <c r="A68" s="86">
        <v>7</v>
      </c>
      <c r="B68" s="75" t="s">
        <v>206</v>
      </c>
      <c r="C68" s="87" t="s">
        <v>74</v>
      </c>
      <c r="D68" s="86" t="s">
        <v>19</v>
      </c>
      <c r="E68" s="39">
        <v>1260</v>
      </c>
      <c r="F68" s="22">
        <f>'Ед. Цени'!F75</f>
        <v>1.78</v>
      </c>
      <c r="G68" s="176">
        <f t="shared" si="1"/>
        <v>2242.8000000000002</v>
      </c>
    </row>
    <row r="69" spans="1:7" x14ac:dyDescent="0.2">
      <c r="A69" s="86">
        <v>8</v>
      </c>
      <c r="B69" s="75" t="s">
        <v>207</v>
      </c>
      <c r="C69" s="87" t="s">
        <v>75</v>
      </c>
      <c r="D69" s="86" t="s">
        <v>21</v>
      </c>
      <c r="E69" s="39">
        <v>60.48</v>
      </c>
      <c r="F69" s="22">
        <f>'Ед. Цени'!F76</f>
        <v>1.78</v>
      </c>
      <c r="G69" s="176">
        <f t="shared" si="1"/>
        <v>107.65</v>
      </c>
    </row>
    <row r="70" spans="1:7" x14ac:dyDescent="0.2">
      <c r="A70" s="86">
        <v>9</v>
      </c>
      <c r="B70" s="75" t="s">
        <v>208</v>
      </c>
      <c r="C70" s="87" t="s">
        <v>76</v>
      </c>
      <c r="D70" s="86" t="s">
        <v>77</v>
      </c>
      <c r="E70" s="39">
        <v>88.199999999999989</v>
      </c>
      <c r="F70" s="22">
        <f>'Ед. Цени'!F77</f>
        <v>21.54</v>
      </c>
      <c r="G70" s="176">
        <f t="shared" si="1"/>
        <v>1899.83</v>
      </c>
    </row>
    <row r="71" spans="1:7" x14ac:dyDescent="0.2">
      <c r="A71" s="86">
        <v>10</v>
      </c>
      <c r="B71" s="75" t="s">
        <v>209</v>
      </c>
      <c r="C71" s="87" t="s">
        <v>78</v>
      </c>
      <c r="D71" s="86" t="s">
        <v>79</v>
      </c>
      <c r="E71" s="39">
        <v>150</v>
      </c>
      <c r="F71" s="22">
        <f>'Ед. Цени'!F78</f>
        <v>6.93</v>
      </c>
      <c r="G71" s="176">
        <f t="shared" si="1"/>
        <v>1039.5</v>
      </c>
    </row>
    <row r="72" spans="1:7" x14ac:dyDescent="0.2">
      <c r="A72" s="86">
        <v>11</v>
      </c>
      <c r="B72" s="75" t="s">
        <v>210</v>
      </c>
      <c r="C72" s="87" t="s">
        <v>80</v>
      </c>
      <c r="D72" s="86" t="s">
        <v>79</v>
      </c>
      <c r="E72" s="39">
        <v>150</v>
      </c>
      <c r="F72" s="22">
        <f>'Ед. Цени'!F79</f>
        <v>27.54</v>
      </c>
      <c r="G72" s="176">
        <f t="shared" si="1"/>
        <v>4131</v>
      </c>
    </row>
    <row r="73" spans="1:7" x14ac:dyDescent="0.2">
      <c r="A73" s="86">
        <v>12</v>
      </c>
      <c r="B73" s="75" t="s">
        <v>211</v>
      </c>
      <c r="C73" s="87" t="s">
        <v>81</v>
      </c>
      <c r="D73" s="86" t="s">
        <v>19</v>
      </c>
      <c r="E73" s="39">
        <v>141.12</v>
      </c>
      <c r="F73" s="22">
        <f>'Ед. Цени'!F80</f>
        <v>7.88</v>
      </c>
      <c r="G73" s="176">
        <f t="shared" si="1"/>
        <v>1112.03</v>
      </c>
    </row>
    <row r="74" spans="1:7" x14ac:dyDescent="0.2">
      <c r="A74" s="86">
        <v>13</v>
      </c>
      <c r="B74" s="75" t="s">
        <v>212</v>
      </c>
      <c r="C74" s="87" t="s">
        <v>82</v>
      </c>
      <c r="D74" s="86" t="s">
        <v>19</v>
      </c>
      <c r="E74" s="39">
        <v>141.12</v>
      </c>
      <c r="F74" s="22">
        <f>'Ед. Цени'!F81</f>
        <v>14.48</v>
      </c>
      <c r="G74" s="176">
        <f t="shared" si="1"/>
        <v>2043.42</v>
      </c>
    </row>
    <row r="75" spans="1:7" x14ac:dyDescent="0.2">
      <c r="A75" s="86">
        <v>14</v>
      </c>
      <c r="B75" s="75" t="s">
        <v>213</v>
      </c>
      <c r="C75" s="87" t="s">
        <v>83</v>
      </c>
      <c r="D75" s="86" t="s">
        <v>19</v>
      </c>
      <c r="E75" s="39">
        <v>1146.5999999999999</v>
      </c>
      <c r="F75" s="22">
        <f>'Ед. Цени'!F82</f>
        <v>11.72</v>
      </c>
      <c r="G75" s="176">
        <f t="shared" si="1"/>
        <v>13438.15</v>
      </c>
    </row>
    <row r="76" spans="1:7" x14ac:dyDescent="0.2">
      <c r="A76" s="86">
        <v>15</v>
      </c>
      <c r="B76" s="75" t="s">
        <v>214</v>
      </c>
      <c r="C76" s="87" t="s">
        <v>84</v>
      </c>
      <c r="D76" s="86" t="s">
        <v>19</v>
      </c>
      <c r="E76" s="39">
        <v>1512</v>
      </c>
      <c r="F76" s="22">
        <f>'Ед. Цени'!F83</f>
        <v>1.89</v>
      </c>
      <c r="G76" s="176">
        <f t="shared" si="1"/>
        <v>2857.68</v>
      </c>
    </row>
    <row r="77" spans="1:7" x14ac:dyDescent="0.2">
      <c r="A77" s="86">
        <v>16</v>
      </c>
      <c r="B77" s="75" t="s">
        <v>215</v>
      </c>
      <c r="C77" s="87" t="s">
        <v>85</v>
      </c>
      <c r="D77" s="86" t="s">
        <v>77</v>
      </c>
      <c r="E77" s="39">
        <v>181.44</v>
      </c>
      <c r="F77" s="22">
        <f>'Ед. Цени'!F84</f>
        <v>134.12</v>
      </c>
      <c r="G77" s="176">
        <f t="shared" si="1"/>
        <v>24334.73</v>
      </c>
    </row>
    <row r="78" spans="1:7" x14ac:dyDescent="0.2">
      <c r="A78" s="66"/>
      <c r="B78" s="119"/>
      <c r="C78" s="42"/>
      <c r="D78" s="35"/>
      <c r="E78" s="36"/>
      <c r="F78" s="35"/>
      <c r="G78" s="172"/>
    </row>
    <row r="79" spans="1:7" ht="12.75" thickBot="1" x14ac:dyDescent="0.25">
      <c r="A79" s="66"/>
      <c r="B79" s="119"/>
      <c r="C79" s="42" t="s">
        <v>86</v>
      </c>
      <c r="D79" s="35"/>
      <c r="E79" s="36"/>
      <c r="F79" s="35"/>
      <c r="G79" s="172">
        <f>SUM(G62:G77)</f>
        <v>55545.460000000006</v>
      </c>
    </row>
    <row r="80" spans="1:7" x14ac:dyDescent="0.2">
      <c r="A80" s="79"/>
      <c r="B80" s="123"/>
      <c r="C80" s="50" t="s">
        <v>87</v>
      </c>
      <c r="D80" s="51"/>
      <c r="E80" s="52"/>
      <c r="F80" s="51"/>
      <c r="G80" s="164">
        <f>SUM(G60+G79)</f>
        <v>120550.97</v>
      </c>
    </row>
    <row r="81" spans="1:7" x14ac:dyDescent="0.2">
      <c r="A81" s="80"/>
      <c r="B81" s="124"/>
      <c r="C81" s="44" t="s">
        <v>138</v>
      </c>
      <c r="D81" s="45"/>
      <c r="E81" s="46"/>
      <c r="F81" s="45"/>
      <c r="G81" s="165">
        <f>+G79*0.2</f>
        <v>11109.092000000002</v>
      </c>
    </row>
    <row r="82" spans="1:7" ht="12.75" thickBot="1" x14ac:dyDescent="0.25">
      <c r="A82" s="81"/>
      <c r="B82" s="125"/>
      <c r="C82" s="53" t="s">
        <v>136</v>
      </c>
      <c r="D82" s="54"/>
      <c r="E82" s="55"/>
      <c r="F82" s="54"/>
      <c r="G82" s="166">
        <f>+G81+G80</f>
        <v>131660.06200000001</v>
      </c>
    </row>
    <row r="83" spans="1:7" ht="12.75" x14ac:dyDescent="0.2">
      <c r="A83" s="43"/>
      <c r="B83" s="43"/>
      <c r="C83" s="3"/>
      <c r="D83" s="3"/>
      <c r="E83" s="3"/>
      <c r="F83" s="3"/>
      <c r="G83" s="187"/>
    </row>
  </sheetData>
  <autoFilter ref="A10:G82"/>
  <mergeCells count="11">
    <mergeCell ref="A11:D11"/>
    <mergeCell ref="A61:D61"/>
    <mergeCell ref="A1:G1"/>
    <mergeCell ref="A2:G2"/>
    <mergeCell ref="A4:G4"/>
    <mergeCell ref="A7:A9"/>
    <mergeCell ref="C7:C9"/>
    <mergeCell ref="D7:D9"/>
    <mergeCell ref="E7:E9"/>
    <mergeCell ref="F7:F9"/>
    <mergeCell ref="G7:G9"/>
  </mergeCells>
  <pageMargins left="0.7" right="0.7" top="0.75" bottom="0.75" header="0.3" footer="0.3"/>
  <pageSetup paperSize="9" scale="85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1"/>
  <sheetViews>
    <sheetView zoomScale="110" zoomScaleNormal="110" workbookViewId="0">
      <selection activeCell="F3" sqref="F3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150</v>
      </c>
      <c r="B4" s="269"/>
      <c r="C4" s="269"/>
      <c r="D4" s="269"/>
      <c r="E4" s="269"/>
      <c r="F4" s="269"/>
      <c r="G4" s="269"/>
    </row>
    <row r="5" spans="1:7" ht="12.75" thickBot="1" x14ac:dyDescent="0.25">
      <c r="A5" s="64"/>
      <c r="B5" s="64"/>
      <c r="C5" s="65"/>
      <c r="D5" s="65"/>
      <c r="E5" s="65"/>
      <c r="F5" s="65"/>
      <c r="G5" s="169"/>
    </row>
    <row r="6" spans="1:7" ht="12.75" thickTop="1" x14ac:dyDescent="0.2">
      <c r="A6" s="279" t="s">
        <v>9</v>
      </c>
      <c r="B6" s="129"/>
      <c r="C6" s="261" t="s">
        <v>10</v>
      </c>
      <c r="D6" s="261" t="s">
        <v>11</v>
      </c>
      <c r="E6" s="261" t="s">
        <v>12</v>
      </c>
      <c r="F6" s="261" t="s">
        <v>13</v>
      </c>
      <c r="G6" s="264" t="s">
        <v>14</v>
      </c>
    </row>
    <row r="7" spans="1:7" x14ac:dyDescent="0.2">
      <c r="A7" s="280"/>
      <c r="B7" s="130"/>
      <c r="C7" s="262"/>
      <c r="D7" s="262"/>
      <c r="E7" s="262"/>
      <c r="F7" s="262"/>
      <c r="G7" s="265"/>
    </row>
    <row r="8" spans="1:7" ht="12.75" thickBot="1" x14ac:dyDescent="0.25">
      <c r="A8" s="281"/>
      <c r="B8" s="131"/>
      <c r="C8" s="263"/>
      <c r="D8" s="263"/>
      <c r="E8" s="263"/>
      <c r="F8" s="263"/>
      <c r="G8" s="266"/>
    </row>
    <row r="9" spans="1:7" ht="12.75" thickTop="1" x14ac:dyDescent="0.2">
      <c r="A9" s="105">
        <v>1</v>
      </c>
      <c r="B9" s="135"/>
      <c r="C9" s="67">
        <v>2</v>
      </c>
      <c r="D9" s="67">
        <v>3</v>
      </c>
      <c r="E9" s="67">
        <v>4</v>
      </c>
      <c r="F9" s="83">
        <v>5</v>
      </c>
      <c r="G9" s="170">
        <v>6</v>
      </c>
    </row>
    <row r="10" spans="1:7" x14ac:dyDescent="0.2">
      <c r="A10" s="273" t="s">
        <v>15</v>
      </c>
      <c r="B10" s="274"/>
      <c r="C10" s="274"/>
      <c r="D10" s="274"/>
      <c r="E10" s="84"/>
      <c r="F10" s="140"/>
      <c r="G10" s="173"/>
    </row>
    <row r="11" spans="1:7" x14ac:dyDescent="0.2">
      <c r="A11" s="103">
        <v>1</v>
      </c>
      <c r="B11" s="10" t="s">
        <v>152</v>
      </c>
      <c r="C11" s="11" t="s">
        <v>16</v>
      </c>
      <c r="D11" s="12" t="s">
        <v>17</v>
      </c>
      <c r="E11" s="13">
        <v>297.8</v>
      </c>
      <c r="F11" s="112">
        <f>'Ед. Цени'!F21</f>
        <v>3.53</v>
      </c>
      <c r="G11" s="174">
        <f>ROUND((E11*F11),2)</f>
        <v>1051.23</v>
      </c>
    </row>
    <row r="12" spans="1:7" x14ac:dyDescent="0.2">
      <c r="A12" s="103">
        <v>2</v>
      </c>
      <c r="B12" s="10" t="s">
        <v>153</v>
      </c>
      <c r="C12" s="14" t="s">
        <v>18</v>
      </c>
      <c r="D12" s="15" t="s">
        <v>19</v>
      </c>
      <c r="E12" s="16">
        <v>208.46</v>
      </c>
      <c r="F12" s="112">
        <f>'Ед. Цени'!F22</f>
        <v>6.89</v>
      </c>
      <c r="G12" s="174">
        <f t="shared" ref="G12:G58" si="0">ROUND((E12*F12),2)</f>
        <v>1436.29</v>
      </c>
    </row>
    <row r="13" spans="1:7" x14ac:dyDescent="0.2">
      <c r="A13" s="103">
        <v>3</v>
      </c>
      <c r="B13" s="10" t="s">
        <v>154</v>
      </c>
      <c r="C13" s="14" t="s">
        <v>20</v>
      </c>
      <c r="D13" s="12" t="s">
        <v>21</v>
      </c>
      <c r="E13" s="13">
        <v>196.71498000000003</v>
      </c>
      <c r="F13" s="69">
        <f>'Ед. Цени'!F23</f>
        <v>5.5</v>
      </c>
      <c r="G13" s="174">
        <f t="shared" si="0"/>
        <v>1081.93</v>
      </c>
    </row>
    <row r="14" spans="1:7" x14ac:dyDescent="0.2">
      <c r="A14" s="103">
        <v>4</v>
      </c>
      <c r="B14" s="10" t="s">
        <v>236</v>
      </c>
      <c r="C14" s="14" t="s">
        <v>22</v>
      </c>
      <c r="D14" s="12" t="s">
        <v>21</v>
      </c>
      <c r="E14" s="13">
        <v>84.306420000000003</v>
      </c>
      <c r="F14" s="112">
        <f>'Ед. Цени'!F85</f>
        <v>24.35</v>
      </c>
      <c r="G14" s="174">
        <f t="shared" si="0"/>
        <v>2052.86</v>
      </c>
    </row>
    <row r="15" spans="1:7" ht="24" x14ac:dyDescent="0.2">
      <c r="A15" s="103">
        <v>5</v>
      </c>
      <c r="B15" s="10" t="s">
        <v>156</v>
      </c>
      <c r="C15" s="11" t="s">
        <v>23</v>
      </c>
      <c r="D15" s="12" t="s">
        <v>21</v>
      </c>
      <c r="E15" s="13">
        <v>84.306420000000003</v>
      </c>
      <c r="F15" s="69">
        <f>'Ед. Цени'!F25</f>
        <v>12.47</v>
      </c>
      <c r="G15" s="174">
        <f t="shared" si="0"/>
        <v>1051.3</v>
      </c>
    </row>
    <row r="16" spans="1:7" x14ac:dyDescent="0.2">
      <c r="A16" s="103">
        <v>6</v>
      </c>
      <c r="B16" s="10" t="s">
        <v>157</v>
      </c>
      <c r="C16" s="11" t="s">
        <v>24</v>
      </c>
      <c r="D16" s="12" t="s">
        <v>21</v>
      </c>
      <c r="E16" s="17">
        <v>281.02140000000003</v>
      </c>
      <c r="F16" s="69">
        <f>'Ед. Цени'!F26</f>
        <v>2.79</v>
      </c>
      <c r="G16" s="174">
        <f t="shared" si="0"/>
        <v>784.05</v>
      </c>
    </row>
    <row r="17" spans="1:7" x14ac:dyDescent="0.2">
      <c r="A17" s="103">
        <v>7</v>
      </c>
      <c r="B17" s="10" t="s">
        <v>158</v>
      </c>
      <c r="C17" s="11" t="s">
        <v>25</v>
      </c>
      <c r="D17" s="12" t="s">
        <v>21</v>
      </c>
      <c r="E17" s="17">
        <v>281.02140000000003</v>
      </c>
      <c r="F17" s="69">
        <f>'Ед. Цени'!F27</f>
        <v>1.98</v>
      </c>
      <c r="G17" s="174">
        <f t="shared" si="0"/>
        <v>556.41999999999996</v>
      </c>
    </row>
    <row r="18" spans="1:7" x14ac:dyDescent="0.2">
      <c r="A18" s="103">
        <v>8</v>
      </c>
      <c r="B18" s="10" t="s">
        <v>159</v>
      </c>
      <c r="C18" s="11" t="s">
        <v>26</v>
      </c>
      <c r="D18" s="12" t="s">
        <v>21</v>
      </c>
      <c r="E18" s="17">
        <v>281.02140000000003</v>
      </c>
      <c r="F18" s="69">
        <f>'Ед. Цени'!F28</f>
        <v>2.79</v>
      </c>
      <c r="G18" s="174">
        <f t="shared" si="0"/>
        <v>784.05</v>
      </c>
    </row>
    <row r="19" spans="1:7" x14ac:dyDescent="0.2">
      <c r="A19" s="103">
        <v>9</v>
      </c>
      <c r="B19" s="10" t="s">
        <v>160</v>
      </c>
      <c r="C19" s="18" t="s">
        <v>27</v>
      </c>
      <c r="D19" s="12" t="s">
        <v>19</v>
      </c>
      <c r="E19" s="17">
        <v>509.238</v>
      </c>
      <c r="F19" s="69">
        <f>'Ед. Цени'!F29</f>
        <v>2.42</v>
      </c>
      <c r="G19" s="174">
        <f t="shared" si="0"/>
        <v>1232.3599999999999</v>
      </c>
    </row>
    <row r="20" spans="1:7" x14ac:dyDescent="0.2">
      <c r="A20" s="103">
        <v>10</v>
      </c>
      <c r="B20" s="10" t="s">
        <v>161</v>
      </c>
      <c r="C20" s="11" t="s">
        <v>28</v>
      </c>
      <c r="D20" s="12" t="s">
        <v>21</v>
      </c>
      <c r="E20" s="17">
        <v>79.970000000000013</v>
      </c>
      <c r="F20" s="112">
        <f>'Ед. Цени'!F30</f>
        <v>19.04</v>
      </c>
      <c r="G20" s="174">
        <f t="shared" si="0"/>
        <v>1522.63</v>
      </c>
    </row>
    <row r="21" spans="1:7" x14ac:dyDescent="0.2">
      <c r="A21" s="103">
        <v>11</v>
      </c>
      <c r="B21" s="10" t="s">
        <v>162</v>
      </c>
      <c r="C21" s="11" t="s">
        <v>29</v>
      </c>
      <c r="D21" s="12" t="s">
        <v>21</v>
      </c>
      <c r="E21" s="17">
        <v>79.970000000000013</v>
      </c>
      <c r="F21" s="112">
        <f>'Ед. Цени'!F31</f>
        <v>6.14</v>
      </c>
      <c r="G21" s="174">
        <f t="shared" si="0"/>
        <v>491.02</v>
      </c>
    </row>
    <row r="22" spans="1:7" x14ac:dyDescent="0.2">
      <c r="A22" s="103">
        <v>12</v>
      </c>
      <c r="B22" s="10" t="s">
        <v>163</v>
      </c>
      <c r="C22" s="14" t="s">
        <v>30</v>
      </c>
      <c r="D22" s="12" t="s">
        <v>21</v>
      </c>
      <c r="E22" s="17">
        <v>15.994000000000003</v>
      </c>
      <c r="F22" s="112">
        <f>'Ед. Цени'!F32</f>
        <v>8.17</v>
      </c>
      <c r="G22" s="174">
        <f t="shared" si="0"/>
        <v>130.66999999999999</v>
      </c>
    </row>
    <row r="23" spans="1:7" x14ac:dyDescent="0.2">
      <c r="A23" s="103">
        <v>13</v>
      </c>
      <c r="B23" s="10" t="s">
        <v>164</v>
      </c>
      <c r="C23" s="14" t="s">
        <v>31</v>
      </c>
      <c r="D23" s="12" t="s">
        <v>21</v>
      </c>
      <c r="E23" s="17">
        <v>63.976000000000013</v>
      </c>
      <c r="F23" s="112">
        <f>'Ед. Цени'!F33</f>
        <v>4.75</v>
      </c>
      <c r="G23" s="174">
        <f t="shared" si="0"/>
        <v>303.89</v>
      </c>
    </row>
    <row r="24" spans="1:7" x14ac:dyDescent="0.2">
      <c r="A24" s="103">
        <v>14</v>
      </c>
      <c r="B24" s="10" t="s">
        <v>165</v>
      </c>
      <c r="C24" s="11" t="s">
        <v>32</v>
      </c>
      <c r="D24" s="12" t="s">
        <v>21</v>
      </c>
      <c r="E24" s="17">
        <v>79.970000000000013</v>
      </c>
      <c r="F24" s="112">
        <f>'Ед. Цени'!F34</f>
        <v>3.66</v>
      </c>
      <c r="G24" s="174">
        <f t="shared" si="0"/>
        <v>292.69</v>
      </c>
    </row>
    <row r="25" spans="1:7" x14ac:dyDescent="0.2">
      <c r="A25" s="103">
        <v>15</v>
      </c>
      <c r="B25" s="10" t="s">
        <v>166</v>
      </c>
      <c r="C25" s="11" t="s">
        <v>33</v>
      </c>
      <c r="D25" s="12" t="s">
        <v>21</v>
      </c>
      <c r="E25" s="17">
        <v>135.53539999999998</v>
      </c>
      <c r="F25" s="112">
        <f>'Ед. Цени'!F35</f>
        <v>17.82</v>
      </c>
      <c r="G25" s="174">
        <f t="shared" si="0"/>
        <v>2415.2399999999998</v>
      </c>
    </row>
    <row r="26" spans="1:7" x14ac:dyDescent="0.2">
      <c r="A26" s="103">
        <v>16</v>
      </c>
      <c r="B26" s="10" t="s">
        <v>167</v>
      </c>
      <c r="C26" s="11" t="s">
        <v>34</v>
      </c>
      <c r="D26" s="12" t="s">
        <v>21</v>
      </c>
      <c r="E26" s="17">
        <v>135.53539999999998</v>
      </c>
      <c r="F26" s="112">
        <f>'Ед. Цени'!F36</f>
        <v>6.14</v>
      </c>
      <c r="G26" s="174">
        <f t="shared" si="0"/>
        <v>832.19</v>
      </c>
    </row>
    <row r="27" spans="1:7" x14ac:dyDescent="0.2">
      <c r="A27" s="103">
        <v>17</v>
      </c>
      <c r="B27" s="10" t="s">
        <v>168</v>
      </c>
      <c r="C27" s="11" t="s">
        <v>35</v>
      </c>
      <c r="D27" s="12" t="s">
        <v>21</v>
      </c>
      <c r="E27" s="17">
        <v>135.53539999999998</v>
      </c>
      <c r="F27" s="112">
        <f>'Ед. Цени'!F37</f>
        <v>3.15</v>
      </c>
      <c r="G27" s="174">
        <f t="shared" si="0"/>
        <v>426.94</v>
      </c>
    </row>
    <row r="28" spans="1:7" x14ac:dyDescent="0.2">
      <c r="A28" s="103">
        <v>18</v>
      </c>
      <c r="B28" s="10" t="s">
        <v>169</v>
      </c>
      <c r="C28" s="14" t="s">
        <v>36</v>
      </c>
      <c r="D28" s="12" t="s">
        <v>19</v>
      </c>
      <c r="E28" s="13">
        <v>59.760000000000005</v>
      </c>
      <c r="F28" s="112">
        <f>'Ед. Цени'!F38</f>
        <v>1.85</v>
      </c>
      <c r="G28" s="174">
        <f t="shared" si="0"/>
        <v>110.56</v>
      </c>
    </row>
    <row r="29" spans="1:7" x14ac:dyDescent="0.2">
      <c r="A29" s="103">
        <v>19</v>
      </c>
      <c r="B29" s="10" t="s">
        <v>170</v>
      </c>
      <c r="C29" s="20" t="s">
        <v>37</v>
      </c>
      <c r="D29" s="12" t="s">
        <v>38</v>
      </c>
      <c r="E29" s="13">
        <v>1.494</v>
      </c>
      <c r="F29" s="112">
        <f>'Ед. Цени'!F39</f>
        <v>44.73</v>
      </c>
      <c r="G29" s="174">
        <f t="shared" si="0"/>
        <v>66.83</v>
      </c>
    </row>
    <row r="30" spans="1:7" x14ac:dyDescent="0.2">
      <c r="A30" s="103">
        <v>20</v>
      </c>
      <c r="B30" s="10" t="s">
        <v>171</v>
      </c>
      <c r="C30" s="11" t="s">
        <v>39</v>
      </c>
      <c r="D30" s="12" t="s">
        <v>21</v>
      </c>
      <c r="E30" s="13">
        <v>20.846000000000004</v>
      </c>
      <c r="F30" s="112">
        <f>'Ед. Цени'!F40</f>
        <v>3.09</v>
      </c>
      <c r="G30" s="174">
        <f t="shared" si="0"/>
        <v>64.41</v>
      </c>
    </row>
    <row r="31" spans="1:7" x14ac:dyDescent="0.2">
      <c r="A31" s="103">
        <v>21</v>
      </c>
      <c r="B31" s="10" t="s">
        <v>172</v>
      </c>
      <c r="C31" s="22" t="s">
        <v>40</v>
      </c>
      <c r="D31" s="12" t="s">
        <v>21</v>
      </c>
      <c r="E31" s="13">
        <v>20.846000000000004</v>
      </c>
      <c r="F31" s="112">
        <f>'Ед. Цени'!F41</f>
        <v>2.2999999999999998</v>
      </c>
      <c r="G31" s="174">
        <f t="shared" si="0"/>
        <v>47.95</v>
      </c>
    </row>
    <row r="32" spans="1:7" x14ac:dyDescent="0.2">
      <c r="A32" s="103">
        <v>22</v>
      </c>
      <c r="B32" s="10" t="s">
        <v>174</v>
      </c>
      <c r="C32" s="11" t="s">
        <v>41</v>
      </c>
      <c r="D32" s="12" t="s">
        <v>17</v>
      </c>
      <c r="E32" s="13">
        <v>145.4</v>
      </c>
      <c r="F32" s="112">
        <f>'Ед. Цени'!F43</f>
        <v>26.13</v>
      </c>
      <c r="G32" s="174">
        <f t="shared" si="0"/>
        <v>3799.3</v>
      </c>
    </row>
    <row r="33" spans="1:7" x14ac:dyDescent="0.2">
      <c r="A33" s="103">
        <v>23</v>
      </c>
      <c r="B33" s="10" t="s">
        <v>175</v>
      </c>
      <c r="C33" s="11" t="s">
        <v>93</v>
      </c>
      <c r="D33" s="12" t="s">
        <v>17</v>
      </c>
      <c r="E33" s="13">
        <v>4</v>
      </c>
      <c r="F33" s="112">
        <f>'Ед. Цени'!F44</f>
        <v>7.79</v>
      </c>
      <c r="G33" s="174">
        <f t="shared" si="0"/>
        <v>31.16</v>
      </c>
    </row>
    <row r="34" spans="1:7" x14ac:dyDescent="0.2">
      <c r="A34" s="103">
        <v>24</v>
      </c>
      <c r="B34" s="10" t="s">
        <v>176</v>
      </c>
      <c r="C34" s="85" t="s">
        <v>44</v>
      </c>
      <c r="D34" s="12" t="s">
        <v>38</v>
      </c>
      <c r="E34" s="85">
        <v>8</v>
      </c>
      <c r="F34" s="112">
        <f>'Ед. Цени'!F45</f>
        <v>14.87</v>
      </c>
      <c r="G34" s="174">
        <f t="shared" si="0"/>
        <v>118.96</v>
      </c>
    </row>
    <row r="35" spans="1:7" x14ac:dyDescent="0.2">
      <c r="A35" s="103">
        <v>25</v>
      </c>
      <c r="B35" s="222" t="s">
        <v>258</v>
      </c>
      <c r="C35" s="85" t="s">
        <v>92</v>
      </c>
      <c r="D35" s="12" t="s">
        <v>38</v>
      </c>
      <c r="E35" s="106">
        <v>1</v>
      </c>
      <c r="F35" s="73">
        <f>'Ед. Цени'!F108</f>
        <v>57.71</v>
      </c>
      <c r="G35" s="174">
        <f t="shared" si="0"/>
        <v>57.71</v>
      </c>
    </row>
    <row r="36" spans="1:7" x14ac:dyDescent="0.2">
      <c r="A36" s="103">
        <v>26</v>
      </c>
      <c r="B36" s="222" t="s">
        <v>270</v>
      </c>
      <c r="C36" s="85" t="s">
        <v>97</v>
      </c>
      <c r="D36" s="12" t="s">
        <v>38</v>
      </c>
      <c r="E36" s="18">
        <v>3</v>
      </c>
      <c r="F36" s="73">
        <f>'Ед. Цени'!F119</f>
        <v>40.51</v>
      </c>
      <c r="G36" s="174">
        <f t="shared" si="0"/>
        <v>121.53</v>
      </c>
    </row>
    <row r="37" spans="1:7" x14ac:dyDescent="0.2">
      <c r="A37" s="103">
        <v>27</v>
      </c>
      <c r="B37" s="222" t="s">
        <v>259</v>
      </c>
      <c r="C37" s="85" t="s">
        <v>91</v>
      </c>
      <c r="D37" s="12" t="s">
        <v>38</v>
      </c>
      <c r="E37" s="18">
        <v>1</v>
      </c>
      <c r="F37" s="73">
        <f>'Ед. Цени'!F109</f>
        <v>41.12</v>
      </c>
      <c r="G37" s="174">
        <f t="shared" si="0"/>
        <v>41.12</v>
      </c>
    </row>
    <row r="38" spans="1:7" x14ac:dyDescent="0.2">
      <c r="A38" s="103">
        <v>28</v>
      </c>
      <c r="B38" s="10" t="s">
        <v>180</v>
      </c>
      <c r="C38" s="85" t="s">
        <v>46</v>
      </c>
      <c r="D38" s="12" t="s">
        <v>38</v>
      </c>
      <c r="E38" s="106">
        <v>26.575000000000003</v>
      </c>
      <c r="F38" s="112">
        <f>'Ед. Цени'!F49</f>
        <v>15.4</v>
      </c>
      <c r="G38" s="174">
        <f t="shared" si="0"/>
        <v>409.26</v>
      </c>
    </row>
    <row r="39" spans="1:7" x14ac:dyDescent="0.2">
      <c r="A39" s="103">
        <v>29</v>
      </c>
      <c r="B39" s="10" t="s">
        <v>181</v>
      </c>
      <c r="C39" s="85" t="s">
        <v>90</v>
      </c>
      <c r="D39" s="12" t="s">
        <v>38</v>
      </c>
      <c r="E39" s="106">
        <v>1</v>
      </c>
      <c r="F39" s="112">
        <f>'Ед. Цени'!F50</f>
        <v>15.9</v>
      </c>
      <c r="G39" s="174">
        <f t="shared" si="0"/>
        <v>15.9</v>
      </c>
    </row>
    <row r="40" spans="1:7" x14ac:dyDescent="0.2">
      <c r="A40" s="103">
        <v>30</v>
      </c>
      <c r="B40" s="10" t="s">
        <v>182</v>
      </c>
      <c r="C40" s="85" t="s">
        <v>89</v>
      </c>
      <c r="D40" s="12" t="s">
        <v>38</v>
      </c>
      <c r="E40" s="106">
        <v>1</v>
      </c>
      <c r="F40" s="112">
        <f>'Ед. Цени'!F51</f>
        <v>18.32</v>
      </c>
      <c r="G40" s="174">
        <f t="shared" si="0"/>
        <v>18.32</v>
      </c>
    </row>
    <row r="41" spans="1:7" x14ac:dyDescent="0.2">
      <c r="A41" s="103">
        <v>31</v>
      </c>
      <c r="B41" s="10" t="s">
        <v>183</v>
      </c>
      <c r="C41" s="85" t="s">
        <v>49</v>
      </c>
      <c r="D41" s="12" t="s">
        <v>38</v>
      </c>
      <c r="E41" s="85">
        <v>3</v>
      </c>
      <c r="F41" s="112">
        <f>'Ед. Цени'!F52</f>
        <v>35.82</v>
      </c>
      <c r="G41" s="174">
        <f t="shared" si="0"/>
        <v>107.46</v>
      </c>
    </row>
    <row r="42" spans="1:7" x14ac:dyDescent="0.2">
      <c r="A42" s="103">
        <v>32</v>
      </c>
      <c r="B42" s="10" t="s">
        <v>184</v>
      </c>
      <c r="C42" s="85" t="s">
        <v>50</v>
      </c>
      <c r="D42" s="12" t="s">
        <v>38</v>
      </c>
      <c r="E42" s="106">
        <v>1</v>
      </c>
      <c r="F42" s="112">
        <f>'Ед. Цени'!F53</f>
        <v>324.5</v>
      </c>
      <c r="G42" s="174">
        <f t="shared" si="0"/>
        <v>324.5</v>
      </c>
    </row>
    <row r="43" spans="1:7" x14ac:dyDescent="0.2">
      <c r="A43" s="103">
        <v>33</v>
      </c>
      <c r="B43" s="10" t="s">
        <v>185</v>
      </c>
      <c r="C43" s="85" t="s">
        <v>51</v>
      </c>
      <c r="D43" s="12" t="s">
        <v>38</v>
      </c>
      <c r="E43" s="85">
        <v>3</v>
      </c>
      <c r="F43" s="112">
        <f>'Ед. Цени'!F54</f>
        <v>39.450000000000003</v>
      </c>
      <c r="G43" s="174">
        <f t="shared" si="0"/>
        <v>118.35</v>
      </c>
    </row>
    <row r="44" spans="1:7" x14ac:dyDescent="0.2">
      <c r="A44" s="103">
        <v>34</v>
      </c>
      <c r="B44" s="10" t="s">
        <v>186</v>
      </c>
      <c r="C44" s="85" t="s">
        <v>52</v>
      </c>
      <c r="D44" s="12" t="s">
        <v>38</v>
      </c>
      <c r="E44" s="18">
        <v>2</v>
      </c>
      <c r="F44" s="112">
        <f>'Ед. Цени'!F55</f>
        <v>150.69999999999999</v>
      </c>
      <c r="G44" s="174">
        <f t="shared" si="0"/>
        <v>301.39999999999998</v>
      </c>
    </row>
    <row r="45" spans="1:7" x14ac:dyDescent="0.2">
      <c r="A45" s="103">
        <v>35</v>
      </c>
      <c r="B45" s="103" t="s">
        <v>255</v>
      </c>
      <c r="C45" s="85" t="s">
        <v>53</v>
      </c>
      <c r="D45" s="12" t="s">
        <v>38</v>
      </c>
      <c r="E45" s="18">
        <v>2</v>
      </c>
      <c r="F45" s="112">
        <f>'Ед. Цени'!F105</f>
        <v>53.66</v>
      </c>
      <c r="G45" s="174">
        <f t="shared" si="0"/>
        <v>107.32</v>
      </c>
    </row>
    <row r="46" spans="1:7" x14ac:dyDescent="0.2">
      <c r="A46" s="103">
        <v>36</v>
      </c>
      <c r="B46" s="10" t="s">
        <v>188</v>
      </c>
      <c r="C46" s="85" t="s">
        <v>88</v>
      </c>
      <c r="D46" s="12" t="s">
        <v>38</v>
      </c>
      <c r="E46" s="106">
        <v>1</v>
      </c>
      <c r="F46" s="73">
        <f>'Ед. Цени'!F57</f>
        <v>132.99</v>
      </c>
      <c r="G46" s="174">
        <f t="shared" si="0"/>
        <v>132.99</v>
      </c>
    </row>
    <row r="47" spans="1:7" x14ac:dyDescent="0.2">
      <c r="A47" s="103">
        <v>37</v>
      </c>
      <c r="B47" s="10" t="s">
        <v>189</v>
      </c>
      <c r="C47" s="11" t="s">
        <v>55</v>
      </c>
      <c r="D47" s="12" t="s">
        <v>38</v>
      </c>
      <c r="E47" s="18">
        <v>3</v>
      </c>
      <c r="F47" s="112">
        <f>'Ед. Цени'!F58</f>
        <v>39.450000000000003</v>
      </c>
      <c r="G47" s="174">
        <f t="shared" si="0"/>
        <v>118.35</v>
      </c>
    </row>
    <row r="48" spans="1:7" x14ac:dyDescent="0.2">
      <c r="A48" s="103">
        <v>38</v>
      </c>
      <c r="B48" s="10" t="s">
        <v>190</v>
      </c>
      <c r="C48" s="11" t="s">
        <v>56</v>
      </c>
      <c r="D48" s="12" t="s">
        <v>17</v>
      </c>
      <c r="E48" s="13">
        <v>149.4</v>
      </c>
      <c r="F48" s="112">
        <f>'Ед. Цени'!F59</f>
        <v>1.78</v>
      </c>
      <c r="G48" s="174">
        <f t="shared" si="0"/>
        <v>265.93</v>
      </c>
    </row>
    <row r="49" spans="1:7" x14ac:dyDescent="0.2">
      <c r="A49" s="103">
        <v>39</v>
      </c>
      <c r="B49" s="10" t="s">
        <v>191</v>
      </c>
      <c r="C49" s="18" t="s">
        <v>57</v>
      </c>
      <c r="D49" s="12" t="s">
        <v>17</v>
      </c>
      <c r="E49" s="13">
        <v>149.4</v>
      </c>
      <c r="F49" s="112">
        <f>'Ед. Цени'!F60</f>
        <v>1.61</v>
      </c>
      <c r="G49" s="174">
        <f t="shared" si="0"/>
        <v>240.53</v>
      </c>
    </row>
    <row r="50" spans="1:7" x14ac:dyDescent="0.2">
      <c r="A50" s="103">
        <v>40</v>
      </c>
      <c r="B50" s="10" t="s">
        <v>192</v>
      </c>
      <c r="C50" s="27" t="s">
        <v>58</v>
      </c>
      <c r="D50" s="12" t="s">
        <v>38</v>
      </c>
      <c r="E50" s="13">
        <v>3</v>
      </c>
      <c r="F50" s="112">
        <f>'Ед. Цени'!F61</f>
        <v>10.45</v>
      </c>
      <c r="G50" s="174">
        <f t="shared" si="0"/>
        <v>31.35</v>
      </c>
    </row>
    <row r="51" spans="1:7" x14ac:dyDescent="0.2">
      <c r="A51" s="103">
        <v>41</v>
      </c>
      <c r="B51" s="10" t="s">
        <v>193</v>
      </c>
      <c r="C51" s="28" t="s">
        <v>59</v>
      </c>
      <c r="D51" s="12" t="s">
        <v>38</v>
      </c>
      <c r="E51" s="13">
        <v>2</v>
      </c>
      <c r="F51" s="112">
        <f>'Ед. Цени'!F62</f>
        <v>18.52</v>
      </c>
      <c r="G51" s="174">
        <f t="shared" si="0"/>
        <v>37.04</v>
      </c>
    </row>
    <row r="52" spans="1:7" x14ac:dyDescent="0.2">
      <c r="A52" s="103">
        <v>42</v>
      </c>
      <c r="B52" s="10" t="s">
        <v>194</v>
      </c>
      <c r="C52" s="28" t="s">
        <v>60</v>
      </c>
      <c r="D52" s="12" t="s">
        <v>38</v>
      </c>
      <c r="E52" s="13">
        <v>1</v>
      </c>
      <c r="F52" s="112">
        <f>'Ед. Цени'!F63</f>
        <v>18.52</v>
      </c>
      <c r="G52" s="174">
        <f t="shared" si="0"/>
        <v>18.52</v>
      </c>
    </row>
    <row r="53" spans="1:7" x14ac:dyDescent="0.2">
      <c r="A53" s="103">
        <v>43</v>
      </c>
      <c r="B53" s="10" t="s">
        <v>195</v>
      </c>
      <c r="C53" s="11" t="s">
        <v>61</v>
      </c>
      <c r="D53" s="12" t="s">
        <v>17</v>
      </c>
      <c r="E53" s="13">
        <v>4</v>
      </c>
      <c r="F53" s="139">
        <f>'Ед. Цени'!F64</f>
        <v>8.9499999999999993</v>
      </c>
      <c r="G53" s="174">
        <f t="shared" si="0"/>
        <v>35.799999999999997</v>
      </c>
    </row>
    <row r="54" spans="1:7" x14ac:dyDescent="0.2">
      <c r="A54" s="103">
        <v>44</v>
      </c>
      <c r="B54" s="10" t="s">
        <v>196</v>
      </c>
      <c r="C54" s="11" t="s">
        <v>62</v>
      </c>
      <c r="D54" s="12" t="s">
        <v>21</v>
      </c>
      <c r="E54" s="13">
        <v>83.384000000000015</v>
      </c>
      <c r="F54" s="112">
        <f>'Ед. Цени'!F65</f>
        <v>18.940000000000001</v>
      </c>
      <c r="G54" s="174">
        <f t="shared" si="0"/>
        <v>1579.29</v>
      </c>
    </row>
    <row r="55" spans="1:7" x14ac:dyDescent="0.2">
      <c r="A55" s="103">
        <v>45</v>
      </c>
      <c r="B55" s="10" t="s">
        <v>197</v>
      </c>
      <c r="C55" s="11" t="s">
        <v>63</v>
      </c>
      <c r="D55" s="12" t="s">
        <v>19</v>
      </c>
      <c r="E55" s="13">
        <v>208.46</v>
      </c>
      <c r="F55" s="112">
        <f>'Ед. Цени'!F66</f>
        <v>1.77</v>
      </c>
      <c r="G55" s="174">
        <f t="shared" si="0"/>
        <v>368.97</v>
      </c>
    </row>
    <row r="56" spans="1:7" x14ac:dyDescent="0.2">
      <c r="A56" s="103">
        <v>46</v>
      </c>
      <c r="B56" s="10" t="s">
        <v>198</v>
      </c>
      <c r="C56" s="11" t="s">
        <v>134</v>
      </c>
      <c r="D56" s="12" t="s">
        <v>64</v>
      </c>
      <c r="E56" s="13">
        <v>25.015199999999997</v>
      </c>
      <c r="F56" s="112">
        <f>'Ед. Цени'!F67</f>
        <v>125.37</v>
      </c>
      <c r="G56" s="174">
        <f t="shared" si="0"/>
        <v>3136.16</v>
      </c>
    </row>
    <row r="57" spans="1:7" x14ac:dyDescent="0.2">
      <c r="A57" s="103">
        <v>47</v>
      </c>
      <c r="B57" s="10" t="s">
        <v>199</v>
      </c>
      <c r="C57" s="11" t="s">
        <v>65</v>
      </c>
      <c r="D57" s="12" t="s">
        <v>17</v>
      </c>
      <c r="E57" s="13">
        <v>149.4</v>
      </c>
      <c r="F57" s="112">
        <f>'Ед. Цени'!F68</f>
        <v>0.92</v>
      </c>
      <c r="G57" s="174">
        <f t="shared" si="0"/>
        <v>137.44999999999999</v>
      </c>
    </row>
    <row r="58" spans="1:7" ht="12.75" thickBot="1" x14ac:dyDescent="0.25">
      <c r="A58" s="103">
        <v>48</v>
      </c>
      <c r="B58" s="10" t="s">
        <v>200</v>
      </c>
      <c r="C58" s="30" t="s">
        <v>66</v>
      </c>
      <c r="D58" s="31" t="s">
        <v>17</v>
      </c>
      <c r="E58" s="13">
        <v>149.4</v>
      </c>
      <c r="F58" s="112">
        <f>'Ед. Цени'!F69</f>
        <v>1.41</v>
      </c>
      <c r="G58" s="174">
        <f t="shared" si="0"/>
        <v>210.65</v>
      </c>
    </row>
    <row r="59" spans="1:7" ht="12.75" thickTop="1" x14ac:dyDescent="0.2">
      <c r="A59" s="107"/>
      <c r="B59" s="136"/>
      <c r="C59" s="32" t="s">
        <v>67</v>
      </c>
      <c r="D59" s="33"/>
      <c r="E59" s="34"/>
      <c r="F59" s="33"/>
      <c r="G59" s="175">
        <f>SUM(G11:G58)</f>
        <v>28620.829999999998</v>
      </c>
    </row>
    <row r="60" spans="1:7" x14ac:dyDescent="0.2">
      <c r="A60" s="273" t="s">
        <v>68</v>
      </c>
      <c r="B60" s="274"/>
      <c r="C60" s="274"/>
      <c r="D60" s="275"/>
      <c r="E60" s="36"/>
      <c r="F60" s="35"/>
      <c r="G60" s="172"/>
    </row>
    <row r="61" spans="1:7" x14ac:dyDescent="0.2">
      <c r="A61" s="86">
        <v>1</v>
      </c>
      <c r="B61" s="75" t="s">
        <v>201</v>
      </c>
      <c r="C61" s="87" t="s">
        <v>69</v>
      </c>
      <c r="D61" s="86" t="s">
        <v>21</v>
      </c>
      <c r="E61" s="39">
        <v>29.44</v>
      </c>
      <c r="F61" s="22">
        <f>'Ед. Цени'!F70</f>
        <v>7.8</v>
      </c>
      <c r="G61" s="176">
        <f>ROUND((E61*F61),2)</f>
        <v>229.63</v>
      </c>
    </row>
    <row r="62" spans="1:7" x14ac:dyDescent="0.2">
      <c r="A62" s="86">
        <v>2</v>
      </c>
      <c r="B62" s="75" t="s">
        <v>202</v>
      </c>
      <c r="C62" s="87" t="s">
        <v>70</v>
      </c>
      <c r="D62" s="86" t="s">
        <v>21</v>
      </c>
      <c r="E62" s="39">
        <v>12.609999999999996</v>
      </c>
      <c r="F62" s="22">
        <f>'Ед. Цени'!F71</f>
        <v>16.63</v>
      </c>
      <c r="G62" s="176">
        <f t="shared" ref="G62:G76" si="1">ROUND((E62*F62),2)</f>
        <v>209.7</v>
      </c>
    </row>
    <row r="63" spans="1:7" x14ac:dyDescent="0.2">
      <c r="A63" s="86">
        <v>3</v>
      </c>
      <c r="B63" s="75" t="s">
        <v>203</v>
      </c>
      <c r="C63" s="89" t="s">
        <v>71</v>
      </c>
      <c r="D63" s="86" t="s">
        <v>19</v>
      </c>
      <c r="E63" s="39">
        <v>69.599999999999994</v>
      </c>
      <c r="F63" s="22">
        <f>'Ед. Цени'!F72</f>
        <v>6.09</v>
      </c>
      <c r="G63" s="176">
        <f t="shared" si="1"/>
        <v>423.86</v>
      </c>
    </row>
    <row r="64" spans="1:7" x14ac:dyDescent="0.2">
      <c r="A64" s="86">
        <v>4</v>
      </c>
      <c r="B64" s="75" t="s">
        <v>204</v>
      </c>
      <c r="C64" s="87" t="s">
        <v>72</v>
      </c>
      <c r="D64" s="86" t="s">
        <v>21</v>
      </c>
      <c r="E64" s="39">
        <v>15.13</v>
      </c>
      <c r="F64" s="22">
        <f>'Ед. Цени'!F73</f>
        <v>1.64</v>
      </c>
      <c r="G64" s="176">
        <f t="shared" si="1"/>
        <v>24.81</v>
      </c>
    </row>
    <row r="65" spans="1:7" x14ac:dyDescent="0.2">
      <c r="A65" s="86">
        <v>5</v>
      </c>
      <c r="B65" s="75" t="s">
        <v>205</v>
      </c>
      <c r="C65" s="87" t="s">
        <v>73</v>
      </c>
      <c r="D65" s="86" t="s">
        <v>21</v>
      </c>
      <c r="E65" s="39">
        <v>43.5</v>
      </c>
      <c r="F65" s="22">
        <f>'Ед. Цени'!F74</f>
        <v>8.5399999999999991</v>
      </c>
      <c r="G65" s="176">
        <f t="shared" si="1"/>
        <v>371.49</v>
      </c>
    </row>
    <row r="66" spans="1:7" x14ac:dyDescent="0.2">
      <c r="A66" s="86">
        <v>6</v>
      </c>
      <c r="B66" s="10" t="s">
        <v>158</v>
      </c>
      <c r="C66" s="89" t="s">
        <v>25</v>
      </c>
      <c r="D66" s="86" t="s">
        <v>21</v>
      </c>
      <c r="E66" s="39">
        <v>43.5</v>
      </c>
      <c r="F66" s="69">
        <f>'Ед. Цени'!F27</f>
        <v>1.98</v>
      </c>
      <c r="G66" s="176">
        <f t="shared" si="1"/>
        <v>86.13</v>
      </c>
    </row>
    <row r="67" spans="1:7" x14ac:dyDescent="0.2">
      <c r="A67" s="86">
        <v>7</v>
      </c>
      <c r="B67" s="75" t="s">
        <v>206</v>
      </c>
      <c r="C67" s="87" t="s">
        <v>74</v>
      </c>
      <c r="D67" s="86" t="s">
        <v>19</v>
      </c>
      <c r="E67" s="39">
        <v>725</v>
      </c>
      <c r="F67" s="22">
        <f>'Ед. Цени'!F75</f>
        <v>1.78</v>
      </c>
      <c r="G67" s="176">
        <f t="shared" si="1"/>
        <v>1290.5</v>
      </c>
    </row>
    <row r="68" spans="1:7" x14ac:dyDescent="0.2">
      <c r="A68" s="86">
        <v>8</v>
      </c>
      <c r="B68" s="75" t="s">
        <v>207</v>
      </c>
      <c r="C68" s="87" t="s">
        <v>75</v>
      </c>
      <c r="D68" s="86" t="s">
        <v>21</v>
      </c>
      <c r="E68" s="39">
        <v>34.799999999999997</v>
      </c>
      <c r="F68" s="22">
        <f>'Ед. Цени'!F76</f>
        <v>1.78</v>
      </c>
      <c r="G68" s="176">
        <f t="shared" si="1"/>
        <v>61.94</v>
      </c>
    </row>
    <row r="69" spans="1:7" x14ac:dyDescent="0.2">
      <c r="A69" s="86">
        <v>9</v>
      </c>
      <c r="B69" s="75" t="s">
        <v>208</v>
      </c>
      <c r="C69" s="87" t="s">
        <v>76</v>
      </c>
      <c r="D69" s="86" t="s">
        <v>77</v>
      </c>
      <c r="E69" s="39">
        <v>50.75</v>
      </c>
      <c r="F69" s="22">
        <f>'Ед. Цени'!F77</f>
        <v>21.54</v>
      </c>
      <c r="G69" s="176">
        <f t="shared" si="1"/>
        <v>1093.1600000000001</v>
      </c>
    </row>
    <row r="70" spans="1:7" x14ac:dyDescent="0.2">
      <c r="A70" s="86">
        <v>10</v>
      </c>
      <c r="B70" s="75" t="s">
        <v>209</v>
      </c>
      <c r="C70" s="87" t="s">
        <v>78</v>
      </c>
      <c r="D70" s="86" t="s">
        <v>79</v>
      </c>
      <c r="E70" s="39">
        <v>100</v>
      </c>
      <c r="F70" s="22">
        <f>'Ед. Цени'!F78</f>
        <v>6.93</v>
      </c>
      <c r="G70" s="176">
        <f t="shared" si="1"/>
        <v>693</v>
      </c>
    </row>
    <row r="71" spans="1:7" x14ac:dyDescent="0.2">
      <c r="A71" s="86">
        <v>11</v>
      </c>
      <c r="B71" s="75" t="s">
        <v>210</v>
      </c>
      <c r="C71" s="87" t="s">
        <v>80</v>
      </c>
      <c r="D71" s="86" t="s">
        <v>79</v>
      </c>
      <c r="E71" s="39">
        <v>100</v>
      </c>
      <c r="F71" s="22">
        <f>'Ед. Цени'!F79</f>
        <v>27.54</v>
      </c>
      <c r="G71" s="176">
        <f t="shared" si="1"/>
        <v>2754</v>
      </c>
    </row>
    <row r="72" spans="1:7" x14ac:dyDescent="0.2">
      <c r="A72" s="86">
        <v>12</v>
      </c>
      <c r="B72" s="75" t="s">
        <v>211</v>
      </c>
      <c r="C72" s="87" t="s">
        <v>81</v>
      </c>
      <c r="D72" s="86" t="s">
        <v>19</v>
      </c>
      <c r="E72" s="39">
        <v>81.2</v>
      </c>
      <c r="F72" s="22">
        <f>'Ед. Цени'!F80</f>
        <v>7.88</v>
      </c>
      <c r="G72" s="176">
        <f t="shared" si="1"/>
        <v>639.86</v>
      </c>
    </row>
    <row r="73" spans="1:7" x14ac:dyDescent="0.2">
      <c r="A73" s="86">
        <v>13</v>
      </c>
      <c r="B73" s="75" t="s">
        <v>212</v>
      </c>
      <c r="C73" s="87" t="s">
        <v>82</v>
      </c>
      <c r="D73" s="86" t="s">
        <v>19</v>
      </c>
      <c r="E73" s="39">
        <v>81.2</v>
      </c>
      <c r="F73" s="22">
        <f>'Ед. Цени'!F81</f>
        <v>14.48</v>
      </c>
      <c r="G73" s="176">
        <f t="shared" si="1"/>
        <v>1175.78</v>
      </c>
    </row>
    <row r="74" spans="1:7" x14ac:dyDescent="0.2">
      <c r="A74" s="86">
        <v>14</v>
      </c>
      <c r="B74" s="75" t="s">
        <v>213</v>
      </c>
      <c r="C74" s="87" t="s">
        <v>83</v>
      </c>
      <c r="D74" s="86" t="s">
        <v>19</v>
      </c>
      <c r="E74" s="39">
        <v>659.75</v>
      </c>
      <c r="F74" s="22">
        <f>'Ед. Цени'!F82</f>
        <v>11.72</v>
      </c>
      <c r="G74" s="176">
        <f t="shared" si="1"/>
        <v>7732.27</v>
      </c>
    </row>
    <row r="75" spans="1:7" x14ac:dyDescent="0.2">
      <c r="A75" s="86">
        <v>15</v>
      </c>
      <c r="B75" s="75" t="s">
        <v>214</v>
      </c>
      <c r="C75" s="87" t="s">
        <v>84</v>
      </c>
      <c r="D75" s="86" t="s">
        <v>19</v>
      </c>
      <c r="E75" s="39">
        <v>870</v>
      </c>
      <c r="F75" s="22">
        <f>'Ед. Цени'!F83</f>
        <v>1.89</v>
      </c>
      <c r="G75" s="176">
        <f t="shared" si="1"/>
        <v>1644.3</v>
      </c>
    </row>
    <row r="76" spans="1:7" x14ac:dyDescent="0.2">
      <c r="A76" s="86">
        <v>16</v>
      </c>
      <c r="B76" s="75" t="s">
        <v>215</v>
      </c>
      <c r="C76" s="87" t="s">
        <v>85</v>
      </c>
      <c r="D76" s="86" t="s">
        <v>77</v>
      </c>
      <c r="E76" s="39">
        <v>104.39999999999999</v>
      </c>
      <c r="F76" s="22">
        <f>'Ед. Цени'!F84</f>
        <v>134.12</v>
      </c>
      <c r="G76" s="176">
        <f t="shared" si="1"/>
        <v>14002.13</v>
      </c>
    </row>
    <row r="77" spans="1:7" x14ac:dyDescent="0.2">
      <c r="A77" s="66"/>
      <c r="B77" s="119"/>
      <c r="C77" s="42"/>
      <c r="D77" s="35"/>
      <c r="E77" s="36"/>
      <c r="F77" s="35"/>
      <c r="G77" s="172"/>
    </row>
    <row r="78" spans="1:7" ht="12.75" thickBot="1" x14ac:dyDescent="0.25">
      <c r="A78" s="66"/>
      <c r="B78" s="119"/>
      <c r="C78" s="42" t="s">
        <v>86</v>
      </c>
      <c r="D78" s="35"/>
      <c r="E78" s="36"/>
      <c r="F78" s="35"/>
      <c r="G78" s="172">
        <f>SUM(G61:G76)</f>
        <v>32432.559999999998</v>
      </c>
    </row>
    <row r="79" spans="1:7" x14ac:dyDescent="0.2">
      <c r="A79" s="79"/>
      <c r="B79" s="123"/>
      <c r="C79" s="50" t="s">
        <v>87</v>
      </c>
      <c r="D79" s="51"/>
      <c r="E79" s="52"/>
      <c r="F79" s="51"/>
      <c r="G79" s="164">
        <f>SUM(G59+G78)</f>
        <v>61053.39</v>
      </c>
    </row>
    <row r="80" spans="1:7" x14ac:dyDescent="0.2">
      <c r="A80" s="80"/>
      <c r="B80" s="124"/>
      <c r="C80" s="44" t="s">
        <v>138</v>
      </c>
      <c r="D80" s="45"/>
      <c r="E80" s="46"/>
      <c r="F80" s="45"/>
      <c r="G80" s="165">
        <f>+G78*0.2</f>
        <v>6486.5119999999997</v>
      </c>
    </row>
    <row r="81" spans="1:7" ht="12.75" thickBot="1" x14ac:dyDescent="0.25">
      <c r="A81" s="81"/>
      <c r="B81" s="125"/>
      <c r="C81" s="53" t="s">
        <v>136</v>
      </c>
      <c r="D81" s="54"/>
      <c r="E81" s="55"/>
      <c r="F81" s="54"/>
      <c r="G81" s="166">
        <f>+G80+G79</f>
        <v>67539.902000000002</v>
      </c>
    </row>
  </sheetData>
  <autoFilter ref="A9:G81"/>
  <mergeCells count="11">
    <mergeCell ref="A10:D10"/>
    <mergeCell ref="A60:D60"/>
    <mergeCell ref="A1:G1"/>
    <mergeCell ref="A2:G2"/>
    <mergeCell ref="A4:G4"/>
    <mergeCell ref="A6:A8"/>
    <mergeCell ref="C6:C8"/>
    <mergeCell ref="D6:D8"/>
    <mergeCell ref="E6:E8"/>
    <mergeCell ref="F6:F8"/>
    <mergeCell ref="G6:G8"/>
  </mergeCells>
  <pageMargins left="0.7" right="0.7" top="0.75" bottom="0.75" header="0.3" footer="0.3"/>
  <pageSetup paperSize="9" scale="8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73"/>
  <sheetViews>
    <sheetView zoomScale="110" zoomScaleNormal="110" workbookViewId="0">
      <selection activeCell="I4" sqref="I4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5.42578125" style="56" bestFit="1" customWidth="1"/>
    <col min="5" max="5" width="12" style="56" customWidth="1"/>
    <col min="6" max="6" width="8.5703125" style="56" customWidth="1"/>
    <col min="7" max="7" width="13.7109375" style="181" bestFit="1" customWidth="1"/>
    <col min="8" max="8" width="9.140625" style="56"/>
    <col min="9" max="9" width="25.140625" style="56" customWidth="1"/>
    <col min="10" max="16384" width="9.140625" style="56"/>
  </cols>
  <sheetData>
    <row r="1" spans="1:7" x14ac:dyDescent="0.2">
      <c r="A1" s="267" t="s">
        <v>139</v>
      </c>
      <c r="B1" s="267"/>
      <c r="C1" s="267"/>
      <c r="D1" s="267"/>
      <c r="E1" s="267"/>
      <c r="F1" s="267"/>
      <c r="G1" s="267"/>
    </row>
    <row r="2" spans="1:7" x14ac:dyDescent="0.2">
      <c r="A2" s="268" t="s">
        <v>0</v>
      </c>
      <c r="B2" s="268"/>
      <c r="C2" s="268"/>
      <c r="D2" s="268"/>
      <c r="E2" s="268"/>
      <c r="F2" s="268"/>
      <c r="G2" s="268"/>
    </row>
    <row r="3" spans="1:7" x14ac:dyDescent="0.2">
      <c r="A3" s="211"/>
      <c r="B3" s="211"/>
      <c r="C3" s="58"/>
      <c r="D3" s="58"/>
      <c r="E3" s="58"/>
      <c r="F3" s="59"/>
      <c r="G3" s="167"/>
    </row>
    <row r="4" spans="1:7" x14ac:dyDescent="0.2">
      <c r="A4" s="269" t="s">
        <v>151</v>
      </c>
      <c r="B4" s="269"/>
      <c r="C4" s="269"/>
      <c r="D4" s="269"/>
      <c r="E4" s="269"/>
      <c r="F4" s="269"/>
      <c r="G4" s="269"/>
    </row>
    <row r="5" spans="1:7" ht="12.75" thickBot="1" x14ac:dyDescent="0.25">
      <c r="A5" s="64"/>
      <c r="B5" s="64"/>
      <c r="C5" s="65"/>
      <c r="D5" s="65"/>
      <c r="E5" s="65"/>
      <c r="F5" s="65"/>
      <c r="G5" s="169"/>
    </row>
    <row r="6" spans="1:7" ht="12.75" thickTop="1" x14ac:dyDescent="0.2">
      <c r="A6" s="279" t="s">
        <v>9</v>
      </c>
      <c r="B6" s="129"/>
      <c r="C6" s="261" t="s">
        <v>10</v>
      </c>
      <c r="D6" s="261" t="s">
        <v>11</v>
      </c>
      <c r="E6" s="261" t="s">
        <v>12</v>
      </c>
      <c r="F6" s="261" t="s">
        <v>13</v>
      </c>
      <c r="G6" s="264" t="s">
        <v>14</v>
      </c>
    </row>
    <row r="7" spans="1:7" x14ac:dyDescent="0.2">
      <c r="A7" s="280"/>
      <c r="B7" s="130"/>
      <c r="C7" s="262"/>
      <c r="D7" s="262"/>
      <c r="E7" s="262"/>
      <c r="F7" s="262"/>
      <c r="G7" s="265"/>
    </row>
    <row r="8" spans="1:7" ht="12.75" thickBot="1" x14ac:dyDescent="0.25">
      <c r="A8" s="281"/>
      <c r="B8" s="131"/>
      <c r="C8" s="263"/>
      <c r="D8" s="263"/>
      <c r="E8" s="263"/>
      <c r="F8" s="263"/>
      <c r="G8" s="266"/>
    </row>
    <row r="9" spans="1:7" ht="12.75" thickTop="1" x14ac:dyDescent="0.2">
      <c r="A9" s="105">
        <v>1</v>
      </c>
      <c r="B9" s="135"/>
      <c r="C9" s="67">
        <v>2</v>
      </c>
      <c r="D9" s="67">
        <v>3</v>
      </c>
      <c r="E9" s="67">
        <v>4</v>
      </c>
      <c r="F9" s="83">
        <v>5</v>
      </c>
      <c r="G9" s="170">
        <v>6</v>
      </c>
    </row>
    <row r="10" spans="1:7" x14ac:dyDescent="0.2">
      <c r="A10" s="273" t="s">
        <v>15</v>
      </c>
      <c r="B10" s="274"/>
      <c r="C10" s="274"/>
      <c r="D10" s="274"/>
      <c r="E10" s="84"/>
      <c r="F10" s="140"/>
      <c r="G10" s="173"/>
    </row>
    <row r="11" spans="1:7" x14ac:dyDescent="0.2">
      <c r="A11" s="103">
        <v>1</v>
      </c>
      <c r="B11" s="10" t="s">
        <v>152</v>
      </c>
      <c r="C11" s="11" t="s">
        <v>16</v>
      </c>
      <c r="D11" s="12" t="s">
        <v>17</v>
      </c>
      <c r="E11" s="13">
        <v>453.2</v>
      </c>
      <c r="F11" s="112">
        <f>'Ед. Цени'!F21</f>
        <v>3.53</v>
      </c>
      <c r="G11" s="174">
        <f>ROUND((E11*F11),2)</f>
        <v>1599.8</v>
      </c>
    </row>
    <row r="12" spans="1:7" x14ac:dyDescent="0.2">
      <c r="A12" s="103">
        <v>2</v>
      </c>
      <c r="B12" s="10" t="s">
        <v>153</v>
      </c>
      <c r="C12" s="14" t="s">
        <v>18</v>
      </c>
      <c r="D12" s="15" t="s">
        <v>19</v>
      </c>
      <c r="E12" s="16">
        <v>317.23999999999995</v>
      </c>
      <c r="F12" s="112">
        <f>'Ед. Цени'!F22</f>
        <v>6.89</v>
      </c>
      <c r="G12" s="174">
        <f t="shared" ref="G12:G50" si="0">ROUND((E12*F12),2)</f>
        <v>2185.7800000000002</v>
      </c>
    </row>
    <row r="13" spans="1:7" x14ac:dyDescent="0.2">
      <c r="A13" s="103">
        <v>3</v>
      </c>
      <c r="B13" s="10" t="s">
        <v>154</v>
      </c>
      <c r="C13" s="14" t="s">
        <v>20</v>
      </c>
      <c r="D13" s="12" t="s">
        <v>21</v>
      </c>
      <c r="E13" s="13">
        <v>298.36421999999999</v>
      </c>
      <c r="F13" s="69">
        <f>'Ед. Цени'!F23</f>
        <v>5.5</v>
      </c>
      <c r="G13" s="174">
        <f t="shared" si="0"/>
        <v>1641</v>
      </c>
    </row>
    <row r="14" spans="1:7" x14ac:dyDescent="0.2">
      <c r="A14" s="103">
        <v>4</v>
      </c>
      <c r="B14" s="10" t="s">
        <v>236</v>
      </c>
      <c r="C14" s="14" t="s">
        <v>22</v>
      </c>
      <c r="D14" s="12" t="s">
        <v>21</v>
      </c>
      <c r="E14" s="13">
        <v>127.87038</v>
      </c>
      <c r="F14" s="112">
        <f>'Ед. Цени'!F85</f>
        <v>24.35</v>
      </c>
      <c r="G14" s="174">
        <f t="shared" si="0"/>
        <v>3113.64</v>
      </c>
    </row>
    <row r="15" spans="1:7" ht="24" x14ac:dyDescent="0.2">
      <c r="A15" s="103">
        <v>5</v>
      </c>
      <c r="B15" s="10" t="s">
        <v>156</v>
      </c>
      <c r="C15" s="11" t="s">
        <v>23</v>
      </c>
      <c r="D15" s="12" t="s">
        <v>21</v>
      </c>
      <c r="E15" s="13">
        <v>127.87038</v>
      </c>
      <c r="F15" s="69">
        <f>'Ед. Цени'!F25</f>
        <v>12.47</v>
      </c>
      <c r="G15" s="174">
        <f t="shared" si="0"/>
        <v>1594.54</v>
      </c>
    </row>
    <row r="16" spans="1:7" x14ac:dyDescent="0.2">
      <c r="A16" s="103">
        <v>6</v>
      </c>
      <c r="B16" s="10" t="s">
        <v>157</v>
      </c>
      <c r="C16" s="11" t="s">
        <v>24</v>
      </c>
      <c r="D16" s="12" t="s">
        <v>21</v>
      </c>
      <c r="E16" s="17">
        <v>426.2346</v>
      </c>
      <c r="F16" s="69">
        <f>'Ед. Цени'!F26</f>
        <v>2.79</v>
      </c>
      <c r="G16" s="174">
        <f t="shared" si="0"/>
        <v>1189.19</v>
      </c>
    </row>
    <row r="17" spans="1:7" x14ac:dyDescent="0.2">
      <c r="A17" s="103">
        <v>7</v>
      </c>
      <c r="B17" s="10" t="s">
        <v>158</v>
      </c>
      <c r="C17" s="11" t="s">
        <v>25</v>
      </c>
      <c r="D17" s="12" t="s">
        <v>21</v>
      </c>
      <c r="E17" s="17">
        <v>426.2346</v>
      </c>
      <c r="F17" s="69">
        <f>'Ед. Цени'!F27</f>
        <v>1.98</v>
      </c>
      <c r="G17" s="174">
        <f t="shared" si="0"/>
        <v>843.94</v>
      </c>
    </row>
    <row r="18" spans="1:7" x14ac:dyDescent="0.2">
      <c r="A18" s="103">
        <v>8</v>
      </c>
      <c r="B18" s="10" t="s">
        <v>159</v>
      </c>
      <c r="C18" s="11" t="s">
        <v>26</v>
      </c>
      <c r="D18" s="12" t="s">
        <v>21</v>
      </c>
      <c r="E18" s="17">
        <v>426.2346</v>
      </c>
      <c r="F18" s="69">
        <f>'Ед. Цени'!F28</f>
        <v>2.79</v>
      </c>
      <c r="G18" s="174">
        <f t="shared" si="0"/>
        <v>1189.19</v>
      </c>
    </row>
    <row r="19" spans="1:7" x14ac:dyDescent="0.2">
      <c r="A19" s="103">
        <v>9</v>
      </c>
      <c r="B19" s="10" t="s">
        <v>160</v>
      </c>
      <c r="C19" s="18" t="s">
        <v>27</v>
      </c>
      <c r="D19" s="12" t="s">
        <v>19</v>
      </c>
      <c r="E19" s="17">
        <v>774.97199999999998</v>
      </c>
      <c r="F19" s="69">
        <f>'Ед. Цени'!F29</f>
        <v>2.42</v>
      </c>
      <c r="G19" s="174">
        <f t="shared" si="0"/>
        <v>1875.43</v>
      </c>
    </row>
    <row r="20" spans="1:7" x14ac:dyDescent="0.2">
      <c r="A20" s="103">
        <v>10</v>
      </c>
      <c r="B20" s="10" t="s">
        <v>161</v>
      </c>
      <c r="C20" s="11" t="s">
        <v>28</v>
      </c>
      <c r="D20" s="12" t="s">
        <v>21</v>
      </c>
      <c r="E20" s="17">
        <v>124.63000000000001</v>
      </c>
      <c r="F20" s="112">
        <f>'Ед. Цени'!F30</f>
        <v>19.04</v>
      </c>
      <c r="G20" s="174">
        <f t="shared" si="0"/>
        <v>2372.96</v>
      </c>
    </row>
    <row r="21" spans="1:7" x14ac:dyDescent="0.2">
      <c r="A21" s="103">
        <v>11</v>
      </c>
      <c r="B21" s="10" t="s">
        <v>162</v>
      </c>
      <c r="C21" s="11" t="s">
        <v>29</v>
      </c>
      <c r="D21" s="12" t="s">
        <v>21</v>
      </c>
      <c r="E21" s="17">
        <v>124.63000000000001</v>
      </c>
      <c r="F21" s="112">
        <f>'Ед. Цени'!F31</f>
        <v>6.14</v>
      </c>
      <c r="G21" s="174">
        <f t="shared" si="0"/>
        <v>765.23</v>
      </c>
    </row>
    <row r="22" spans="1:7" x14ac:dyDescent="0.2">
      <c r="A22" s="103">
        <v>12</v>
      </c>
      <c r="B22" s="10" t="s">
        <v>163</v>
      </c>
      <c r="C22" s="14" t="s">
        <v>30</v>
      </c>
      <c r="D22" s="12" t="s">
        <v>21</v>
      </c>
      <c r="E22" s="17">
        <v>24.926000000000002</v>
      </c>
      <c r="F22" s="112">
        <f>'Ед. Цени'!F32</f>
        <v>8.17</v>
      </c>
      <c r="G22" s="174">
        <f t="shared" si="0"/>
        <v>203.65</v>
      </c>
    </row>
    <row r="23" spans="1:7" x14ac:dyDescent="0.2">
      <c r="A23" s="103">
        <v>13</v>
      </c>
      <c r="B23" s="10" t="s">
        <v>164</v>
      </c>
      <c r="C23" s="14" t="s">
        <v>31</v>
      </c>
      <c r="D23" s="12" t="s">
        <v>21</v>
      </c>
      <c r="E23" s="17">
        <v>99.704000000000008</v>
      </c>
      <c r="F23" s="112">
        <f>'Ед. Цени'!F33</f>
        <v>4.75</v>
      </c>
      <c r="G23" s="174">
        <f t="shared" si="0"/>
        <v>473.59</v>
      </c>
    </row>
    <row r="24" spans="1:7" x14ac:dyDescent="0.2">
      <c r="A24" s="103">
        <v>14</v>
      </c>
      <c r="B24" s="10" t="s">
        <v>165</v>
      </c>
      <c r="C24" s="11" t="s">
        <v>32</v>
      </c>
      <c r="D24" s="12" t="s">
        <v>21</v>
      </c>
      <c r="E24" s="17">
        <v>124.63000000000001</v>
      </c>
      <c r="F24" s="112">
        <f>'Ед. Цени'!F34</f>
        <v>3.66</v>
      </c>
      <c r="G24" s="174">
        <f t="shared" si="0"/>
        <v>456.15</v>
      </c>
    </row>
    <row r="25" spans="1:7" x14ac:dyDescent="0.2">
      <c r="A25" s="103">
        <v>15</v>
      </c>
      <c r="B25" s="10" t="s">
        <v>166</v>
      </c>
      <c r="C25" s="11" t="s">
        <v>33</v>
      </c>
      <c r="D25" s="12" t="s">
        <v>21</v>
      </c>
      <c r="E25" s="17">
        <v>201.9006</v>
      </c>
      <c r="F25" s="112">
        <f>'Ед. Цени'!F35</f>
        <v>17.82</v>
      </c>
      <c r="G25" s="174">
        <f t="shared" si="0"/>
        <v>3597.87</v>
      </c>
    </row>
    <row r="26" spans="1:7" x14ac:dyDescent="0.2">
      <c r="A26" s="103">
        <v>16</v>
      </c>
      <c r="B26" s="10" t="s">
        <v>167</v>
      </c>
      <c r="C26" s="11" t="s">
        <v>34</v>
      </c>
      <c r="D26" s="12" t="s">
        <v>21</v>
      </c>
      <c r="E26" s="17">
        <v>201.9006</v>
      </c>
      <c r="F26" s="112">
        <f>'Ед. Цени'!F36</f>
        <v>6.14</v>
      </c>
      <c r="G26" s="174">
        <f t="shared" si="0"/>
        <v>1239.67</v>
      </c>
    </row>
    <row r="27" spans="1:7" x14ac:dyDescent="0.2">
      <c r="A27" s="103">
        <v>17</v>
      </c>
      <c r="B27" s="10" t="s">
        <v>168</v>
      </c>
      <c r="C27" s="11" t="s">
        <v>35</v>
      </c>
      <c r="D27" s="12" t="s">
        <v>21</v>
      </c>
      <c r="E27" s="17">
        <v>201.9006</v>
      </c>
      <c r="F27" s="112">
        <f>'Ед. Цени'!F37</f>
        <v>3.15</v>
      </c>
      <c r="G27" s="174">
        <f t="shared" si="0"/>
        <v>635.99</v>
      </c>
    </row>
    <row r="28" spans="1:7" x14ac:dyDescent="0.2">
      <c r="A28" s="103">
        <v>18</v>
      </c>
      <c r="B28" s="10" t="s">
        <v>169</v>
      </c>
      <c r="C28" s="14" t="s">
        <v>36</v>
      </c>
      <c r="D28" s="12" t="s">
        <v>19</v>
      </c>
      <c r="E28" s="13">
        <v>90.64</v>
      </c>
      <c r="F28" s="112">
        <f>'Ед. Цени'!F38</f>
        <v>1.85</v>
      </c>
      <c r="G28" s="174">
        <f t="shared" si="0"/>
        <v>167.68</v>
      </c>
    </row>
    <row r="29" spans="1:7" x14ac:dyDescent="0.2">
      <c r="A29" s="103">
        <v>19</v>
      </c>
      <c r="B29" s="10" t="s">
        <v>170</v>
      </c>
      <c r="C29" s="20" t="s">
        <v>37</v>
      </c>
      <c r="D29" s="12" t="s">
        <v>38</v>
      </c>
      <c r="E29" s="13">
        <v>2.266</v>
      </c>
      <c r="F29" s="112">
        <f>'Ед. Цени'!F39</f>
        <v>44.73</v>
      </c>
      <c r="G29" s="174">
        <f t="shared" si="0"/>
        <v>101.36</v>
      </c>
    </row>
    <row r="30" spans="1:7" x14ac:dyDescent="0.2">
      <c r="A30" s="103">
        <v>20</v>
      </c>
      <c r="B30" s="10" t="s">
        <v>171</v>
      </c>
      <c r="C30" s="11" t="s">
        <v>39</v>
      </c>
      <c r="D30" s="12" t="s">
        <v>21</v>
      </c>
      <c r="E30" s="13">
        <v>31.723999999999997</v>
      </c>
      <c r="F30" s="112">
        <f>'Ед. Цени'!F40</f>
        <v>3.09</v>
      </c>
      <c r="G30" s="174">
        <f t="shared" si="0"/>
        <v>98.03</v>
      </c>
    </row>
    <row r="31" spans="1:7" x14ac:dyDescent="0.2">
      <c r="A31" s="103">
        <v>21</v>
      </c>
      <c r="B31" s="10" t="s">
        <v>172</v>
      </c>
      <c r="C31" s="22" t="s">
        <v>40</v>
      </c>
      <c r="D31" s="12" t="s">
        <v>21</v>
      </c>
      <c r="E31" s="13">
        <v>31.723999999999997</v>
      </c>
      <c r="F31" s="112">
        <f>'Ед. Цени'!F41</f>
        <v>2.2999999999999998</v>
      </c>
      <c r="G31" s="174">
        <f t="shared" si="0"/>
        <v>72.97</v>
      </c>
    </row>
    <row r="32" spans="1:7" x14ac:dyDescent="0.2">
      <c r="A32" s="103">
        <v>22</v>
      </c>
      <c r="B32" s="10" t="s">
        <v>174</v>
      </c>
      <c r="C32" s="11" t="s">
        <v>41</v>
      </c>
      <c r="D32" s="12" t="s">
        <v>17</v>
      </c>
      <c r="E32" s="13">
        <v>206.6</v>
      </c>
      <c r="F32" s="112">
        <f>'Ед. Цени'!F43</f>
        <v>26.13</v>
      </c>
      <c r="G32" s="174">
        <f t="shared" si="0"/>
        <v>5398.46</v>
      </c>
    </row>
    <row r="33" spans="1:7" x14ac:dyDescent="0.2">
      <c r="A33" s="103">
        <v>23</v>
      </c>
      <c r="B33" s="10" t="s">
        <v>175</v>
      </c>
      <c r="C33" s="11" t="s">
        <v>93</v>
      </c>
      <c r="D33" s="12" t="s">
        <v>17</v>
      </c>
      <c r="E33" s="13">
        <v>20</v>
      </c>
      <c r="F33" s="112">
        <f>'Ед. Цени'!F44</f>
        <v>7.79</v>
      </c>
      <c r="G33" s="174">
        <f t="shared" si="0"/>
        <v>155.80000000000001</v>
      </c>
    </row>
    <row r="34" spans="1:7" x14ac:dyDescent="0.2">
      <c r="A34" s="103">
        <v>24</v>
      </c>
      <c r="B34" s="10" t="s">
        <v>176</v>
      </c>
      <c r="C34" s="85" t="s">
        <v>98</v>
      </c>
      <c r="D34" s="12" t="s">
        <v>38</v>
      </c>
      <c r="E34" s="18">
        <v>1</v>
      </c>
      <c r="F34" s="112">
        <f>'Ед. Цени'!F45</f>
        <v>14.87</v>
      </c>
      <c r="G34" s="174">
        <f t="shared" si="0"/>
        <v>14.87</v>
      </c>
    </row>
    <row r="35" spans="1:7" x14ac:dyDescent="0.2">
      <c r="A35" s="103">
        <v>25</v>
      </c>
      <c r="B35" s="222" t="s">
        <v>258</v>
      </c>
      <c r="C35" s="85" t="s">
        <v>92</v>
      </c>
      <c r="D35" s="12" t="s">
        <v>38</v>
      </c>
      <c r="E35" s="72">
        <v>5</v>
      </c>
      <c r="F35" s="73">
        <f>'Ед. Цени'!F108</f>
        <v>57.71</v>
      </c>
      <c r="G35" s="174">
        <f t="shared" si="0"/>
        <v>288.55</v>
      </c>
    </row>
    <row r="36" spans="1:7" x14ac:dyDescent="0.2">
      <c r="A36" s="103">
        <v>26</v>
      </c>
      <c r="B36" s="10" t="s">
        <v>180</v>
      </c>
      <c r="C36" s="85" t="s">
        <v>99</v>
      </c>
      <c r="D36" s="12" t="s">
        <v>38</v>
      </c>
      <c r="E36" s="106">
        <v>20.216666666666665</v>
      </c>
      <c r="F36" s="112">
        <f>'Ед. Цени'!F49</f>
        <v>15.4</v>
      </c>
      <c r="G36" s="174">
        <f t="shared" si="0"/>
        <v>311.33999999999997</v>
      </c>
    </row>
    <row r="37" spans="1:7" x14ac:dyDescent="0.2">
      <c r="A37" s="103">
        <v>27</v>
      </c>
      <c r="B37" s="10" t="s">
        <v>181</v>
      </c>
      <c r="C37" s="85" t="s">
        <v>90</v>
      </c>
      <c r="D37" s="12" t="s">
        <v>38</v>
      </c>
      <c r="E37" s="72">
        <v>5</v>
      </c>
      <c r="F37" s="112">
        <f>'Ед. Цени'!F50</f>
        <v>15.9</v>
      </c>
      <c r="G37" s="174">
        <f t="shared" si="0"/>
        <v>79.5</v>
      </c>
    </row>
    <row r="38" spans="1:7" x14ac:dyDescent="0.2">
      <c r="A38" s="103">
        <v>28</v>
      </c>
      <c r="B38" s="10" t="s">
        <v>182</v>
      </c>
      <c r="C38" s="85" t="s">
        <v>89</v>
      </c>
      <c r="D38" s="12" t="s">
        <v>38</v>
      </c>
      <c r="E38" s="72">
        <v>5</v>
      </c>
      <c r="F38" s="112">
        <f>'Ед. Цени'!F51</f>
        <v>18.32</v>
      </c>
      <c r="G38" s="174">
        <f t="shared" si="0"/>
        <v>91.6</v>
      </c>
    </row>
    <row r="39" spans="1:7" x14ac:dyDescent="0.2">
      <c r="A39" s="103">
        <v>29</v>
      </c>
      <c r="B39" s="103" t="s">
        <v>255</v>
      </c>
      <c r="C39" s="85" t="s">
        <v>53</v>
      </c>
      <c r="D39" s="12" t="s">
        <v>38</v>
      </c>
      <c r="E39" s="85">
        <v>1</v>
      </c>
      <c r="F39" s="112">
        <f>'Ед. Цени'!F105</f>
        <v>53.66</v>
      </c>
      <c r="G39" s="174">
        <f t="shared" si="0"/>
        <v>53.66</v>
      </c>
    </row>
    <row r="40" spans="1:7" x14ac:dyDescent="0.2">
      <c r="A40" s="103">
        <v>30</v>
      </c>
      <c r="B40" s="10" t="s">
        <v>188</v>
      </c>
      <c r="C40" s="85" t="s">
        <v>88</v>
      </c>
      <c r="D40" s="12" t="s">
        <v>38</v>
      </c>
      <c r="E40" s="72">
        <v>5</v>
      </c>
      <c r="F40" s="73">
        <f>'Ед. Цени'!F57</f>
        <v>132.99</v>
      </c>
      <c r="G40" s="174">
        <f t="shared" si="0"/>
        <v>664.95</v>
      </c>
    </row>
    <row r="41" spans="1:7" x14ac:dyDescent="0.2">
      <c r="A41" s="103">
        <v>31</v>
      </c>
      <c r="B41" s="10" t="s">
        <v>190</v>
      </c>
      <c r="C41" s="11" t="s">
        <v>56</v>
      </c>
      <c r="D41" s="12" t="s">
        <v>17</v>
      </c>
      <c r="E41" s="13">
        <v>226.6</v>
      </c>
      <c r="F41" s="112">
        <f>'Ед. Цени'!F59</f>
        <v>1.78</v>
      </c>
      <c r="G41" s="174">
        <f t="shared" si="0"/>
        <v>403.35</v>
      </c>
    </row>
    <row r="42" spans="1:7" x14ac:dyDescent="0.2">
      <c r="A42" s="103">
        <v>32</v>
      </c>
      <c r="B42" s="10" t="s">
        <v>191</v>
      </c>
      <c r="C42" s="18" t="s">
        <v>57</v>
      </c>
      <c r="D42" s="12" t="s">
        <v>17</v>
      </c>
      <c r="E42" s="13">
        <v>226.6</v>
      </c>
      <c r="F42" s="112">
        <f>'Ед. Цени'!F60</f>
        <v>1.61</v>
      </c>
      <c r="G42" s="174">
        <f t="shared" si="0"/>
        <v>364.83</v>
      </c>
    </row>
    <row r="43" spans="1:7" x14ac:dyDescent="0.2">
      <c r="A43" s="103">
        <v>33</v>
      </c>
      <c r="B43" s="10" t="s">
        <v>192</v>
      </c>
      <c r="C43" s="27" t="s">
        <v>58</v>
      </c>
      <c r="D43" s="12" t="s">
        <v>38</v>
      </c>
      <c r="E43" s="13">
        <v>5</v>
      </c>
      <c r="F43" s="112">
        <f>'Ед. Цени'!F61</f>
        <v>10.45</v>
      </c>
      <c r="G43" s="174">
        <f t="shared" si="0"/>
        <v>52.25</v>
      </c>
    </row>
    <row r="44" spans="1:7" x14ac:dyDescent="0.2">
      <c r="A44" s="103">
        <v>34</v>
      </c>
      <c r="B44" s="10" t="s">
        <v>193</v>
      </c>
      <c r="C44" s="28" t="s">
        <v>59</v>
      </c>
      <c r="D44" s="12" t="s">
        <v>38</v>
      </c>
      <c r="E44" s="13">
        <v>0</v>
      </c>
      <c r="F44" s="112">
        <f>'Ед. Цени'!F62</f>
        <v>18.52</v>
      </c>
      <c r="G44" s="174">
        <f t="shared" si="0"/>
        <v>0</v>
      </c>
    </row>
    <row r="45" spans="1:7" x14ac:dyDescent="0.2">
      <c r="A45" s="103">
        <v>35</v>
      </c>
      <c r="B45" s="10" t="s">
        <v>195</v>
      </c>
      <c r="C45" s="11" t="s">
        <v>61</v>
      </c>
      <c r="D45" s="12" t="s">
        <v>17</v>
      </c>
      <c r="E45" s="13">
        <v>10</v>
      </c>
      <c r="F45" s="139">
        <f>'Ед. Цени'!F64</f>
        <v>8.9499999999999993</v>
      </c>
      <c r="G45" s="174">
        <f t="shared" si="0"/>
        <v>89.5</v>
      </c>
    </row>
    <row r="46" spans="1:7" x14ac:dyDescent="0.2">
      <c r="A46" s="103">
        <v>36</v>
      </c>
      <c r="B46" s="10" t="s">
        <v>196</v>
      </c>
      <c r="C46" s="11" t="s">
        <v>62</v>
      </c>
      <c r="D46" s="12" t="s">
        <v>21</v>
      </c>
      <c r="E46" s="13">
        <v>126.89599999999999</v>
      </c>
      <c r="F46" s="112">
        <f>'Ед. Цени'!F65</f>
        <v>18.940000000000001</v>
      </c>
      <c r="G46" s="174">
        <f t="shared" si="0"/>
        <v>2403.41</v>
      </c>
    </row>
    <row r="47" spans="1:7" x14ac:dyDescent="0.2">
      <c r="A47" s="103">
        <v>37</v>
      </c>
      <c r="B47" s="10" t="s">
        <v>197</v>
      </c>
      <c r="C47" s="11" t="s">
        <v>63</v>
      </c>
      <c r="D47" s="12" t="s">
        <v>19</v>
      </c>
      <c r="E47" s="13">
        <v>317.23999999999995</v>
      </c>
      <c r="F47" s="112">
        <f>'Ед. Цени'!F66</f>
        <v>1.77</v>
      </c>
      <c r="G47" s="174">
        <f t="shared" si="0"/>
        <v>561.51</v>
      </c>
    </row>
    <row r="48" spans="1:7" x14ac:dyDescent="0.2">
      <c r="A48" s="103">
        <v>38</v>
      </c>
      <c r="B48" s="10" t="s">
        <v>198</v>
      </c>
      <c r="C48" s="11" t="s">
        <v>134</v>
      </c>
      <c r="D48" s="12" t="s">
        <v>64</v>
      </c>
      <c r="E48" s="13">
        <v>38.068799999999996</v>
      </c>
      <c r="F48" s="112">
        <f>'Ед. Цени'!F67</f>
        <v>125.37</v>
      </c>
      <c r="G48" s="174">
        <f t="shared" si="0"/>
        <v>4772.6899999999996</v>
      </c>
    </row>
    <row r="49" spans="1:7" x14ac:dyDescent="0.2">
      <c r="A49" s="103">
        <v>39</v>
      </c>
      <c r="B49" s="10" t="s">
        <v>199</v>
      </c>
      <c r="C49" s="11" t="s">
        <v>65</v>
      </c>
      <c r="D49" s="12" t="s">
        <v>17</v>
      </c>
      <c r="E49" s="13">
        <v>226.6</v>
      </c>
      <c r="F49" s="112">
        <f>'Ед. Цени'!F68</f>
        <v>0.92</v>
      </c>
      <c r="G49" s="174">
        <f t="shared" si="0"/>
        <v>208.47</v>
      </c>
    </row>
    <row r="50" spans="1:7" ht="12.75" thickBot="1" x14ac:dyDescent="0.25">
      <c r="A50" s="103">
        <v>40</v>
      </c>
      <c r="B50" s="10" t="s">
        <v>200</v>
      </c>
      <c r="C50" s="30" t="s">
        <v>66</v>
      </c>
      <c r="D50" s="31" t="s">
        <v>17</v>
      </c>
      <c r="E50" s="13">
        <v>226.6</v>
      </c>
      <c r="F50" s="112">
        <f>'Ед. Цени'!F69</f>
        <v>1.41</v>
      </c>
      <c r="G50" s="174">
        <f t="shared" si="0"/>
        <v>319.51</v>
      </c>
    </row>
    <row r="51" spans="1:7" ht="12.75" thickTop="1" x14ac:dyDescent="0.2">
      <c r="A51" s="107"/>
      <c r="B51" s="136"/>
      <c r="C51" s="32" t="s">
        <v>67</v>
      </c>
      <c r="D51" s="33"/>
      <c r="E51" s="34"/>
      <c r="F51" s="33"/>
      <c r="G51" s="175">
        <f>SUM(G11:G50)</f>
        <v>41651.910000000018</v>
      </c>
    </row>
    <row r="52" spans="1:7" x14ac:dyDescent="0.2">
      <c r="A52" s="273" t="s">
        <v>68</v>
      </c>
      <c r="B52" s="274"/>
      <c r="C52" s="274"/>
      <c r="D52" s="275"/>
      <c r="E52" s="36"/>
      <c r="F52" s="35"/>
      <c r="G52" s="172"/>
    </row>
    <row r="53" spans="1:7" x14ac:dyDescent="0.2">
      <c r="A53" s="86">
        <v>1</v>
      </c>
      <c r="B53" s="75" t="s">
        <v>201</v>
      </c>
      <c r="C53" s="87" t="s">
        <v>69</v>
      </c>
      <c r="D53" s="86" t="s">
        <v>21</v>
      </c>
      <c r="E53" s="39">
        <v>42.02</v>
      </c>
      <c r="F53" s="22">
        <f>'Ед. Цени'!F70</f>
        <v>7.8</v>
      </c>
      <c r="G53" s="176">
        <f>ROUND((E53*F53),2)</f>
        <v>327.76</v>
      </c>
    </row>
    <row r="54" spans="1:7" x14ac:dyDescent="0.2">
      <c r="A54" s="86">
        <v>2</v>
      </c>
      <c r="B54" s="75" t="s">
        <v>202</v>
      </c>
      <c r="C54" s="87" t="s">
        <v>70</v>
      </c>
      <c r="D54" s="86" t="s">
        <v>21</v>
      </c>
      <c r="E54" s="39">
        <v>18.009999999999991</v>
      </c>
      <c r="F54" s="22">
        <f>'Ед. Цени'!F71</f>
        <v>16.63</v>
      </c>
      <c r="G54" s="176">
        <f t="shared" ref="G54:G68" si="1">ROUND((E54*F54),2)</f>
        <v>299.51</v>
      </c>
    </row>
    <row r="55" spans="1:7" x14ac:dyDescent="0.2">
      <c r="A55" s="86">
        <v>3</v>
      </c>
      <c r="B55" s="75" t="s">
        <v>203</v>
      </c>
      <c r="C55" s="89" t="s">
        <v>71</v>
      </c>
      <c r="D55" s="86" t="s">
        <v>19</v>
      </c>
      <c r="E55" s="39">
        <v>99.36</v>
      </c>
      <c r="F55" s="22">
        <f>'Ед. Цени'!F72</f>
        <v>6.09</v>
      </c>
      <c r="G55" s="176">
        <f t="shared" si="1"/>
        <v>605.1</v>
      </c>
    </row>
    <row r="56" spans="1:7" x14ac:dyDescent="0.2">
      <c r="A56" s="86">
        <v>4</v>
      </c>
      <c r="B56" s="75" t="s">
        <v>204</v>
      </c>
      <c r="C56" s="87" t="s">
        <v>72</v>
      </c>
      <c r="D56" s="86" t="s">
        <v>21</v>
      </c>
      <c r="E56" s="39">
        <v>21.61</v>
      </c>
      <c r="F56" s="22">
        <f>'Ед. Цени'!F73</f>
        <v>1.64</v>
      </c>
      <c r="G56" s="176">
        <f t="shared" si="1"/>
        <v>35.44</v>
      </c>
    </row>
    <row r="57" spans="1:7" x14ac:dyDescent="0.2">
      <c r="A57" s="86">
        <v>5</v>
      </c>
      <c r="B57" s="75" t="s">
        <v>205</v>
      </c>
      <c r="C57" s="87" t="s">
        <v>73</v>
      </c>
      <c r="D57" s="86" t="s">
        <v>21</v>
      </c>
      <c r="E57" s="39">
        <v>62.099999999999994</v>
      </c>
      <c r="F57" s="22">
        <f>'Ед. Цени'!F74</f>
        <v>8.5399999999999991</v>
      </c>
      <c r="G57" s="176">
        <f t="shared" si="1"/>
        <v>530.33000000000004</v>
      </c>
    </row>
    <row r="58" spans="1:7" x14ac:dyDescent="0.2">
      <c r="A58" s="86">
        <v>6</v>
      </c>
      <c r="B58" s="10" t="s">
        <v>158</v>
      </c>
      <c r="C58" s="89" t="s">
        <v>25</v>
      </c>
      <c r="D58" s="86" t="s">
        <v>21</v>
      </c>
      <c r="E58" s="39">
        <v>62.099999999999994</v>
      </c>
      <c r="F58" s="69">
        <f>'Ед. Цени'!F27</f>
        <v>1.98</v>
      </c>
      <c r="G58" s="176">
        <f t="shared" si="1"/>
        <v>122.96</v>
      </c>
    </row>
    <row r="59" spans="1:7" x14ac:dyDescent="0.2">
      <c r="A59" s="86">
        <v>7</v>
      </c>
      <c r="B59" s="75" t="s">
        <v>206</v>
      </c>
      <c r="C59" s="87" t="s">
        <v>74</v>
      </c>
      <c r="D59" s="86" t="s">
        <v>19</v>
      </c>
      <c r="E59" s="39">
        <v>1035</v>
      </c>
      <c r="F59" s="22">
        <f>'Ед. Цени'!F75</f>
        <v>1.78</v>
      </c>
      <c r="G59" s="176">
        <f t="shared" si="1"/>
        <v>1842.3</v>
      </c>
    </row>
    <row r="60" spans="1:7" x14ac:dyDescent="0.2">
      <c r="A60" s="86">
        <v>8</v>
      </c>
      <c r="B60" s="75" t="s">
        <v>207</v>
      </c>
      <c r="C60" s="87" t="s">
        <v>75</v>
      </c>
      <c r="D60" s="86" t="s">
        <v>21</v>
      </c>
      <c r="E60" s="39">
        <v>49.68</v>
      </c>
      <c r="F60" s="22">
        <f>'Ед. Цени'!F76</f>
        <v>1.78</v>
      </c>
      <c r="G60" s="176">
        <f t="shared" si="1"/>
        <v>88.43</v>
      </c>
    </row>
    <row r="61" spans="1:7" x14ac:dyDescent="0.2">
      <c r="A61" s="86">
        <v>9</v>
      </c>
      <c r="B61" s="75" t="s">
        <v>208</v>
      </c>
      <c r="C61" s="87" t="s">
        <v>76</v>
      </c>
      <c r="D61" s="86" t="s">
        <v>77</v>
      </c>
      <c r="E61" s="39">
        <v>72.449999999999989</v>
      </c>
      <c r="F61" s="22">
        <f>'Ед. Цени'!F77</f>
        <v>21.54</v>
      </c>
      <c r="G61" s="176">
        <f t="shared" si="1"/>
        <v>1560.57</v>
      </c>
    </row>
    <row r="62" spans="1:7" x14ac:dyDescent="0.2">
      <c r="A62" s="86">
        <v>10</v>
      </c>
      <c r="B62" s="75" t="s">
        <v>209</v>
      </c>
      <c r="C62" s="87" t="s">
        <v>78</v>
      </c>
      <c r="D62" s="86" t="s">
        <v>79</v>
      </c>
      <c r="E62" s="39">
        <v>200</v>
      </c>
      <c r="F62" s="22">
        <f>'Ед. Цени'!F78</f>
        <v>6.93</v>
      </c>
      <c r="G62" s="176">
        <f t="shared" si="1"/>
        <v>1386</v>
      </c>
    </row>
    <row r="63" spans="1:7" x14ac:dyDescent="0.2">
      <c r="A63" s="86">
        <v>11</v>
      </c>
      <c r="B63" s="75" t="s">
        <v>210</v>
      </c>
      <c r="C63" s="87" t="s">
        <v>80</v>
      </c>
      <c r="D63" s="86" t="s">
        <v>79</v>
      </c>
      <c r="E63" s="39">
        <v>200</v>
      </c>
      <c r="F63" s="22">
        <f>'Ед. Цени'!F79</f>
        <v>27.54</v>
      </c>
      <c r="G63" s="176">
        <f t="shared" si="1"/>
        <v>5508</v>
      </c>
    </row>
    <row r="64" spans="1:7" x14ac:dyDescent="0.2">
      <c r="A64" s="86">
        <v>12</v>
      </c>
      <c r="B64" s="75" t="s">
        <v>211</v>
      </c>
      <c r="C64" s="87" t="s">
        <v>81</v>
      </c>
      <c r="D64" s="86" t="s">
        <v>19</v>
      </c>
      <c r="E64" s="39">
        <v>115.92000000000002</v>
      </c>
      <c r="F64" s="22">
        <f>'Ед. Цени'!F80</f>
        <v>7.88</v>
      </c>
      <c r="G64" s="176">
        <f t="shared" si="1"/>
        <v>913.45</v>
      </c>
    </row>
    <row r="65" spans="1:7" x14ac:dyDescent="0.2">
      <c r="A65" s="86">
        <v>13</v>
      </c>
      <c r="B65" s="75" t="s">
        <v>212</v>
      </c>
      <c r="C65" s="87" t="s">
        <v>82</v>
      </c>
      <c r="D65" s="86" t="s">
        <v>19</v>
      </c>
      <c r="E65" s="39">
        <v>115.92000000000002</v>
      </c>
      <c r="F65" s="22">
        <f>'Ед. Цени'!F81</f>
        <v>14.48</v>
      </c>
      <c r="G65" s="176">
        <f t="shared" si="1"/>
        <v>1678.52</v>
      </c>
    </row>
    <row r="66" spans="1:7" x14ac:dyDescent="0.2">
      <c r="A66" s="86">
        <v>14</v>
      </c>
      <c r="B66" s="75" t="s">
        <v>213</v>
      </c>
      <c r="C66" s="87" t="s">
        <v>83</v>
      </c>
      <c r="D66" s="86" t="s">
        <v>19</v>
      </c>
      <c r="E66" s="39">
        <v>941.84999999999991</v>
      </c>
      <c r="F66" s="22">
        <f>'Ед. Цени'!F82</f>
        <v>11.72</v>
      </c>
      <c r="G66" s="176">
        <f t="shared" si="1"/>
        <v>11038.48</v>
      </c>
    </row>
    <row r="67" spans="1:7" x14ac:dyDescent="0.2">
      <c r="A67" s="86">
        <v>15</v>
      </c>
      <c r="B67" s="75" t="s">
        <v>214</v>
      </c>
      <c r="C67" s="87" t="s">
        <v>84</v>
      </c>
      <c r="D67" s="86" t="s">
        <v>19</v>
      </c>
      <c r="E67" s="39">
        <v>1242</v>
      </c>
      <c r="F67" s="22">
        <f>'Ед. Цени'!F83</f>
        <v>1.89</v>
      </c>
      <c r="G67" s="176">
        <f t="shared" si="1"/>
        <v>2347.38</v>
      </c>
    </row>
    <row r="68" spans="1:7" x14ac:dyDescent="0.2">
      <c r="A68" s="86">
        <v>16</v>
      </c>
      <c r="B68" s="75" t="s">
        <v>215</v>
      </c>
      <c r="C68" s="87" t="s">
        <v>85</v>
      </c>
      <c r="D68" s="86" t="s">
        <v>77</v>
      </c>
      <c r="E68" s="39">
        <v>149.04</v>
      </c>
      <c r="F68" s="22">
        <f>'Ед. Цени'!F84</f>
        <v>134.12</v>
      </c>
      <c r="G68" s="176">
        <f t="shared" si="1"/>
        <v>19989.240000000002</v>
      </c>
    </row>
    <row r="69" spans="1:7" x14ac:dyDescent="0.2">
      <c r="A69" s="66"/>
      <c r="B69" s="119"/>
      <c r="C69" s="42"/>
      <c r="D69" s="35"/>
      <c r="E69" s="36"/>
      <c r="F69" s="35"/>
      <c r="G69" s="172"/>
    </row>
    <row r="70" spans="1:7" ht="12.75" thickBot="1" x14ac:dyDescent="0.25">
      <c r="A70" s="66"/>
      <c r="B70" s="119"/>
      <c r="C70" s="42" t="s">
        <v>86</v>
      </c>
      <c r="D70" s="35"/>
      <c r="E70" s="36"/>
      <c r="F70" s="35"/>
      <c r="G70" s="172">
        <f>SUM(G53:G68)</f>
        <v>48273.47</v>
      </c>
    </row>
    <row r="71" spans="1:7" x14ac:dyDescent="0.2">
      <c r="A71" s="79"/>
      <c r="B71" s="123"/>
      <c r="C71" s="50" t="s">
        <v>87</v>
      </c>
      <c r="D71" s="51"/>
      <c r="E71" s="52"/>
      <c r="F71" s="51"/>
      <c r="G71" s="164">
        <f>SUM(G51+G70)</f>
        <v>89925.380000000019</v>
      </c>
    </row>
    <row r="72" spans="1:7" x14ac:dyDescent="0.2">
      <c r="A72" s="80"/>
      <c r="B72" s="124"/>
      <c r="C72" s="44" t="s">
        <v>138</v>
      </c>
      <c r="D72" s="45"/>
      <c r="E72" s="46"/>
      <c r="F72" s="45"/>
      <c r="G72" s="165">
        <f>+G70*0.2</f>
        <v>9654.6940000000013</v>
      </c>
    </row>
    <row r="73" spans="1:7" ht="12.75" thickBot="1" x14ac:dyDescent="0.25">
      <c r="A73" s="81"/>
      <c r="B73" s="125"/>
      <c r="C73" s="53" t="s">
        <v>136</v>
      </c>
      <c r="D73" s="54"/>
      <c r="E73" s="55"/>
      <c r="F73" s="54"/>
      <c r="G73" s="166">
        <f>+G72+G71</f>
        <v>99580.074000000022</v>
      </c>
    </row>
  </sheetData>
  <autoFilter ref="A9:G73"/>
  <mergeCells count="11">
    <mergeCell ref="A10:D10"/>
    <mergeCell ref="A52:D52"/>
    <mergeCell ref="A1:G1"/>
    <mergeCell ref="A2:G2"/>
    <mergeCell ref="A4:G4"/>
    <mergeCell ref="A6:A8"/>
    <mergeCell ref="C6:C8"/>
    <mergeCell ref="D6:D8"/>
    <mergeCell ref="E6:E8"/>
    <mergeCell ref="F6:F8"/>
    <mergeCell ref="G6:G8"/>
  </mergeCells>
  <pageMargins left="0.7" right="0.7" top="0.75" bottom="0.75" header="0.3" footer="0.3"/>
  <pageSetup paperSize="9" scale="8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V121"/>
  <sheetViews>
    <sheetView view="pageBreakPreview" zoomScaleNormal="130" zoomScaleSheetLayoutView="100" workbookViewId="0">
      <selection activeCell="F5" sqref="F5"/>
    </sheetView>
  </sheetViews>
  <sheetFormatPr defaultColWidth="9.140625" defaultRowHeight="12" x14ac:dyDescent="0.2"/>
  <cols>
    <col min="1" max="1" width="4.5703125" style="82" customWidth="1"/>
    <col min="2" max="2" width="10.42578125" style="82" customWidth="1"/>
    <col min="3" max="3" width="59.7109375" style="56" customWidth="1"/>
    <col min="4" max="4" width="9.7109375" style="56" bestFit="1" customWidth="1"/>
    <col min="5" max="5" width="12" style="56" customWidth="1"/>
    <col min="6" max="6" width="12.28515625" style="56" customWidth="1"/>
    <col min="7" max="16384" width="9.140625" style="56"/>
  </cols>
  <sheetData>
    <row r="1" spans="1:6" x14ac:dyDescent="0.2">
      <c r="A1" s="267" t="s">
        <v>139</v>
      </c>
      <c r="B1" s="267"/>
      <c r="C1" s="267"/>
      <c r="D1" s="267"/>
      <c r="E1" s="267"/>
      <c r="F1" s="267"/>
    </row>
    <row r="2" spans="1:6" x14ac:dyDescent="0.2">
      <c r="A2" s="268" t="s">
        <v>0</v>
      </c>
      <c r="B2" s="268"/>
      <c r="C2" s="268"/>
      <c r="D2" s="268"/>
      <c r="E2" s="268"/>
      <c r="F2" s="268"/>
    </row>
    <row r="3" spans="1:6" x14ac:dyDescent="0.2">
      <c r="A3" s="114"/>
      <c r="B3" s="114"/>
      <c r="C3" s="58"/>
      <c r="D3" s="58"/>
      <c r="E3" s="58"/>
      <c r="F3" s="59"/>
    </row>
    <row r="4" spans="1:6" ht="15.75" customHeight="1" x14ac:dyDescent="0.2">
      <c r="A4" s="269" t="s">
        <v>269</v>
      </c>
      <c r="B4" s="269"/>
      <c r="C4" s="269"/>
      <c r="D4" s="269"/>
      <c r="E4" s="269"/>
      <c r="F4" s="269"/>
    </row>
    <row r="5" spans="1:6" ht="15.75" customHeight="1" x14ac:dyDescent="0.2">
      <c r="A5" s="115"/>
      <c r="B5" s="115"/>
      <c r="C5" s="115"/>
      <c r="D5" s="115"/>
      <c r="E5" s="115"/>
      <c r="F5" s="115"/>
    </row>
    <row r="6" spans="1:6" ht="15.75" hidden="1" customHeight="1" x14ac:dyDescent="0.2">
      <c r="A6" s="115"/>
      <c r="B6" s="115"/>
      <c r="C6" s="115"/>
      <c r="D6" s="115"/>
      <c r="E6" s="115"/>
      <c r="F6" s="115"/>
    </row>
    <row r="7" spans="1:6" ht="15.75" hidden="1" customHeight="1" x14ac:dyDescent="0.2">
      <c r="A7" s="115"/>
      <c r="B7" s="115"/>
      <c r="C7" s="114" t="s">
        <v>1</v>
      </c>
      <c r="D7" s="61">
        <v>11</v>
      </c>
      <c r="E7" s="115"/>
      <c r="F7" s="115"/>
    </row>
    <row r="8" spans="1:6" ht="15.75" hidden="1" customHeight="1" x14ac:dyDescent="0.2">
      <c r="A8" s="115"/>
      <c r="B8" s="115"/>
      <c r="C8" s="114" t="s">
        <v>2</v>
      </c>
      <c r="D8" s="61">
        <v>15</v>
      </c>
      <c r="E8" s="115"/>
      <c r="F8" s="115"/>
    </row>
    <row r="9" spans="1:6" ht="15.75" hidden="1" customHeight="1" x14ac:dyDescent="0.2">
      <c r="A9" s="115"/>
      <c r="B9" s="115"/>
      <c r="C9" s="114" t="s">
        <v>3</v>
      </c>
      <c r="D9" s="61">
        <v>2</v>
      </c>
      <c r="E9" s="115"/>
      <c r="F9" s="115"/>
    </row>
    <row r="10" spans="1:6" ht="15.75" hidden="1" customHeight="1" x14ac:dyDescent="0.2">
      <c r="A10" s="115"/>
      <c r="B10" s="115"/>
      <c r="C10" s="114" t="s">
        <v>4</v>
      </c>
      <c r="D10" s="115">
        <v>1.1000000000000001</v>
      </c>
      <c r="E10" s="115"/>
      <c r="F10" s="115"/>
    </row>
    <row r="11" spans="1:6" ht="15.75" hidden="1" customHeight="1" x14ac:dyDescent="0.2">
      <c r="A11" s="115"/>
      <c r="B11" s="115"/>
      <c r="C11" s="62" t="s">
        <v>5</v>
      </c>
      <c r="D11" s="63">
        <v>1.4</v>
      </c>
      <c r="E11" s="115"/>
      <c r="F11" s="115"/>
    </row>
    <row r="12" spans="1:6" ht="15.75" hidden="1" customHeight="1" x14ac:dyDescent="0.2">
      <c r="A12" s="115"/>
      <c r="B12" s="115"/>
      <c r="C12" s="114" t="s">
        <v>6</v>
      </c>
      <c r="D12" s="63">
        <v>1.71</v>
      </c>
      <c r="E12" s="115"/>
      <c r="F12" s="115"/>
    </row>
    <row r="13" spans="1:6" ht="15.75" hidden="1" customHeight="1" x14ac:dyDescent="0.2">
      <c r="A13" s="115"/>
      <c r="B13" s="115"/>
      <c r="C13" s="114" t="s">
        <v>7</v>
      </c>
      <c r="D13" s="63">
        <v>10</v>
      </c>
      <c r="E13" s="115"/>
      <c r="F13" s="115"/>
    </row>
    <row r="14" spans="1:6" ht="15.75" hidden="1" customHeight="1" x14ac:dyDescent="0.2">
      <c r="A14" s="115"/>
      <c r="B14" s="115"/>
      <c r="C14" s="114" t="s">
        <v>8</v>
      </c>
      <c r="D14" s="115">
        <v>6</v>
      </c>
      <c r="E14" s="115"/>
      <c r="F14" s="115"/>
    </row>
    <row r="15" spans="1:6" ht="12.75" thickBot="1" x14ac:dyDescent="0.25">
      <c r="A15" s="64"/>
      <c r="B15" s="64"/>
      <c r="C15" s="65"/>
      <c r="D15" s="65"/>
      <c r="E15" s="65"/>
      <c r="F15" s="65"/>
    </row>
    <row r="16" spans="1:6" ht="15.75" customHeight="1" thickTop="1" x14ac:dyDescent="0.2">
      <c r="A16" s="270" t="s">
        <v>9</v>
      </c>
      <c r="B16" s="116"/>
      <c r="C16" s="261" t="s">
        <v>10</v>
      </c>
      <c r="D16" s="261" t="s">
        <v>11</v>
      </c>
      <c r="E16" s="261" t="s">
        <v>12</v>
      </c>
      <c r="F16" s="261" t="s">
        <v>272</v>
      </c>
    </row>
    <row r="17" spans="1:6" ht="12.75" customHeight="1" x14ac:dyDescent="0.2">
      <c r="A17" s="271"/>
      <c r="B17" s="117"/>
      <c r="C17" s="262"/>
      <c r="D17" s="262"/>
      <c r="E17" s="262"/>
      <c r="F17" s="262"/>
    </row>
    <row r="18" spans="1:6" ht="12.75" customHeight="1" thickBot="1" x14ac:dyDescent="0.25">
      <c r="A18" s="272"/>
      <c r="B18" s="118"/>
      <c r="C18" s="263"/>
      <c r="D18" s="263"/>
      <c r="E18" s="263"/>
      <c r="F18" s="263"/>
    </row>
    <row r="19" spans="1:6" ht="8.25" customHeight="1" thickTop="1" x14ac:dyDescent="0.2">
      <c r="A19" s="66">
        <v>1</v>
      </c>
      <c r="B19" s="119"/>
      <c r="C19" s="67">
        <v>2</v>
      </c>
      <c r="D19" s="67">
        <v>3</v>
      </c>
      <c r="E19" s="67">
        <v>4</v>
      </c>
      <c r="F19" s="83">
        <v>5</v>
      </c>
    </row>
    <row r="20" spans="1:6" s="68" customFormat="1" ht="15.75" customHeight="1" x14ac:dyDescent="0.2">
      <c r="A20" s="285" t="s">
        <v>271</v>
      </c>
      <c r="B20" s="286"/>
      <c r="C20" s="286"/>
      <c r="D20" s="286"/>
      <c r="F20" s="137"/>
    </row>
    <row r="21" spans="1:6" ht="12.75" customHeight="1" x14ac:dyDescent="0.2">
      <c r="A21" s="10">
        <v>1</v>
      </c>
      <c r="B21" s="223" t="s">
        <v>152</v>
      </c>
      <c r="C21" s="230" t="s">
        <v>16</v>
      </c>
      <c r="D21" s="231" t="s">
        <v>17</v>
      </c>
      <c r="E21" s="232">
        <v>1</v>
      </c>
      <c r="F21" s="226">
        <v>3.53</v>
      </c>
    </row>
    <row r="22" spans="1:6" ht="12.75" customHeight="1" x14ac:dyDescent="0.2">
      <c r="A22" s="10">
        <v>2</v>
      </c>
      <c r="B22" s="223" t="s">
        <v>153</v>
      </c>
      <c r="C22" s="233" t="s">
        <v>18</v>
      </c>
      <c r="D22" s="234" t="s">
        <v>19</v>
      </c>
      <c r="E22" s="232">
        <v>1</v>
      </c>
      <c r="F22" s="226">
        <v>6.89</v>
      </c>
    </row>
    <row r="23" spans="1:6" ht="12.75" customHeight="1" x14ac:dyDescent="0.2">
      <c r="A23" s="10">
        <v>3</v>
      </c>
      <c r="B23" s="223" t="s">
        <v>154</v>
      </c>
      <c r="C23" s="233" t="s">
        <v>20</v>
      </c>
      <c r="D23" s="231" t="s">
        <v>21</v>
      </c>
      <c r="E23" s="232">
        <v>1</v>
      </c>
      <c r="F23" s="226">
        <v>5.5</v>
      </c>
    </row>
    <row r="24" spans="1:6" ht="12.75" customHeight="1" x14ac:dyDescent="0.2">
      <c r="A24" s="10">
        <v>4</v>
      </c>
      <c r="B24" s="223" t="s">
        <v>155</v>
      </c>
      <c r="C24" s="233" t="s">
        <v>100</v>
      </c>
      <c r="D24" s="231" t="s">
        <v>21</v>
      </c>
      <c r="E24" s="232">
        <v>1</v>
      </c>
      <c r="F24" s="226">
        <v>24.35</v>
      </c>
    </row>
    <row r="25" spans="1:6" ht="18.75" customHeight="1" x14ac:dyDescent="0.2">
      <c r="A25" s="10">
        <v>5</v>
      </c>
      <c r="B25" s="223" t="s">
        <v>156</v>
      </c>
      <c r="C25" s="230" t="s">
        <v>23</v>
      </c>
      <c r="D25" s="231" t="s">
        <v>21</v>
      </c>
      <c r="E25" s="232">
        <v>1</v>
      </c>
      <c r="F25" s="226">
        <v>12.47</v>
      </c>
    </row>
    <row r="26" spans="1:6" ht="12.75" customHeight="1" x14ac:dyDescent="0.2">
      <c r="A26" s="10">
        <v>6</v>
      </c>
      <c r="B26" s="223" t="s">
        <v>157</v>
      </c>
      <c r="C26" s="230" t="s">
        <v>24</v>
      </c>
      <c r="D26" s="231" t="s">
        <v>21</v>
      </c>
      <c r="E26" s="232">
        <v>1</v>
      </c>
      <c r="F26" s="226">
        <v>2.79</v>
      </c>
    </row>
    <row r="27" spans="1:6" ht="12.75" customHeight="1" x14ac:dyDescent="0.2">
      <c r="A27" s="10">
        <v>7</v>
      </c>
      <c r="B27" s="223" t="s">
        <v>158</v>
      </c>
      <c r="C27" s="230" t="s">
        <v>25</v>
      </c>
      <c r="D27" s="231" t="s">
        <v>21</v>
      </c>
      <c r="E27" s="232">
        <v>1</v>
      </c>
      <c r="F27" s="226">
        <v>1.98</v>
      </c>
    </row>
    <row r="28" spans="1:6" ht="12.75" customHeight="1" x14ac:dyDescent="0.2">
      <c r="A28" s="10">
        <v>8</v>
      </c>
      <c r="B28" s="223" t="s">
        <v>159</v>
      </c>
      <c r="C28" s="230" t="s">
        <v>26</v>
      </c>
      <c r="D28" s="231" t="s">
        <v>21</v>
      </c>
      <c r="E28" s="232">
        <v>1</v>
      </c>
      <c r="F28" s="226">
        <v>2.79</v>
      </c>
    </row>
    <row r="29" spans="1:6" ht="12.75" customHeight="1" x14ac:dyDescent="0.2">
      <c r="A29" s="10">
        <v>9</v>
      </c>
      <c r="B29" s="223" t="s">
        <v>160</v>
      </c>
      <c r="C29" s="190" t="s">
        <v>27</v>
      </c>
      <c r="D29" s="231" t="s">
        <v>19</v>
      </c>
      <c r="E29" s="232">
        <v>1</v>
      </c>
      <c r="F29" s="226">
        <v>2.42</v>
      </c>
    </row>
    <row r="30" spans="1:6" ht="12.75" customHeight="1" x14ac:dyDescent="0.2">
      <c r="A30" s="10">
        <v>10</v>
      </c>
      <c r="B30" s="223" t="s">
        <v>161</v>
      </c>
      <c r="C30" s="230" t="s">
        <v>28</v>
      </c>
      <c r="D30" s="231" t="s">
        <v>21</v>
      </c>
      <c r="E30" s="232">
        <v>1</v>
      </c>
      <c r="F30" s="226">
        <v>19.04</v>
      </c>
    </row>
    <row r="31" spans="1:6" ht="12.75" customHeight="1" x14ac:dyDescent="0.2">
      <c r="A31" s="10">
        <v>11</v>
      </c>
      <c r="B31" s="223" t="s">
        <v>162</v>
      </c>
      <c r="C31" s="230" t="s">
        <v>29</v>
      </c>
      <c r="D31" s="231" t="s">
        <v>21</v>
      </c>
      <c r="E31" s="232">
        <v>1</v>
      </c>
      <c r="F31" s="226">
        <v>6.14</v>
      </c>
    </row>
    <row r="32" spans="1:6" ht="12.75" customHeight="1" x14ac:dyDescent="0.2">
      <c r="A32" s="10">
        <v>12</v>
      </c>
      <c r="B32" s="223" t="s">
        <v>163</v>
      </c>
      <c r="C32" s="233" t="s">
        <v>30</v>
      </c>
      <c r="D32" s="231" t="s">
        <v>21</v>
      </c>
      <c r="E32" s="232">
        <v>1</v>
      </c>
      <c r="F32" s="226">
        <v>8.17</v>
      </c>
    </row>
    <row r="33" spans="1:204" ht="12.75" customHeight="1" x14ac:dyDescent="0.2">
      <c r="A33" s="10">
        <v>13</v>
      </c>
      <c r="B33" s="223" t="s">
        <v>164</v>
      </c>
      <c r="C33" s="233" t="s">
        <v>31</v>
      </c>
      <c r="D33" s="231" t="s">
        <v>21</v>
      </c>
      <c r="E33" s="232">
        <v>1</v>
      </c>
      <c r="F33" s="226">
        <v>4.75</v>
      </c>
    </row>
    <row r="34" spans="1:204" s="71" customFormat="1" ht="12.75" customHeight="1" x14ac:dyDescent="0.2">
      <c r="A34" s="10">
        <v>14</v>
      </c>
      <c r="B34" s="223" t="s">
        <v>165</v>
      </c>
      <c r="C34" s="230" t="s">
        <v>32</v>
      </c>
      <c r="D34" s="231" t="s">
        <v>21</v>
      </c>
      <c r="E34" s="232">
        <v>1</v>
      </c>
      <c r="F34" s="226">
        <v>3.66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</row>
    <row r="35" spans="1:204" ht="12.75" customHeight="1" x14ac:dyDescent="0.2">
      <c r="A35" s="10">
        <v>15</v>
      </c>
      <c r="B35" s="223" t="s">
        <v>166</v>
      </c>
      <c r="C35" s="230" t="s">
        <v>33</v>
      </c>
      <c r="D35" s="231" t="s">
        <v>21</v>
      </c>
      <c r="E35" s="232">
        <v>1</v>
      </c>
      <c r="F35" s="226">
        <v>17.82</v>
      </c>
    </row>
    <row r="36" spans="1:204" ht="12.75" customHeight="1" x14ac:dyDescent="0.2">
      <c r="A36" s="10">
        <v>16</v>
      </c>
      <c r="B36" s="223" t="s">
        <v>167</v>
      </c>
      <c r="C36" s="230" t="s">
        <v>34</v>
      </c>
      <c r="D36" s="231" t="s">
        <v>21</v>
      </c>
      <c r="E36" s="232">
        <v>1</v>
      </c>
      <c r="F36" s="226">
        <v>6.14</v>
      </c>
    </row>
    <row r="37" spans="1:204" ht="12.75" customHeight="1" x14ac:dyDescent="0.2">
      <c r="A37" s="10">
        <v>17</v>
      </c>
      <c r="B37" s="223" t="s">
        <v>168</v>
      </c>
      <c r="C37" s="230" t="s">
        <v>35</v>
      </c>
      <c r="D37" s="231" t="s">
        <v>21</v>
      </c>
      <c r="E37" s="232">
        <v>1</v>
      </c>
      <c r="F37" s="226">
        <v>3.15</v>
      </c>
    </row>
    <row r="38" spans="1:204" ht="12.75" customHeight="1" x14ac:dyDescent="0.2">
      <c r="A38" s="10">
        <v>18</v>
      </c>
      <c r="B38" s="223" t="s">
        <v>169</v>
      </c>
      <c r="C38" s="233" t="s">
        <v>36</v>
      </c>
      <c r="D38" s="235" t="s">
        <v>19</v>
      </c>
      <c r="E38" s="232">
        <v>1</v>
      </c>
      <c r="F38" s="226">
        <v>1.85</v>
      </c>
    </row>
    <row r="39" spans="1:204" ht="12.75" customHeight="1" x14ac:dyDescent="0.2">
      <c r="A39" s="10">
        <v>19</v>
      </c>
      <c r="B39" s="223" t="s">
        <v>170</v>
      </c>
      <c r="C39" s="228" t="s">
        <v>37</v>
      </c>
      <c r="D39" s="235" t="s">
        <v>38</v>
      </c>
      <c r="E39" s="232">
        <v>1</v>
      </c>
      <c r="F39" s="226">
        <v>44.73</v>
      </c>
    </row>
    <row r="40" spans="1:204" ht="12.75" customHeight="1" x14ac:dyDescent="0.2">
      <c r="A40" s="10">
        <v>20</v>
      </c>
      <c r="B40" s="223" t="s">
        <v>171</v>
      </c>
      <c r="C40" s="236" t="s">
        <v>39</v>
      </c>
      <c r="D40" s="231" t="s">
        <v>21</v>
      </c>
      <c r="E40" s="232">
        <v>1</v>
      </c>
      <c r="F40" s="226">
        <v>3.09</v>
      </c>
    </row>
    <row r="41" spans="1:204" ht="12.75" customHeight="1" x14ac:dyDescent="0.2">
      <c r="A41" s="10">
        <v>21</v>
      </c>
      <c r="B41" s="223" t="s">
        <v>172</v>
      </c>
      <c r="C41" s="237" t="s">
        <v>40</v>
      </c>
      <c r="D41" s="231" t="s">
        <v>21</v>
      </c>
      <c r="E41" s="232">
        <v>1</v>
      </c>
      <c r="F41" s="226">
        <v>2.2999999999999998</v>
      </c>
    </row>
    <row r="42" spans="1:204" ht="12.75" customHeight="1" x14ac:dyDescent="0.2">
      <c r="A42" s="10">
        <v>22</v>
      </c>
      <c r="B42" s="223" t="s">
        <v>173</v>
      </c>
      <c r="C42" s="230" t="s">
        <v>101</v>
      </c>
      <c r="D42" s="231" t="s">
        <v>17</v>
      </c>
      <c r="E42" s="232">
        <v>1</v>
      </c>
      <c r="F42" s="226">
        <v>30.97</v>
      </c>
    </row>
    <row r="43" spans="1:204" ht="12.75" customHeight="1" x14ac:dyDescent="0.2">
      <c r="A43" s="10">
        <v>23</v>
      </c>
      <c r="B43" s="223" t="s">
        <v>174</v>
      </c>
      <c r="C43" s="230" t="s">
        <v>41</v>
      </c>
      <c r="D43" s="231" t="s">
        <v>17</v>
      </c>
      <c r="E43" s="232">
        <v>1</v>
      </c>
      <c r="F43" s="226">
        <v>26.13</v>
      </c>
    </row>
    <row r="44" spans="1:204" ht="12.75" customHeight="1" x14ac:dyDescent="0.2">
      <c r="A44" s="10">
        <v>24</v>
      </c>
      <c r="B44" s="223" t="s">
        <v>175</v>
      </c>
      <c r="C44" s="230" t="s">
        <v>93</v>
      </c>
      <c r="D44" s="231" t="s">
        <v>17</v>
      </c>
      <c r="E44" s="232">
        <v>1</v>
      </c>
      <c r="F44" s="226">
        <v>7.79</v>
      </c>
    </row>
    <row r="45" spans="1:204" ht="12.75" customHeight="1" x14ac:dyDescent="0.2">
      <c r="A45" s="10">
        <v>25</v>
      </c>
      <c r="B45" s="223" t="s">
        <v>176</v>
      </c>
      <c r="C45" s="190" t="s">
        <v>102</v>
      </c>
      <c r="D45" s="231" t="s">
        <v>38</v>
      </c>
      <c r="E45" s="232">
        <v>1</v>
      </c>
      <c r="F45" s="226">
        <v>14.87</v>
      </c>
    </row>
    <row r="46" spans="1:204" ht="12.75" customHeight="1" x14ac:dyDescent="0.2">
      <c r="A46" s="10">
        <v>26</v>
      </c>
      <c r="B46" s="223" t="s">
        <v>177</v>
      </c>
      <c r="C46" s="190" t="s">
        <v>103</v>
      </c>
      <c r="D46" s="231" t="s">
        <v>38</v>
      </c>
      <c r="E46" s="232">
        <v>1</v>
      </c>
      <c r="F46" s="226">
        <v>72.23</v>
      </c>
    </row>
    <row r="47" spans="1:204" ht="12.75" customHeight="1" x14ac:dyDescent="0.2">
      <c r="A47" s="10">
        <v>27</v>
      </c>
      <c r="B47" s="223" t="s">
        <v>178</v>
      </c>
      <c r="C47" s="190" t="s">
        <v>104</v>
      </c>
      <c r="D47" s="231" t="s">
        <v>38</v>
      </c>
      <c r="E47" s="232">
        <v>1</v>
      </c>
      <c r="F47" s="226">
        <v>48.61</v>
      </c>
    </row>
    <row r="48" spans="1:204" ht="12.75" customHeight="1" x14ac:dyDescent="0.2">
      <c r="A48" s="10">
        <v>28</v>
      </c>
      <c r="B48" s="223" t="s">
        <v>179</v>
      </c>
      <c r="C48" s="228" t="s">
        <v>105</v>
      </c>
      <c r="D48" s="231" t="s">
        <v>38</v>
      </c>
      <c r="E48" s="232">
        <v>1</v>
      </c>
      <c r="F48" s="226">
        <v>18.670000000000002</v>
      </c>
    </row>
    <row r="49" spans="1:6" ht="12.75" customHeight="1" x14ac:dyDescent="0.2">
      <c r="A49" s="10">
        <v>29</v>
      </c>
      <c r="B49" s="223" t="s">
        <v>180</v>
      </c>
      <c r="C49" s="190" t="s">
        <v>106</v>
      </c>
      <c r="D49" s="231" t="s">
        <v>38</v>
      </c>
      <c r="E49" s="232">
        <v>1</v>
      </c>
      <c r="F49" s="226">
        <v>15.4</v>
      </c>
    </row>
    <row r="50" spans="1:6" ht="12.75" customHeight="1" x14ac:dyDescent="0.2">
      <c r="A50" s="10">
        <v>30</v>
      </c>
      <c r="B50" s="223" t="s">
        <v>181</v>
      </c>
      <c r="C50" s="190" t="s">
        <v>90</v>
      </c>
      <c r="D50" s="231" t="s">
        <v>38</v>
      </c>
      <c r="E50" s="232">
        <v>1</v>
      </c>
      <c r="F50" s="226">
        <v>15.9</v>
      </c>
    </row>
    <row r="51" spans="1:6" ht="12.75" customHeight="1" x14ac:dyDescent="0.2">
      <c r="A51" s="10">
        <v>31</v>
      </c>
      <c r="B51" s="223" t="s">
        <v>182</v>
      </c>
      <c r="C51" s="190" t="s">
        <v>89</v>
      </c>
      <c r="D51" s="231" t="s">
        <v>38</v>
      </c>
      <c r="E51" s="232">
        <v>1</v>
      </c>
      <c r="F51" s="226">
        <v>18.32</v>
      </c>
    </row>
    <row r="52" spans="1:6" ht="12.75" customHeight="1" x14ac:dyDescent="0.2">
      <c r="A52" s="10">
        <v>32</v>
      </c>
      <c r="B52" s="223" t="s">
        <v>183</v>
      </c>
      <c r="C52" s="190" t="s">
        <v>49</v>
      </c>
      <c r="D52" s="231" t="s">
        <v>38</v>
      </c>
      <c r="E52" s="232">
        <v>1</v>
      </c>
      <c r="F52" s="226">
        <v>35.82</v>
      </c>
    </row>
    <row r="53" spans="1:6" ht="12.75" customHeight="1" x14ac:dyDescent="0.2">
      <c r="A53" s="10">
        <v>33</v>
      </c>
      <c r="B53" s="223" t="s">
        <v>184</v>
      </c>
      <c r="C53" s="190" t="s">
        <v>50</v>
      </c>
      <c r="D53" s="231" t="s">
        <v>38</v>
      </c>
      <c r="E53" s="232">
        <v>1</v>
      </c>
      <c r="F53" s="226">
        <v>324.5</v>
      </c>
    </row>
    <row r="54" spans="1:6" ht="12.75" customHeight="1" x14ac:dyDescent="0.2">
      <c r="A54" s="10">
        <v>34</v>
      </c>
      <c r="B54" s="223" t="s">
        <v>185</v>
      </c>
      <c r="C54" s="190" t="s">
        <v>51</v>
      </c>
      <c r="D54" s="231" t="s">
        <v>38</v>
      </c>
      <c r="E54" s="232">
        <v>1</v>
      </c>
      <c r="F54" s="226">
        <v>39.450000000000003</v>
      </c>
    </row>
    <row r="55" spans="1:6" ht="12.75" customHeight="1" x14ac:dyDescent="0.2">
      <c r="A55" s="10">
        <v>35</v>
      </c>
      <c r="B55" s="223" t="s">
        <v>186</v>
      </c>
      <c r="C55" s="190" t="s">
        <v>52</v>
      </c>
      <c r="D55" s="231" t="s">
        <v>38</v>
      </c>
      <c r="E55" s="232">
        <v>1</v>
      </c>
      <c r="F55" s="226">
        <v>150.69999999999999</v>
      </c>
    </row>
    <row r="56" spans="1:6" ht="12.75" customHeight="1" x14ac:dyDescent="0.2">
      <c r="A56" s="10">
        <v>36</v>
      </c>
      <c r="B56" s="223" t="s">
        <v>187</v>
      </c>
      <c r="C56" s="190" t="s">
        <v>107</v>
      </c>
      <c r="D56" s="231" t="s">
        <v>38</v>
      </c>
      <c r="E56" s="232">
        <v>1</v>
      </c>
      <c r="F56" s="226">
        <v>65.400000000000006</v>
      </c>
    </row>
    <row r="57" spans="1:6" ht="12.75" customHeight="1" x14ac:dyDescent="0.2">
      <c r="A57" s="10">
        <v>37</v>
      </c>
      <c r="B57" s="223" t="s">
        <v>188</v>
      </c>
      <c r="C57" s="190" t="s">
        <v>88</v>
      </c>
      <c r="D57" s="231" t="s">
        <v>38</v>
      </c>
      <c r="E57" s="232">
        <v>1</v>
      </c>
      <c r="F57" s="226">
        <v>132.99</v>
      </c>
    </row>
    <row r="58" spans="1:6" ht="12.75" customHeight="1" x14ac:dyDescent="0.2">
      <c r="A58" s="10">
        <v>38</v>
      </c>
      <c r="B58" s="223" t="s">
        <v>189</v>
      </c>
      <c r="C58" s="230" t="s">
        <v>55</v>
      </c>
      <c r="D58" s="231" t="s">
        <v>38</v>
      </c>
      <c r="E58" s="232">
        <v>1</v>
      </c>
      <c r="F58" s="226">
        <v>39.450000000000003</v>
      </c>
    </row>
    <row r="59" spans="1:6" ht="12.75" customHeight="1" x14ac:dyDescent="0.2">
      <c r="A59" s="10">
        <v>39</v>
      </c>
      <c r="B59" s="223" t="s">
        <v>190</v>
      </c>
      <c r="C59" s="230" t="s">
        <v>56</v>
      </c>
      <c r="D59" s="231" t="s">
        <v>17</v>
      </c>
      <c r="E59" s="232">
        <v>1</v>
      </c>
      <c r="F59" s="226">
        <v>1.78</v>
      </c>
    </row>
    <row r="60" spans="1:6" ht="12.75" customHeight="1" x14ac:dyDescent="0.2">
      <c r="A60" s="10">
        <v>40</v>
      </c>
      <c r="B60" s="223" t="s">
        <v>191</v>
      </c>
      <c r="C60" s="190" t="s">
        <v>57</v>
      </c>
      <c r="D60" s="231" t="s">
        <v>17</v>
      </c>
      <c r="E60" s="232">
        <v>1</v>
      </c>
      <c r="F60" s="226">
        <v>1.61</v>
      </c>
    </row>
    <row r="61" spans="1:6" ht="12.75" customHeight="1" x14ac:dyDescent="0.2">
      <c r="A61" s="10">
        <v>41</v>
      </c>
      <c r="B61" s="223" t="s">
        <v>192</v>
      </c>
      <c r="C61" s="238" t="s">
        <v>58</v>
      </c>
      <c r="D61" s="231" t="s">
        <v>38</v>
      </c>
      <c r="E61" s="232">
        <v>1</v>
      </c>
      <c r="F61" s="226">
        <v>10.45</v>
      </c>
    </row>
    <row r="62" spans="1:6" ht="12.75" customHeight="1" x14ac:dyDescent="0.2">
      <c r="A62" s="10">
        <v>42</v>
      </c>
      <c r="B62" s="223" t="s">
        <v>193</v>
      </c>
      <c r="C62" s="239" t="s">
        <v>59</v>
      </c>
      <c r="D62" s="231" t="s">
        <v>38</v>
      </c>
      <c r="E62" s="232">
        <v>1</v>
      </c>
      <c r="F62" s="226">
        <v>18.52</v>
      </c>
    </row>
    <row r="63" spans="1:6" ht="12.75" customHeight="1" x14ac:dyDescent="0.2">
      <c r="A63" s="10">
        <v>43</v>
      </c>
      <c r="B63" s="223" t="s">
        <v>194</v>
      </c>
      <c r="C63" s="239" t="s">
        <v>60</v>
      </c>
      <c r="D63" s="231" t="s">
        <v>38</v>
      </c>
      <c r="E63" s="232">
        <v>1</v>
      </c>
      <c r="F63" s="226">
        <v>18.52</v>
      </c>
    </row>
    <row r="64" spans="1:6" ht="12.75" customHeight="1" x14ac:dyDescent="0.2">
      <c r="A64" s="10">
        <v>44</v>
      </c>
      <c r="B64" s="223" t="s">
        <v>195</v>
      </c>
      <c r="C64" s="230" t="s">
        <v>61</v>
      </c>
      <c r="D64" s="231" t="s">
        <v>17</v>
      </c>
      <c r="E64" s="232">
        <v>1</v>
      </c>
      <c r="F64" s="226">
        <v>8.9499999999999993</v>
      </c>
    </row>
    <row r="65" spans="1:6" ht="12.75" customHeight="1" x14ac:dyDescent="0.2">
      <c r="A65" s="10">
        <v>45</v>
      </c>
      <c r="B65" s="223" t="s">
        <v>196</v>
      </c>
      <c r="C65" s="230" t="s">
        <v>62</v>
      </c>
      <c r="D65" s="231" t="s">
        <v>21</v>
      </c>
      <c r="E65" s="232">
        <v>1</v>
      </c>
      <c r="F65" s="226">
        <v>18.940000000000001</v>
      </c>
    </row>
    <row r="66" spans="1:6" ht="12.75" customHeight="1" x14ac:dyDescent="0.2">
      <c r="A66" s="10">
        <v>46</v>
      </c>
      <c r="B66" s="223" t="s">
        <v>197</v>
      </c>
      <c r="C66" s="230" t="s">
        <v>63</v>
      </c>
      <c r="D66" s="231" t="s">
        <v>19</v>
      </c>
      <c r="E66" s="232">
        <v>1</v>
      </c>
      <c r="F66" s="226">
        <v>1.77</v>
      </c>
    </row>
    <row r="67" spans="1:6" ht="12.75" customHeight="1" x14ac:dyDescent="0.2">
      <c r="A67" s="10">
        <v>47</v>
      </c>
      <c r="B67" s="223" t="s">
        <v>198</v>
      </c>
      <c r="C67" s="230" t="s">
        <v>134</v>
      </c>
      <c r="D67" s="231" t="s">
        <v>64</v>
      </c>
      <c r="E67" s="232">
        <v>1</v>
      </c>
      <c r="F67" s="226">
        <v>125.37</v>
      </c>
    </row>
    <row r="68" spans="1:6" ht="12.75" customHeight="1" x14ac:dyDescent="0.2">
      <c r="A68" s="10">
        <v>48</v>
      </c>
      <c r="B68" s="223" t="s">
        <v>199</v>
      </c>
      <c r="C68" s="230" t="s">
        <v>65</v>
      </c>
      <c r="D68" s="231" t="s">
        <v>17</v>
      </c>
      <c r="E68" s="232">
        <v>1</v>
      </c>
      <c r="F68" s="226">
        <v>0.92</v>
      </c>
    </row>
    <row r="69" spans="1:6" ht="12.75" customHeight="1" x14ac:dyDescent="0.2">
      <c r="A69" s="10">
        <v>49</v>
      </c>
      <c r="B69" s="223" t="s">
        <v>200</v>
      </c>
      <c r="C69" s="240" t="s">
        <v>66</v>
      </c>
      <c r="D69" s="241" t="s">
        <v>17</v>
      </c>
      <c r="E69" s="232">
        <v>1</v>
      </c>
      <c r="F69" s="226">
        <v>1.41</v>
      </c>
    </row>
    <row r="70" spans="1:6" ht="12.75" customHeight="1" x14ac:dyDescent="0.2">
      <c r="A70" s="75">
        <v>1</v>
      </c>
      <c r="B70" s="227" t="s">
        <v>201</v>
      </c>
      <c r="C70" s="228" t="s">
        <v>69</v>
      </c>
      <c r="D70" s="227" t="s">
        <v>21</v>
      </c>
      <c r="E70" s="232">
        <v>1</v>
      </c>
      <c r="F70" s="226">
        <v>7.8</v>
      </c>
    </row>
    <row r="71" spans="1:6" ht="12.75" customHeight="1" x14ac:dyDescent="0.2">
      <c r="A71" s="75">
        <v>2</v>
      </c>
      <c r="B71" s="227" t="s">
        <v>202</v>
      </c>
      <c r="C71" s="228" t="s">
        <v>70</v>
      </c>
      <c r="D71" s="227" t="s">
        <v>21</v>
      </c>
      <c r="E71" s="232">
        <v>1</v>
      </c>
      <c r="F71" s="226">
        <v>16.63</v>
      </c>
    </row>
    <row r="72" spans="1:6" ht="12.75" customHeight="1" x14ac:dyDescent="0.2">
      <c r="A72" s="75">
        <v>3</v>
      </c>
      <c r="B72" s="227" t="s">
        <v>203</v>
      </c>
      <c r="C72" s="189" t="s">
        <v>71</v>
      </c>
      <c r="D72" s="227" t="s">
        <v>19</v>
      </c>
      <c r="E72" s="232">
        <v>1</v>
      </c>
      <c r="F72" s="226">
        <v>6.09</v>
      </c>
    </row>
    <row r="73" spans="1:6" ht="12.75" customHeight="1" x14ac:dyDescent="0.2">
      <c r="A73" s="75">
        <v>4</v>
      </c>
      <c r="B73" s="227" t="s">
        <v>204</v>
      </c>
      <c r="C73" s="228" t="s">
        <v>72</v>
      </c>
      <c r="D73" s="227" t="s">
        <v>21</v>
      </c>
      <c r="E73" s="232">
        <v>1</v>
      </c>
      <c r="F73" s="226">
        <v>1.64</v>
      </c>
    </row>
    <row r="74" spans="1:6" ht="12.75" customHeight="1" x14ac:dyDescent="0.2">
      <c r="A74" s="75">
        <v>5</v>
      </c>
      <c r="B74" s="227" t="s">
        <v>205</v>
      </c>
      <c r="C74" s="228" t="s">
        <v>73</v>
      </c>
      <c r="D74" s="227" t="s">
        <v>21</v>
      </c>
      <c r="E74" s="232">
        <v>1</v>
      </c>
      <c r="F74" s="226">
        <v>8.5399999999999991</v>
      </c>
    </row>
    <row r="75" spans="1:6" ht="12.75" customHeight="1" x14ac:dyDescent="0.2">
      <c r="A75" s="75">
        <v>7</v>
      </c>
      <c r="B75" s="227" t="s">
        <v>206</v>
      </c>
      <c r="C75" s="228" t="s">
        <v>74</v>
      </c>
      <c r="D75" s="227" t="s">
        <v>19</v>
      </c>
      <c r="E75" s="232">
        <v>1</v>
      </c>
      <c r="F75" s="226">
        <v>1.78</v>
      </c>
    </row>
    <row r="76" spans="1:6" ht="12.75" customHeight="1" x14ac:dyDescent="0.2">
      <c r="A76" s="75">
        <v>8</v>
      </c>
      <c r="B76" s="227" t="s">
        <v>207</v>
      </c>
      <c r="C76" s="228" t="s">
        <v>75</v>
      </c>
      <c r="D76" s="227" t="s">
        <v>21</v>
      </c>
      <c r="E76" s="232">
        <v>1</v>
      </c>
      <c r="F76" s="226">
        <v>1.78</v>
      </c>
    </row>
    <row r="77" spans="1:6" ht="12.75" customHeight="1" x14ac:dyDescent="0.2">
      <c r="A77" s="75">
        <v>9</v>
      </c>
      <c r="B77" s="227" t="s">
        <v>208</v>
      </c>
      <c r="C77" s="228" t="s">
        <v>76</v>
      </c>
      <c r="D77" s="227" t="s">
        <v>77</v>
      </c>
      <c r="E77" s="232">
        <v>1</v>
      </c>
      <c r="F77" s="226">
        <v>21.54</v>
      </c>
    </row>
    <row r="78" spans="1:6" ht="12.75" customHeight="1" x14ac:dyDescent="0.2">
      <c r="A78" s="75">
        <v>10</v>
      </c>
      <c r="B78" s="227" t="s">
        <v>209</v>
      </c>
      <c r="C78" s="228" t="s">
        <v>78</v>
      </c>
      <c r="D78" s="227" t="s">
        <v>79</v>
      </c>
      <c r="E78" s="232">
        <v>1</v>
      </c>
      <c r="F78" s="226">
        <v>6.93</v>
      </c>
    </row>
    <row r="79" spans="1:6" ht="12.75" customHeight="1" x14ac:dyDescent="0.2">
      <c r="A79" s="75">
        <v>11</v>
      </c>
      <c r="B79" s="227" t="s">
        <v>210</v>
      </c>
      <c r="C79" s="228" t="s">
        <v>80</v>
      </c>
      <c r="D79" s="227" t="s">
        <v>79</v>
      </c>
      <c r="E79" s="232">
        <v>1</v>
      </c>
      <c r="F79" s="226">
        <v>27.54</v>
      </c>
    </row>
    <row r="80" spans="1:6" ht="12.75" customHeight="1" x14ac:dyDescent="0.2">
      <c r="A80" s="75">
        <v>12</v>
      </c>
      <c r="B80" s="227" t="s">
        <v>211</v>
      </c>
      <c r="C80" s="228" t="s">
        <v>81</v>
      </c>
      <c r="D80" s="227" t="s">
        <v>19</v>
      </c>
      <c r="E80" s="232">
        <v>1</v>
      </c>
      <c r="F80" s="226">
        <v>7.88</v>
      </c>
    </row>
    <row r="81" spans="1:6" ht="12.75" customHeight="1" x14ac:dyDescent="0.2">
      <c r="A81" s="75">
        <v>13</v>
      </c>
      <c r="B81" s="227" t="s">
        <v>212</v>
      </c>
      <c r="C81" s="228" t="s">
        <v>82</v>
      </c>
      <c r="D81" s="227" t="s">
        <v>19</v>
      </c>
      <c r="E81" s="232">
        <v>1</v>
      </c>
      <c r="F81" s="226">
        <v>14.48</v>
      </c>
    </row>
    <row r="82" spans="1:6" ht="12.75" customHeight="1" x14ac:dyDescent="0.2">
      <c r="A82" s="75">
        <v>14</v>
      </c>
      <c r="B82" s="227" t="s">
        <v>213</v>
      </c>
      <c r="C82" s="228" t="s">
        <v>83</v>
      </c>
      <c r="D82" s="227" t="s">
        <v>19</v>
      </c>
      <c r="E82" s="232">
        <v>1</v>
      </c>
      <c r="F82" s="226">
        <v>11.72</v>
      </c>
    </row>
    <row r="83" spans="1:6" ht="12.75" customHeight="1" x14ac:dyDescent="0.2">
      <c r="A83" s="75">
        <v>15</v>
      </c>
      <c r="B83" s="227" t="s">
        <v>214</v>
      </c>
      <c r="C83" s="228" t="s">
        <v>84</v>
      </c>
      <c r="D83" s="227" t="s">
        <v>19</v>
      </c>
      <c r="E83" s="232">
        <v>1</v>
      </c>
      <c r="F83" s="226">
        <v>1.89</v>
      </c>
    </row>
    <row r="84" spans="1:6" ht="12.75" customHeight="1" x14ac:dyDescent="0.2">
      <c r="A84" s="75">
        <v>16</v>
      </c>
      <c r="B84" s="227" t="s">
        <v>215</v>
      </c>
      <c r="C84" s="228" t="s">
        <v>85</v>
      </c>
      <c r="D84" s="227" t="s">
        <v>77</v>
      </c>
      <c r="E84" s="232">
        <v>1</v>
      </c>
      <c r="F84" s="226">
        <v>134.12</v>
      </c>
    </row>
    <row r="85" spans="1:6" ht="12.75" customHeight="1" x14ac:dyDescent="0.2">
      <c r="A85" s="10">
        <v>4</v>
      </c>
      <c r="B85" s="223" t="s">
        <v>236</v>
      </c>
      <c r="C85" s="233" t="s">
        <v>22</v>
      </c>
      <c r="D85" s="231" t="s">
        <v>21</v>
      </c>
      <c r="E85" s="232">
        <v>1</v>
      </c>
      <c r="F85" s="226">
        <v>24.35</v>
      </c>
    </row>
    <row r="86" spans="1:6" ht="12.75" customHeight="1" x14ac:dyDescent="0.2">
      <c r="A86" s="10">
        <v>27</v>
      </c>
      <c r="B86" s="223" t="s">
        <v>235</v>
      </c>
      <c r="C86" s="190" t="s">
        <v>108</v>
      </c>
      <c r="D86" s="231" t="s">
        <v>38</v>
      </c>
      <c r="E86" s="232">
        <v>1</v>
      </c>
      <c r="F86" s="226">
        <v>49.94</v>
      </c>
    </row>
    <row r="87" spans="1:6" ht="12.75" customHeight="1" x14ac:dyDescent="0.2">
      <c r="A87" s="10">
        <v>45</v>
      </c>
      <c r="B87" s="223" t="s">
        <v>237</v>
      </c>
      <c r="C87" s="230" t="s">
        <v>110</v>
      </c>
      <c r="D87" s="231" t="s">
        <v>19</v>
      </c>
      <c r="E87" s="232">
        <v>1</v>
      </c>
      <c r="F87" s="226">
        <v>13.08</v>
      </c>
    </row>
    <row r="88" spans="1:6" ht="12.75" customHeight="1" x14ac:dyDescent="0.2">
      <c r="A88" s="103">
        <v>26</v>
      </c>
      <c r="B88" s="223" t="s">
        <v>239</v>
      </c>
      <c r="C88" s="242" t="s">
        <v>111</v>
      </c>
      <c r="D88" s="231" t="s">
        <v>38</v>
      </c>
      <c r="E88" s="232">
        <v>1</v>
      </c>
      <c r="F88" s="226">
        <v>49.09</v>
      </c>
    </row>
    <row r="89" spans="1:6" ht="12.75" customHeight="1" x14ac:dyDescent="0.2">
      <c r="A89" s="103">
        <v>27</v>
      </c>
      <c r="B89" s="223" t="s">
        <v>238</v>
      </c>
      <c r="C89" s="242" t="s">
        <v>112</v>
      </c>
      <c r="D89" s="231" t="s">
        <v>38</v>
      </c>
      <c r="E89" s="232">
        <v>1</v>
      </c>
      <c r="F89" s="226">
        <v>16.190000000000001</v>
      </c>
    </row>
    <row r="90" spans="1:6" ht="12.75" customHeight="1" x14ac:dyDescent="0.2">
      <c r="A90" s="103">
        <v>30</v>
      </c>
      <c r="B90" s="223" t="s">
        <v>240</v>
      </c>
      <c r="C90" s="242" t="s">
        <v>113</v>
      </c>
      <c r="D90" s="231" t="s">
        <v>38</v>
      </c>
      <c r="E90" s="232">
        <v>1</v>
      </c>
      <c r="F90" s="226">
        <v>52.01</v>
      </c>
    </row>
    <row r="91" spans="1:6" ht="12.75" customHeight="1" x14ac:dyDescent="0.2">
      <c r="A91" s="103">
        <v>31</v>
      </c>
      <c r="B91" s="223" t="s">
        <v>241</v>
      </c>
      <c r="C91" s="242" t="s">
        <v>114</v>
      </c>
      <c r="D91" s="231" t="s">
        <v>38</v>
      </c>
      <c r="E91" s="232">
        <v>1</v>
      </c>
      <c r="F91" s="226">
        <v>39.909999999999997</v>
      </c>
    </row>
    <row r="92" spans="1:6" ht="12.75" customHeight="1" x14ac:dyDescent="0.2">
      <c r="A92" s="103">
        <v>33</v>
      </c>
      <c r="B92" s="223" t="s">
        <v>242</v>
      </c>
      <c r="C92" s="242" t="s">
        <v>115</v>
      </c>
      <c r="D92" s="231" t="s">
        <v>38</v>
      </c>
      <c r="E92" s="232">
        <v>1</v>
      </c>
      <c r="F92" s="226">
        <v>51.5</v>
      </c>
    </row>
    <row r="93" spans="1:6" ht="12.75" customHeight="1" x14ac:dyDescent="0.2">
      <c r="A93" s="103">
        <v>34</v>
      </c>
      <c r="B93" s="223" t="s">
        <v>243</v>
      </c>
      <c r="C93" s="242" t="s">
        <v>116</v>
      </c>
      <c r="D93" s="231" t="s">
        <v>38</v>
      </c>
      <c r="E93" s="232">
        <v>1</v>
      </c>
      <c r="F93" s="226">
        <v>167.64</v>
      </c>
    </row>
    <row r="94" spans="1:6" ht="12.75" customHeight="1" x14ac:dyDescent="0.2">
      <c r="A94" s="103">
        <v>35</v>
      </c>
      <c r="B94" s="223" t="s">
        <v>244</v>
      </c>
      <c r="C94" s="242" t="s">
        <v>117</v>
      </c>
      <c r="D94" s="231" t="s">
        <v>38</v>
      </c>
      <c r="E94" s="232">
        <v>1</v>
      </c>
      <c r="F94" s="226">
        <v>58.5</v>
      </c>
    </row>
    <row r="95" spans="1:6" ht="12.75" customHeight="1" x14ac:dyDescent="0.2">
      <c r="A95" s="103">
        <v>37</v>
      </c>
      <c r="B95" s="223" t="s">
        <v>245</v>
      </c>
      <c r="C95" s="242" t="s">
        <v>118</v>
      </c>
      <c r="D95" s="231" t="s">
        <v>38</v>
      </c>
      <c r="E95" s="232">
        <v>1</v>
      </c>
      <c r="F95" s="226">
        <v>47.92</v>
      </c>
    </row>
    <row r="96" spans="1:6" ht="12.75" customHeight="1" x14ac:dyDescent="0.2">
      <c r="A96" s="103">
        <v>38</v>
      </c>
      <c r="B96" s="223" t="s">
        <v>246</v>
      </c>
      <c r="C96" s="230" t="s">
        <v>119</v>
      </c>
      <c r="D96" s="231" t="s">
        <v>38</v>
      </c>
      <c r="E96" s="232">
        <v>1</v>
      </c>
      <c r="F96" s="226">
        <v>47.92</v>
      </c>
    </row>
    <row r="97" spans="1:6" ht="12.75" customHeight="1" x14ac:dyDescent="0.2">
      <c r="A97" s="103">
        <v>22</v>
      </c>
      <c r="B97" s="223" t="s">
        <v>247</v>
      </c>
      <c r="C97" s="230" t="s">
        <v>120</v>
      </c>
      <c r="D97" s="231" t="s">
        <v>17</v>
      </c>
      <c r="E97" s="232">
        <v>1</v>
      </c>
      <c r="F97" s="226">
        <v>27.46</v>
      </c>
    </row>
    <row r="98" spans="1:6" ht="12.75" customHeight="1" x14ac:dyDescent="0.2">
      <c r="A98" s="103">
        <v>26</v>
      </c>
      <c r="B98" s="223" t="s">
        <v>248</v>
      </c>
      <c r="C98" s="190" t="s">
        <v>124</v>
      </c>
      <c r="D98" s="231" t="s">
        <v>38</v>
      </c>
      <c r="E98" s="232">
        <v>1</v>
      </c>
      <c r="F98" s="226">
        <v>64.97</v>
      </c>
    </row>
    <row r="99" spans="1:6" ht="12.75" customHeight="1" x14ac:dyDescent="0.2">
      <c r="A99" s="10">
        <v>23</v>
      </c>
      <c r="B99" s="229" t="s">
        <v>249</v>
      </c>
      <c r="C99" s="236" t="s">
        <v>121</v>
      </c>
      <c r="D99" s="231" t="s">
        <v>38</v>
      </c>
      <c r="E99" s="232">
        <v>1</v>
      </c>
      <c r="F99" s="226">
        <v>47.17</v>
      </c>
    </row>
    <row r="100" spans="1:6" ht="12.75" customHeight="1" x14ac:dyDescent="0.2">
      <c r="A100" s="10">
        <v>24</v>
      </c>
      <c r="B100" s="229" t="s">
        <v>250</v>
      </c>
      <c r="C100" s="230" t="s">
        <v>122</v>
      </c>
      <c r="D100" s="231" t="s">
        <v>38</v>
      </c>
      <c r="E100" s="232">
        <v>1</v>
      </c>
      <c r="F100" s="226">
        <v>62.13</v>
      </c>
    </row>
    <row r="101" spans="1:6" ht="12.75" customHeight="1" x14ac:dyDescent="0.2">
      <c r="A101" s="10">
        <v>31</v>
      </c>
      <c r="B101" s="223" t="s">
        <v>251</v>
      </c>
      <c r="C101" s="230" t="s">
        <v>135</v>
      </c>
      <c r="D101" s="231" t="s">
        <v>64</v>
      </c>
      <c r="E101" s="232">
        <v>1</v>
      </c>
      <c r="F101" s="226">
        <v>125.37</v>
      </c>
    </row>
    <row r="102" spans="1:6" ht="12.75" customHeight="1" x14ac:dyDescent="0.2">
      <c r="A102" s="103">
        <v>29</v>
      </c>
      <c r="B102" s="223" t="s">
        <v>252</v>
      </c>
      <c r="C102" s="190" t="s">
        <v>125</v>
      </c>
      <c r="D102" s="231" t="s">
        <v>38</v>
      </c>
      <c r="E102" s="232">
        <v>1</v>
      </c>
      <c r="F102" s="226">
        <v>31.44</v>
      </c>
    </row>
    <row r="103" spans="1:6" ht="12.75" customHeight="1" x14ac:dyDescent="0.2">
      <c r="A103" s="103">
        <v>31</v>
      </c>
      <c r="B103" s="223" t="s">
        <v>253</v>
      </c>
      <c r="C103" s="190" t="s">
        <v>126</v>
      </c>
      <c r="D103" s="231" t="s">
        <v>38</v>
      </c>
      <c r="E103" s="232">
        <v>1</v>
      </c>
      <c r="F103" s="226">
        <v>40.61</v>
      </c>
    </row>
    <row r="104" spans="1:6" ht="12.75" customHeight="1" x14ac:dyDescent="0.2">
      <c r="A104" s="103">
        <v>32</v>
      </c>
      <c r="B104" s="223" t="s">
        <v>254</v>
      </c>
      <c r="C104" s="190" t="s">
        <v>127</v>
      </c>
      <c r="D104" s="231" t="s">
        <v>38</v>
      </c>
      <c r="E104" s="232">
        <v>1</v>
      </c>
      <c r="F104" s="226">
        <v>156.75</v>
      </c>
    </row>
    <row r="105" spans="1:6" ht="12.75" customHeight="1" x14ac:dyDescent="0.2">
      <c r="A105" s="103">
        <v>33</v>
      </c>
      <c r="B105" s="223" t="s">
        <v>255</v>
      </c>
      <c r="C105" s="190" t="s">
        <v>128</v>
      </c>
      <c r="D105" s="231" t="s">
        <v>38</v>
      </c>
      <c r="E105" s="232">
        <v>1</v>
      </c>
      <c r="F105" s="226">
        <v>53.66</v>
      </c>
    </row>
    <row r="106" spans="1:6" ht="12.75" customHeight="1" x14ac:dyDescent="0.2">
      <c r="A106" s="103">
        <v>35</v>
      </c>
      <c r="B106" s="223" t="s">
        <v>256</v>
      </c>
      <c r="C106" s="190" t="s">
        <v>129</v>
      </c>
      <c r="D106" s="231" t="s">
        <v>38</v>
      </c>
      <c r="E106" s="232">
        <v>1</v>
      </c>
      <c r="F106" s="226">
        <v>43.08</v>
      </c>
    </row>
    <row r="107" spans="1:6" ht="12.75" customHeight="1" x14ac:dyDescent="0.2">
      <c r="A107" s="103">
        <v>36</v>
      </c>
      <c r="B107" s="223" t="s">
        <v>257</v>
      </c>
      <c r="C107" s="230" t="s">
        <v>130</v>
      </c>
      <c r="D107" s="231" t="s">
        <v>38</v>
      </c>
      <c r="E107" s="232">
        <v>1</v>
      </c>
      <c r="F107" s="226">
        <v>43.08</v>
      </c>
    </row>
    <row r="108" spans="1:6" ht="12.75" customHeight="1" x14ac:dyDescent="0.2">
      <c r="A108" s="103">
        <v>25</v>
      </c>
      <c r="B108" s="223" t="s">
        <v>258</v>
      </c>
      <c r="C108" s="190" t="s">
        <v>92</v>
      </c>
      <c r="D108" s="231" t="s">
        <v>38</v>
      </c>
      <c r="E108" s="232">
        <v>1</v>
      </c>
      <c r="F108" s="226">
        <v>57.71</v>
      </c>
    </row>
    <row r="109" spans="1:6" ht="12.75" customHeight="1" x14ac:dyDescent="0.2">
      <c r="A109" s="103">
        <v>26</v>
      </c>
      <c r="B109" s="223" t="s">
        <v>259</v>
      </c>
      <c r="C109" s="190" t="s">
        <v>91</v>
      </c>
      <c r="D109" s="231" t="s">
        <v>38</v>
      </c>
      <c r="E109" s="232">
        <v>1</v>
      </c>
      <c r="F109" s="226">
        <v>41.12</v>
      </c>
    </row>
    <row r="110" spans="1:6" ht="12.75" customHeight="1" x14ac:dyDescent="0.2">
      <c r="A110" s="10">
        <v>28</v>
      </c>
      <c r="B110" s="223" t="s">
        <v>260</v>
      </c>
      <c r="C110" s="190" t="s">
        <v>94</v>
      </c>
      <c r="D110" s="231" t="s">
        <v>38</v>
      </c>
      <c r="E110" s="232">
        <v>1</v>
      </c>
      <c r="F110" s="226">
        <v>43.54</v>
      </c>
    </row>
    <row r="111" spans="1:6" ht="12.75" customHeight="1" x14ac:dyDescent="0.2">
      <c r="A111" s="103">
        <v>23</v>
      </c>
      <c r="B111" s="223" t="s">
        <v>261</v>
      </c>
      <c r="C111" s="230" t="s">
        <v>42</v>
      </c>
      <c r="D111" s="231" t="s">
        <v>17</v>
      </c>
      <c r="E111" s="232">
        <v>1</v>
      </c>
      <c r="F111" s="226">
        <v>8.64</v>
      </c>
    </row>
    <row r="112" spans="1:6" ht="12.75" customHeight="1" x14ac:dyDescent="0.2">
      <c r="A112" s="103">
        <v>24</v>
      </c>
      <c r="B112" s="223" t="s">
        <v>262</v>
      </c>
      <c r="C112" s="190" t="s">
        <v>43</v>
      </c>
      <c r="D112" s="231" t="s">
        <v>38</v>
      </c>
      <c r="E112" s="232">
        <v>1</v>
      </c>
      <c r="F112" s="226">
        <v>43.54</v>
      </c>
    </row>
    <row r="113" spans="1:6" ht="12.75" customHeight="1" x14ac:dyDescent="0.2">
      <c r="A113" s="103">
        <v>26</v>
      </c>
      <c r="B113" s="223" t="s">
        <v>263</v>
      </c>
      <c r="C113" s="190" t="s">
        <v>45</v>
      </c>
      <c r="D113" s="231" t="s">
        <v>38</v>
      </c>
      <c r="E113" s="232">
        <v>1</v>
      </c>
      <c r="F113" s="226">
        <v>61.34</v>
      </c>
    </row>
    <row r="114" spans="1:6" ht="12.75" customHeight="1" x14ac:dyDescent="0.2">
      <c r="A114" s="103">
        <v>28</v>
      </c>
      <c r="B114" s="223" t="s">
        <v>264</v>
      </c>
      <c r="C114" s="190" t="s">
        <v>47</v>
      </c>
      <c r="D114" s="231" t="s">
        <v>38</v>
      </c>
      <c r="E114" s="232">
        <v>1</v>
      </c>
      <c r="F114" s="226">
        <v>17.3</v>
      </c>
    </row>
    <row r="115" spans="1:6" ht="12.75" customHeight="1" x14ac:dyDescent="0.2">
      <c r="A115" s="103">
        <v>29</v>
      </c>
      <c r="B115" s="223" t="s">
        <v>265</v>
      </c>
      <c r="C115" s="190" t="s">
        <v>48</v>
      </c>
      <c r="D115" s="231" t="s">
        <v>38</v>
      </c>
      <c r="E115" s="232">
        <v>1</v>
      </c>
      <c r="F115" s="226">
        <v>19.600000000000001</v>
      </c>
    </row>
    <row r="116" spans="1:6" ht="12.75" customHeight="1" x14ac:dyDescent="0.2">
      <c r="A116" s="103">
        <v>35</v>
      </c>
      <c r="B116" s="223" t="s">
        <v>266</v>
      </c>
      <c r="C116" s="190" t="s">
        <v>54</v>
      </c>
      <c r="D116" s="231" t="s">
        <v>38</v>
      </c>
      <c r="E116" s="232">
        <v>1</v>
      </c>
      <c r="F116" s="226">
        <v>136.62</v>
      </c>
    </row>
    <row r="117" spans="1:6" ht="12.75" customHeight="1" x14ac:dyDescent="0.2">
      <c r="A117" s="103">
        <v>24</v>
      </c>
      <c r="B117" s="223" t="s">
        <v>267</v>
      </c>
      <c r="C117" s="190" t="s">
        <v>132</v>
      </c>
      <c r="D117" s="231" t="s">
        <v>38</v>
      </c>
      <c r="E117" s="232">
        <v>1</v>
      </c>
      <c r="F117" s="226">
        <v>42.09</v>
      </c>
    </row>
    <row r="118" spans="1:6" ht="12.75" customHeight="1" x14ac:dyDescent="0.2">
      <c r="A118" s="103">
        <v>27</v>
      </c>
      <c r="B118" s="223" t="s">
        <v>268</v>
      </c>
      <c r="C118" s="190" t="s">
        <v>133</v>
      </c>
      <c r="D118" s="231" t="s">
        <v>38</v>
      </c>
      <c r="E118" s="232">
        <v>1</v>
      </c>
      <c r="F118" s="226">
        <v>42.69</v>
      </c>
    </row>
    <row r="119" spans="1:6" ht="12.75" customHeight="1" x14ac:dyDescent="0.2">
      <c r="A119" s="103">
        <v>26</v>
      </c>
      <c r="B119" s="223" t="s">
        <v>270</v>
      </c>
      <c r="C119" s="190" t="s">
        <v>97</v>
      </c>
      <c r="D119" s="231" t="s">
        <v>38</v>
      </c>
      <c r="E119" s="232">
        <v>1</v>
      </c>
      <c r="F119" s="226">
        <v>40.51</v>
      </c>
    </row>
    <row r="121" spans="1:6" ht="12.75" x14ac:dyDescent="0.2">
      <c r="B121" s="146" t="s">
        <v>490</v>
      </c>
    </row>
  </sheetData>
  <autoFilter ref="A19:F119"/>
  <mergeCells count="9">
    <mergeCell ref="A20:D20"/>
    <mergeCell ref="A1:F1"/>
    <mergeCell ref="A2:F2"/>
    <mergeCell ref="A4:F4"/>
    <mergeCell ref="A16:A18"/>
    <mergeCell ref="C16:C18"/>
    <mergeCell ref="D16:D18"/>
    <mergeCell ref="E16:E18"/>
    <mergeCell ref="F16:F18"/>
  </mergeCells>
  <pageMargins left="0.7" right="0.7" top="0.75" bottom="0.75" header="0.3" footer="0.3"/>
  <pageSetup paperSize="9" scale="75" orientation="portrait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M30"/>
  <sheetViews>
    <sheetView view="pageBreakPreview" zoomScaleNormal="100" zoomScaleSheetLayoutView="100" workbookViewId="0">
      <selection activeCell="J6" sqref="J6"/>
    </sheetView>
  </sheetViews>
  <sheetFormatPr defaultColWidth="9.140625" defaultRowHeight="12.75" x14ac:dyDescent="0.2"/>
  <cols>
    <col min="1" max="1" width="6" style="162" customWidth="1"/>
    <col min="2" max="2" width="28.140625" style="146" customWidth="1"/>
    <col min="3" max="3" width="13.85546875" style="162" customWidth="1"/>
    <col min="4" max="4" width="23" style="198" customWidth="1"/>
    <col min="5" max="6" width="22.140625" style="198" customWidth="1"/>
    <col min="7" max="7" width="7.85546875" style="146" customWidth="1"/>
    <col min="8" max="8" width="14.28515625" style="146" bestFit="1" customWidth="1"/>
    <col min="9" max="9" width="9.140625" style="146"/>
    <col min="10" max="10" width="11.7109375" style="146" bestFit="1" customWidth="1"/>
    <col min="11" max="11" width="14.28515625" style="146" bestFit="1" customWidth="1"/>
    <col min="12" max="12" width="9.140625" style="146"/>
    <col min="13" max="13" width="13.7109375" style="146" customWidth="1"/>
    <col min="14" max="16384" width="9.140625" style="146"/>
  </cols>
  <sheetData>
    <row r="1" spans="1:6" ht="14.25" x14ac:dyDescent="0.2">
      <c r="A1" s="289" t="s">
        <v>216</v>
      </c>
      <c r="B1" s="289"/>
      <c r="C1" s="289"/>
      <c r="D1" s="191"/>
      <c r="E1" s="191"/>
      <c r="F1" s="191"/>
    </row>
    <row r="2" spans="1:6" ht="32.25" customHeight="1" x14ac:dyDescent="0.2">
      <c r="A2" s="290" t="s">
        <v>217</v>
      </c>
      <c r="B2" s="290"/>
      <c r="C2" s="290"/>
      <c r="D2" s="290"/>
      <c r="E2" s="290"/>
      <c r="F2" s="206"/>
    </row>
    <row r="3" spans="1:6" ht="14.25" x14ac:dyDescent="0.2">
      <c r="A3" s="147"/>
      <c r="B3" s="148"/>
      <c r="C3" s="149"/>
      <c r="D3" s="192"/>
      <c r="E3" s="192"/>
      <c r="F3" s="192"/>
    </row>
    <row r="4" spans="1:6" ht="14.25" x14ac:dyDescent="0.2">
      <c r="A4" s="147"/>
      <c r="B4" s="148"/>
      <c r="C4" s="149"/>
      <c r="D4" s="192"/>
      <c r="E4" s="192"/>
      <c r="F4" s="192"/>
    </row>
    <row r="5" spans="1:6" ht="14.25" x14ac:dyDescent="0.2">
      <c r="A5" s="291" t="s">
        <v>218</v>
      </c>
      <c r="B5" s="291"/>
      <c r="C5" s="291"/>
      <c r="D5" s="291"/>
      <c r="E5" s="291"/>
      <c r="F5" s="207"/>
    </row>
    <row r="6" spans="1:6" ht="15" thickBot="1" x14ac:dyDescent="0.25">
      <c r="A6" s="149"/>
      <c r="B6" s="1"/>
      <c r="C6" s="149"/>
      <c r="D6" s="192"/>
      <c r="E6" s="192"/>
      <c r="F6" s="192"/>
    </row>
    <row r="7" spans="1:6" ht="51" x14ac:dyDescent="0.2">
      <c r="A7" s="150" t="s">
        <v>9</v>
      </c>
      <c r="B7" s="151" t="s">
        <v>219</v>
      </c>
      <c r="C7" s="151" t="s">
        <v>220</v>
      </c>
      <c r="D7" s="193" t="s">
        <v>276</v>
      </c>
      <c r="E7" s="200" t="s">
        <v>275</v>
      </c>
      <c r="F7" s="208"/>
    </row>
    <row r="8" spans="1:6" ht="15.75" x14ac:dyDescent="0.2">
      <c r="A8" s="152">
        <v>1</v>
      </c>
      <c r="B8" s="153" t="s">
        <v>221</v>
      </c>
      <c r="C8" s="154">
        <f>[1]кл.I.3!H43</f>
        <v>376.2</v>
      </c>
      <c r="D8" s="194">
        <f>кл.I.3!G70</f>
        <v>103304.55999999998</v>
      </c>
      <c r="E8" s="201">
        <f>кл.I.3!G89</f>
        <v>83780.179999999993</v>
      </c>
      <c r="F8" s="209"/>
    </row>
    <row r="9" spans="1:6" ht="15.75" x14ac:dyDescent="0.2">
      <c r="A9" s="152">
        <v>2</v>
      </c>
      <c r="B9" s="153" t="s">
        <v>222</v>
      </c>
      <c r="C9" s="154">
        <f>[1]кл.I.4!H43</f>
        <v>99.8</v>
      </c>
      <c r="D9" s="194">
        <f>кл.I.4!G63</f>
        <v>26250.199999999993</v>
      </c>
      <c r="E9" s="201">
        <f>кл.I.4!G82</f>
        <v>23437.08</v>
      </c>
      <c r="F9" s="209"/>
    </row>
    <row r="10" spans="1:6" ht="15.75" x14ac:dyDescent="0.2">
      <c r="A10" s="152">
        <v>3</v>
      </c>
      <c r="B10" s="153" t="s">
        <v>223</v>
      </c>
      <c r="C10" s="154">
        <f>[1]кл.I.5!H43</f>
        <v>29.7</v>
      </c>
      <c r="D10" s="194">
        <f>кл.I.5!G60</f>
        <v>7794.4599999999991</v>
      </c>
      <c r="E10" s="201">
        <f>кл.I.5!G79</f>
        <v>7031.11</v>
      </c>
      <c r="F10" s="209"/>
    </row>
    <row r="11" spans="1:6" ht="15.75" x14ac:dyDescent="0.2">
      <c r="A11" s="152">
        <v>4</v>
      </c>
      <c r="B11" s="153" t="s">
        <v>224</v>
      </c>
      <c r="C11" s="154">
        <f>[1]кл.I.6!H43</f>
        <v>108</v>
      </c>
      <c r="D11" s="194">
        <f>кл.I.6!G53</f>
        <v>22464.179999999993</v>
      </c>
      <c r="E11" s="201">
        <f>кл.I.6!G72</f>
        <v>37498.97</v>
      </c>
      <c r="F11" s="209"/>
    </row>
    <row r="12" spans="1:6" ht="15.75" x14ac:dyDescent="0.2">
      <c r="A12" s="152">
        <v>5</v>
      </c>
      <c r="B12" s="153" t="s">
        <v>225</v>
      </c>
      <c r="C12" s="154">
        <f>[1]кл.I.7!H43</f>
        <v>25.4</v>
      </c>
      <c r="D12" s="194">
        <f>кл.I.7!G45</f>
        <v>4613.0700000000006</v>
      </c>
      <c r="E12" s="201">
        <f>кл.I.7!G64</f>
        <v>5686.86</v>
      </c>
      <c r="F12" s="209"/>
    </row>
    <row r="13" spans="1:6" ht="15.75" x14ac:dyDescent="0.2">
      <c r="A13" s="152">
        <v>6</v>
      </c>
      <c r="B13" s="153" t="s">
        <v>226</v>
      </c>
      <c r="C13" s="154">
        <f>[1]кл.I.8!H43</f>
        <v>134.4</v>
      </c>
      <c r="D13" s="194">
        <f>кл.I.8!G58</f>
        <v>36840.9</v>
      </c>
      <c r="E13" s="201">
        <f>кл.I.8!G77</f>
        <v>29114.54</v>
      </c>
      <c r="F13" s="209"/>
    </row>
    <row r="14" spans="1:6" ht="15.75" x14ac:dyDescent="0.2">
      <c r="A14" s="152">
        <v>7</v>
      </c>
      <c r="B14" s="153" t="s">
        <v>227</v>
      </c>
      <c r="C14" s="154">
        <f>[1]кл.10.1!H43</f>
        <v>221.8</v>
      </c>
      <c r="D14" s="194">
        <f>кл.10.1!G58</f>
        <v>55077.31</v>
      </c>
      <c r="E14" s="201">
        <f>кл.10.1!G77</f>
        <v>48859.040000000001</v>
      </c>
      <c r="F14" s="209"/>
    </row>
    <row r="15" spans="1:6" ht="15.75" x14ac:dyDescent="0.2">
      <c r="A15" s="152">
        <v>8</v>
      </c>
      <c r="B15" s="153" t="s">
        <v>228</v>
      </c>
      <c r="C15" s="154">
        <f>[1]кл.12!H43</f>
        <v>184.8</v>
      </c>
      <c r="D15" s="194">
        <f>кл.12!G59</f>
        <v>45070.86</v>
      </c>
      <c r="E15" s="201">
        <f>кл.12!G78</f>
        <v>41118.01</v>
      </c>
      <c r="F15" s="209"/>
    </row>
    <row r="16" spans="1:6" ht="15.75" x14ac:dyDescent="0.2">
      <c r="A16" s="152">
        <v>9</v>
      </c>
      <c r="B16" s="153" t="s">
        <v>229</v>
      </c>
      <c r="C16" s="154">
        <f>[1]кл.15!H43</f>
        <v>152.4</v>
      </c>
      <c r="D16" s="194">
        <f>кл.15!G58</f>
        <v>29658.749999999996</v>
      </c>
      <c r="E16" s="201">
        <f>кл.15!G77</f>
        <v>34454.86</v>
      </c>
      <c r="F16" s="209"/>
    </row>
    <row r="17" spans="1:13" ht="15.75" x14ac:dyDescent="0.2">
      <c r="A17" s="152">
        <v>10</v>
      </c>
      <c r="B17" s="153" t="s">
        <v>230</v>
      </c>
      <c r="C17" s="155">
        <v>251.9</v>
      </c>
      <c r="D17" s="194">
        <f>кл.25.1!G60</f>
        <v>65005.51</v>
      </c>
      <c r="E17" s="201">
        <f>кл.25.1!G79</f>
        <v>55545.460000000006</v>
      </c>
      <c r="F17" s="209"/>
    </row>
    <row r="18" spans="1:13" ht="15.75" x14ac:dyDescent="0.2">
      <c r="A18" s="152">
        <v>11</v>
      </c>
      <c r="B18" s="153" t="s">
        <v>231</v>
      </c>
      <c r="C18" s="154">
        <f>[1]кл.25.2!H43</f>
        <v>145.4</v>
      </c>
      <c r="D18" s="194">
        <f>кл.25.2!G59</f>
        <v>28620.829999999998</v>
      </c>
      <c r="E18" s="201">
        <f>кл.25.2!G78</f>
        <v>32432.559999999998</v>
      </c>
      <c r="F18" s="209"/>
    </row>
    <row r="19" spans="1:13" ht="16.5" thickBot="1" x14ac:dyDescent="0.25">
      <c r="A19" s="156">
        <v>12</v>
      </c>
      <c r="B19" s="157" t="s">
        <v>232</v>
      </c>
      <c r="C19" s="158">
        <f>[1]кл.25.3!H43</f>
        <v>206.6</v>
      </c>
      <c r="D19" s="194">
        <f>кл.25.3!G51</f>
        <v>41651.910000000018</v>
      </c>
      <c r="E19" s="201">
        <f>кл.25.3!G70</f>
        <v>48273.47</v>
      </c>
      <c r="F19" s="209"/>
      <c r="H19" s="218" t="s">
        <v>274</v>
      </c>
    </row>
    <row r="20" spans="1:13" ht="14.25" x14ac:dyDescent="0.2">
      <c r="A20" s="292" t="s">
        <v>136</v>
      </c>
      <c r="B20" s="293"/>
      <c r="C20" s="293"/>
      <c r="D20" s="195">
        <f>SUM(D8:D19)</f>
        <v>466352.54000000004</v>
      </c>
      <c r="E20" s="202">
        <f>SUM(E8:E19)</f>
        <v>447232.14</v>
      </c>
      <c r="F20" s="210">
        <f>D20+E20</f>
        <v>913584.68</v>
      </c>
      <c r="G20" s="159"/>
      <c r="H20" s="160">
        <v>942851.37</v>
      </c>
      <c r="I20" s="160" t="s">
        <v>273</v>
      </c>
      <c r="K20" s="216">
        <f>H20-F20</f>
        <v>29266.689999999944</v>
      </c>
      <c r="M20" s="225">
        <f>K20*2</f>
        <v>58533.379999999888</v>
      </c>
    </row>
    <row r="21" spans="1:13" ht="14.25" x14ac:dyDescent="0.2">
      <c r="A21" s="294" t="s">
        <v>233</v>
      </c>
      <c r="B21" s="295"/>
      <c r="C21" s="295"/>
      <c r="D21" s="196">
        <f>ROUND((D20*0.2),2)</f>
        <v>93270.51</v>
      </c>
      <c r="E21" s="203">
        <f>ROUND((E20*0.2),2)</f>
        <v>89446.43</v>
      </c>
      <c r="F21" s="224">
        <f>D21+E21</f>
        <v>182716.94</v>
      </c>
      <c r="H21" s="161"/>
    </row>
    <row r="22" spans="1:13" ht="15" thickBot="1" x14ac:dyDescent="0.25">
      <c r="A22" s="287" t="s">
        <v>234</v>
      </c>
      <c r="B22" s="288"/>
      <c r="C22" s="288"/>
      <c r="D22" s="197">
        <f>SUM(D20:D21)</f>
        <v>559623.05000000005</v>
      </c>
      <c r="E22" s="204">
        <f>SUM(E20:E21)</f>
        <v>536678.57000000007</v>
      </c>
      <c r="F22" s="210">
        <f>F20+F21</f>
        <v>1096301.6200000001</v>
      </c>
      <c r="H22" s="217">
        <f>H20/1936</f>
        <v>487.01000516528927</v>
      </c>
    </row>
    <row r="23" spans="1:13" ht="14.25" x14ac:dyDescent="0.2">
      <c r="A23" s="149"/>
      <c r="E23" s="192"/>
      <c r="F23" s="192"/>
    </row>
    <row r="24" spans="1:13" ht="14.25" x14ac:dyDescent="0.2">
      <c r="A24" s="149"/>
      <c r="E24" s="192"/>
      <c r="F24" s="192"/>
      <c r="H24" s="161"/>
    </row>
    <row r="25" spans="1:13" x14ac:dyDescent="0.2">
      <c r="E25" s="205"/>
      <c r="F25" s="205"/>
      <c r="I25" s="146">
        <f>H20*0.95</f>
        <v>895708.80149999994</v>
      </c>
    </row>
    <row r="26" spans="1:13" x14ac:dyDescent="0.2">
      <c r="H26" s="161"/>
    </row>
    <row r="27" spans="1:13" ht="14.25" x14ac:dyDescent="0.2">
      <c r="C27" s="163"/>
      <c r="D27" s="199"/>
      <c r="E27" s="199"/>
      <c r="F27" s="199"/>
    </row>
    <row r="28" spans="1:13" x14ac:dyDescent="0.2">
      <c r="A28" s="2"/>
      <c r="B28" s="146" t="s">
        <v>490</v>
      </c>
    </row>
    <row r="29" spans="1:13" x14ac:dyDescent="0.2">
      <c r="A29" s="2"/>
    </row>
    <row r="30" spans="1:13" x14ac:dyDescent="0.2">
      <c r="A30" s="2"/>
    </row>
  </sheetData>
  <mergeCells count="6">
    <mergeCell ref="A22:C22"/>
    <mergeCell ref="A1:C1"/>
    <mergeCell ref="A2:E2"/>
    <mergeCell ref="A5:E5"/>
    <mergeCell ref="A20:C20"/>
    <mergeCell ref="A21:C21"/>
  </mergeCells>
  <pageMargins left="0.7" right="0.7" top="0.75" bottom="0.75" header="0.3" footer="0.3"/>
  <pageSetup paperSize="9" scale="72" orientation="portrait" horizontalDpi="4294967293" verticalDpi="0" r:id="rId1"/>
  <colBreaks count="1" manualBreakCount="1">
    <brk id="7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2250"/>
  <sheetViews>
    <sheetView view="pageBreakPreview" topLeftCell="A2200" zoomScaleNormal="100" zoomScaleSheetLayoutView="100" workbookViewId="0">
      <selection activeCell="B2244" sqref="B2244"/>
    </sheetView>
  </sheetViews>
  <sheetFormatPr defaultRowHeight="11.25" x14ac:dyDescent="0.2"/>
  <cols>
    <col min="1" max="1" width="12" style="243" customWidth="1"/>
    <col min="2" max="2" width="42.5703125" style="243" customWidth="1"/>
    <col min="3" max="3" width="5" style="244" customWidth="1"/>
    <col min="4" max="4" width="9.140625" style="243" customWidth="1"/>
    <col min="5" max="5" width="4.28515625" style="244" customWidth="1"/>
    <col min="6" max="6" width="7.7109375" style="243" customWidth="1"/>
    <col min="7" max="7" width="9" style="243" customWidth="1"/>
    <col min="8" max="8" width="9.140625" style="243" customWidth="1"/>
    <col min="9" max="16384" width="9.140625" style="243"/>
  </cols>
  <sheetData>
    <row r="1" spans="1:7" ht="29.25" customHeight="1" x14ac:dyDescent="0.2"/>
    <row r="2" spans="1:7" ht="32.25" customHeight="1" x14ac:dyDescent="0.4">
      <c r="A2" s="296" t="s">
        <v>277</v>
      </c>
      <c r="B2" s="296"/>
      <c r="C2" s="296"/>
      <c r="D2" s="296"/>
      <c r="E2" s="296"/>
      <c r="F2" s="296"/>
      <c r="G2" s="296"/>
    </row>
    <row r="4" spans="1:7" x14ac:dyDescent="0.2">
      <c r="A4" s="245" t="s">
        <v>278</v>
      </c>
      <c r="B4" s="245" t="s">
        <v>279</v>
      </c>
      <c r="C4" s="246" t="s">
        <v>280</v>
      </c>
      <c r="D4" s="246" t="s">
        <v>281</v>
      </c>
      <c r="E4" s="246" t="s">
        <v>282</v>
      </c>
      <c r="F4" s="246" t="s">
        <v>283</v>
      </c>
      <c r="G4" s="246" t="s">
        <v>284</v>
      </c>
    </row>
    <row r="5" spans="1:7" x14ac:dyDescent="0.2">
      <c r="A5" s="247" t="s">
        <v>285</v>
      </c>
      <c r="B5" s="247" t="s">
        <v>286</v>
      </c>
      <c r="C5" s="247" t="s">
        <v>287</v>
      </c>
      <c r="D5" s="247" t="s">
        <v>288</v>
      </c>
      <c r="E5" s="247" t="s">
        <v>289</v>
      </c>
      <c r="F5" s="247" t="s">
        <v>290</v>
      </c>
      <c r="G5" s="247" t="s">
        <v>291</v>
      </c>
    </row>
    <row r="8" spans="1:7" x14ac:dyDescent="0.2">
      <c r="A8" s="248" t="s">
        <v>16</v>
      </c>
      <c r="B8" s="248"/>
      <c r="C8" s="249"/>
      <c r="D8" s="248"/>
      <c r="E8" s="249"/>
      <c r="F8" s="248"/>
      <c r="G8" s="248"/>
    </row>
    <row r="9" spans="1:7" x14ac:dyDescent="0.2">
      <c r="A9" s="250" t="s">
        <v>292</v>
      </c>
      <c r="G9" s="251" t="s">
        <v>293</v>
      </c>
    </row>
    <row r="11" spans="1:7" x14ac:dyDescent="0.2">
      <c r="A11" s="250"/>
      <c r="B11" s="250" t="s">
        <v>294</v>
      </c>
      <c r="C11" s="252"/>
      <c r="D11" s="250"/>
      <c r="E11" s="252"/>
      <c r="F11" s="250"/>
      <c r="G11" s="250">
        <v>0.38</v>
      </c>
    </row>
    <row r="12" spans="1:7" x14ac:dyDescent="0.2">
      <c r="A12" s="243" t="s">
        <v>295</v>
      </c>
      <c r="B12" s="243" t="s">
        <v>296</v>
      </c>
      <c r="C12" s="244" t="s">
        <v>297</v>
      </c>
      <c r="D12" s="253">
        <v>1.8800000000000001E-2</v>
      </c>
      <c r="E12" s="254">
        <v>1</v>
      </c>
      <c r="F12" s="243">
        <v>20</v>
      </c>
      <c r="G12" s="243">
        <v>0.38</v>
      </c>
    </row>
    <row r="14" spans="1:7" x14ac:dyDescent="0.2">
      <c r="A14" s="250"/>
      <c r="B14" s="250" t="s">
        <v>298</v>
      </c>
      <c r="C14" s="252"/>
      <c r="D14" s="255">
        <v>0.15</v>
      </c>
      <c r="E14" s="252"/>
      <c r="F14" s="250"/>
      <c r="G14" s="250">
        <v>1.5</v>
      </c>
    </row>
    <row r="15" spans="1:7" x14ac:dyDescent="0.2">
      <c r="A15" s="243" t="s">
        <v>295</v>
      </c>
      <c r="B15" s="243" t="s">
        <v>521</v>
      </c>
      <c r="C15" s="244" t="s">
        <v>299</v>
      </c>
      <c r="D15" s="253">
        <v>0.15</v>
      </c>
      <c r="E15" s="254">
        <v>1</v>
      </c>
      <c r="F15" s="243">
        <v>10</v>
      </c>
      <c r="G15" s="243">
        <v>1.5</v>
      </c>
    </row>
    <row r="17" spans="1:7" x14ac:dyDescent="0.2">
      <c r="A17" s="250"/>
      <c r="B17" s="250" t="s">
        <v>300</v>
      </c>
      <c r="C17" s="252"/>
      <c r="D17" s="250"/>
      <c r="E17" s="252"/>
      <c r="F17" s="250"/>
      <c r="G17" s="250">
        <v>1.33</v>
      </c>
    </row>
    <row r="18" spans="1:7" x14ac:dyDescent="0.2">
      <c r="B18" s="243" t="s">
        <v>301</v>
      </c>
      <c r="C18" s="244" t="s">
        <v>302</v>
      </c>
      <c r="D18" s="243">
        <v>80</v>
      </c>
      <c r="G18" s="243">
        <v>1.2</v>
      </c>
    </row>
    <row r="19" spans="1:7" x14ac:dyDescent="0.2">
      <c r="B19" s="243" t="s">
        <v>303</v>
      </c>
      <c r="C19" s="244" t="s">
        <v>302</v>
      </c>
      <c r="D19" s="243">
        <v>35</v>
      </c>
      <c r="G19" s="243">
        <v>0.13</v>
      </c>
    </row>
    <row r="21" spans="1:7" x14ac:dyDescent="0.2">
      <c r="A21" s="250"/>
      <c r="B21" s="250" t="s">
        <v>284</v>
      </c>
      <c r="C21" s="252"/>
      <c r="D21" s="250"/>
      <c r="E21" s="252"/>
      <c r="F21" s="250"/>
      <c r="G21" s="250"/>
    </row>
    <row r="22" spans="1:7" x14ac:dyDescent="0.2">
      <c r="B22" s="243" t="s">
        <v>304</v>
      </c>
      <c r="G22" s="243">
        <v>1.88</v>
      </c>
    </row>
    <row r="23" spans="1:7" x14ac:dyDescent="0.2">
      <c r="B23" s="243" t="s">
        <v>305</v>
      </c>
      <c r="G23" s="243">
        <v>1.33</v>
      </c>
    </row>
    <row r="24" spans="1:7" x14ac:dyDescent="0.2">
      <c r="B24" s="243" t="s">
        <v>306</v>
      </c>
      <c r="G24" s="243">
        <v>3.21</v>
      </c>
    </row>
    <row r="25" spans="1:7" x14ac:dyDescent="0.2">
      <c r="B25" s="243" t="s">
        <v>307</v>
      </c>
      <c r="C25" s="244" t="s">
        <v>302</v>
      </c>
      <c r="D25" s="243" t="s">
        <v>308</v>
      </c>
      <c r="G25" s="243">
        <v>0.32</v>
      </c>
    </row>
    <row r="27" spans="1:7" x14ac:dyDescent="0.2">
      <c r="A27" s="248"/>
      <c r="B27" s="248" t="s">
        <v>284</v>
      </c>
      <c r="C27" s="249"/>
      <c r="D27" s="248"/>
      <c r="E27" s="249"/>
      <c r="F27" s="248"/>
      <c r="G27" s="248">
        <v>3.53</v>
      </c>
    </row>
    <row r="29" spans="1:7" x14ac:dyDescent="0.2">
      <c r="A29" s="248" t="s">
        <v>18</v>
      </c>
      <c r="B29" s="248"/>
      <c r="C29" s="249"/>
      <c r="D29" s="248"/>
      <c r="E29" s="249"/>
      <c r="F29" s="248"/>
      <c r="G29" s="248"/>
    </row>
    <row r="30" spans="1:7" x14ac:dyDescent="0.2">
      <c r="A30" s="250" t="s">
        <v>309</v>
      </c>
      <c r="G30" s="251" t="s">
        <v>310</v>
      </c>
    </row>
    <row r="32" spans="1:7" x14ac:dyDescent="0.2">
      <c r="A32" s="250"/>
      <c r="B32" s="250" t="s">
        <v>294</v>
      </c>
      <c r="C32" s="252"/>
      <c r="D32" s="250"/>
      <c r="E32" s="252"/>
      <c r="F32" s="250"/>
      <c r="G32" s="250">
        <v>1.42</v>
      </c>
    </row>
    <row r="33" spans="1:7" x14ac:dyDescent="0.2">
      <c r="A33" s="243" t="s">
        <v>295</v>
      </c>
      <c r="B33" s="243" t="s">
        <v>311</v>
      </c>
      <c r="C33" s="244" t="s">
        <v>297</v>
      </c>
      <c r="D33" s="253">
        <v>4.0000000000000001E-3</v>
      </c>
      <c r="E33" s="254">
        <v>1</v>
      </c>
      <c r="F33" s="243">
        <v>280</v>
      </c>
      <c r="G33" s="243">
        <v>1.1200000000000001</v>
      </c>
    </row>
    <row r="34" spans="1:7" x14ac:dyDescent="0.2">
      <c r="A34" s="243" t="s">
        <v>295</v>
      </c>
      <c r="B34" s="243" t="s">
        <v>491</v>
      </c>
      <c r="C34" s="244" t="s">
        <v>297</v>
      </c>
      <c r="D34" s="253">
        <v>1.1999999999999999E-3</v>
      </c>
      <c r="E34" s="254">
        <v>1</v>
      </c>
      <c r="F34" s="243">
        <v>250</v>
      </c>
      <c r="G34" s="243">
        <v>0.3</v>
      </c>
    </row>
    <row r="36" spans="1:7" x14ac:dyDescent="0.2">
      <c r="A36" s="250"/>
      <c r="B36" s="250" t="s">
        <v>298</v>
      </c>
      <c r="C36" s="252"/>
      <c r="D36" s="255">
        <v>0.24099999999999999</v>
      </c>
      <c r="E36" s="252"/>
      <c r="F36" s="250"/>
      <c r="G36" s="250">
        <v>2.41</v>
      </c>
    </row>
    <row r="37" spans="1:7" x14ac:dyDescent="0.2">
      <c r="A37" s="243" t="s">
        <v>295</v>
      </c>
      <c r="B37" s="243" t="s">
        <v>521</v>
      </c>
      <c r="C37" s="244" t="s">
        <v>299</v>
      </c>
      <c r="D37" s="253">
        <v>0.24099999999999999</v>
      </c>
      <c r="E37" s="254">
        <v>1</v>
      </c>
      <c r="F37" s="243">
        <v>10</v>
      </c>
      <c r="G37" s="243">
        <v>2.41</v>
      </c>
    </row>
    <row r="39" spans="1:7" x14ac:dyDescent="0.2">
      <c r="A39" s="250"/>
      <c r="B39" s="250" t="s">
        <v>300</v>
      </c>
      <c r="C39" s="252"/>
      <c r="D39" s="250"/>
      <c r="E39" s="252"/>
      <c r="F39" s="250"/>
      <c r="G39" s="250">
        <v>2.4300000000000002</v>
      </c>
    </row>
    <row r="40" spans="1:7" x14ac:dyDescent="0.2">
      <c r="B40" s="243" t="s">
        <v>301</v>
      </c>
      <c r="C40" s="244" t="s">
        <v>302</v>
      </c>
      <c r="D40" s="243">
        <v>80</v>
      </c>
      <c r="G40" s="243">
        <v>1.93</v>
      </c>
    </row>
    <row r="41" spans="1:7" x14ac:dyDescent="0.2">
      <c r="B41" s="243" t="s">
        <v>303</v>
      </c>
      <c r="C41" s="244" t="s">
        <v>302</v>
      </c>
      <c r="D41" s="243">
        <v>35</v>
      </c>
      <c r="G41" s="243">
        <v>0.5</v>
      </c>
    </row>
    <row r="43" spans="1:7" x14ac:dyDescent="0.2">
      <c r="A43" s="250"/>
      <c r="B43" s="250" t="s">
        <v>284</v>
      </c>
      <c r="C43" s="252"/>
      <c r="D43" s="250"/>
      <c r="E43" s="252"/>
      <c r="F43" s="250"/>
      <c r="G43" s="250"/>
    </row>
    <row r="44" spans="1:7" x14ac:dyDescent="0.2">
      <c r="B44" s="243" t="s">
        <v>304</v>
      </c>
      <c r="G44" s="243">
        <v>3.83</v>
      </c>
    </row>
    <row r="45" spans="1:7" x14ac:dyDescent="0.2">
      <c r="B45" s="243" t="s">
        <v>305</v>
      </c>
      <c r="G45" s="243">
        <v>2.4300000000000002</v>
      </c>
    </row>
    <row r="46" spans="1:7" x14ac:dyDescent="0.2">
      <c r="B46" s="243" t="s">
        <v>306</v>
      </c>
      <c r="G46" s="243">
        <v>6.26</v>
      </c>
    </row>
    <row r="47" spans="1:7" x14ac:dyDescent="0.2">
      <c r="B47" s="243" t="s">
        <v>307</v>
      </c>
      <c r="C47" s="244" t="s">
        <v>302</v>
      </c>
      <c r="D47" s="243" t="s">
        <v>308</v>
      </c>
      <c r="G47" s="243">
        <v>0.63</v>
      </c>
    </row>
    <row r="49" spans="1:7" x14ac:dyDescent="0.2">
      <c r="A49" s="248"/>
      <c r="B49" s="248" t="s">
        <v>284</v>
      </c>
      <c r="C49" s="249"/>
      <c r="D49" s="248"/>
      <c r="E49" s="249"/>
      <c r="F49" s="248"/>
      <c r="G49" s="248">
        <v>6.89</v>
      </c>
    </row>
    <row r="51" spans="1:7" x14ac:dyDescent="0.2">
      <c r="A51" s="248" t="s">
        <v>20</v>
      </c>
      <c r="B51" s="248"/>
      <c r="C51" s="249"/>
      <c r="D51" s="248"/>
      <c r="E51" s="249"/>
      <c r="F51" s="248"/>
      <c r="G51" s="248"/>
    </row>
    <row r="52" spans="1:7" x14ac:dyDescent="0.2">
      <c r="A52" s="250" t="s">
        <v>312</v>
      </c>
      <c r="G52" s="251" t="s">
        <v>313</v>
      </c>
    </row>
    <row r="54" spans="1:7" x14ac:dyDescent="0.2">
      <c r="A54" s="250"/>
      <c r="B54" s="250" t="s">
        <v>294</v>
      </c>
      <c r="C54" s="252"/>
      <c r="D54" s="250"/>
      <c r="E54" s="252"/>
      <c r="F54" s="250"/>
      <c r="G54" s="250">
        <v>3.7</v>
      </c>
    </row>
    <row r="55" spans="1:7" x14ac:dyDescent="0.2">
      <c r="A55" s="243" t="s">
        <v>295</v>
      </c>
      <c r="B55" s="243" t="s">
        <v>314</v>
      </c>
      <c r="C55" s="244" t="s">
        <v>297</v>
      </c>
      <c r="D55" s="253">
        <v>1.4800000000000001E-2</v>
      </c>
      <c r="E55" s="254">
        <v>1</v>
      </c>
      <c r="F55" s="243">
        <v>250</v>
      </c>
      <c r="G55" s="243">
        <v>3.7</v>
      </c>
    </row>
    <row r="57" spans="1:7" x14ac:dyDescent="0.2">
      <c r="A57" s="250"/>
      <c r="B57" s="250" t="s">
        <v>300</v>
      </c>
      <c r="C57" s="252"/>
      <c r="D57" s="250"/>
      <c r="E57" s="252"/>
      <c r="F57" s="250"/>
      <c r="G57" s="250">
        <v>1.3</v>
      </c>
    </row>
    <row r="58" spans="1:7" x14ac:dyDescent="0.2">
      <c r="B58" s="243" t="s">
        <v>303</v>
      </c>
      <c r="C58" s="244" t="s">
        <v>302</v>
      </c>
      <c r="D58" s="243">
        <v>35</v>
      </c>
      <c r="G58" s="243">
        <v>1.3</v>
      </c>
    </row>
    <row r="60" spans="1:7" x14ac:dyDescent="0.2">
      <c r="A60" s="250"/>
      <c r="B60" s="250" t="s">
        <v>284</v>
      </c>
      <c r="C60" s="252"/>
      <c r="D60" s="250"/>
      <c r="E60" s="252"/>
      <c r="F60" s="250"/>
      <c r="G60" s="250"/>
    </row>
    <row r="61" spans="1:7" x14ac:dyDescent="0.2">
      <c r="B61" s="243" t="s">
        <v>304</v>
      </c>
      <c r="G61" s="243">
        <v>3.7</v>
      </c>
    </row>
    <row r="62" spans="1:7" x14ac:dyDescent="0.2">
      <c r="B62" s="243" t="s">
        <v>305</v>
      </c>
      <c r="G62" s="243">
        <v>1.3</v>
      </c>
    </row>
    <row r="63" spans="1:7" x14ac:dyDescent="0.2">
      <c r="B63" s="243" t="s">
        <v>306</v>
      </c>
      <c r="G63" s="243">
        <v>5</v>
      </c>
    </row>
    <row r="64" spans="1:7" x14ac:dyDescent="0.2">
      <c r="B64" s="243" t="s">
        <v>307</v>
      </c>
      <c r="C64" s="244" t="s">
        <v>302</v>
      </c>
      <c r="D64" s="243" t="s">
        <v>308</v>
      </c>
      <c r="G64" s="243">
        <v>0.5</v>
      </c>
    </row>
    <row r="66" spans="1:7" x14ac:dyDescent="0.2">
      <c r="A66" s="248"/>
      <c r="B66" s="248" t="s">
        <v>284</v>
      </c>
      <c r="C66" s="249"/>
      <c r="D66" s="248"/>
      <c r="E66" s="249"/>
      <c r="F66" s="248"/>
      <c r="G66" s="248">
        <v>5.5</v>
      </c>
    </row>
    <row r="68" spans="1:7" x14ac:dyDescent="0.2">
      <c r="A68" s="248" t="s">
        <v>100</v>
      </c>
      <c r="B68" s="248"/>
      <c r="C68" s="249"/>
      <c r="D68" s="248"/>
      <c r="E68" s="249"/>
      <c r="F68" s="248"/>
      <c r="G68" s="248"/>
    </row>
    <row r="69" spans="1:7" x14ac:dyDescent="0.2">
      <c r="A69" s="250" t="s">
        <v>315</v>
      </c>
      <c r="G69" s="251" t="s">
        <v>313</v>
      </c>
    </row>
    <row r="71" spans="1:7" x14ac:dyDescent="0.2">
      <c r="A71" s="250"/>
      <c r="B71" s="250" t="s">
        <v>298</v>
      </c>
      <c r="C71" s="252"/>
      <c r="D71" s="255">
        <v>1.23</v>
      </c>
      <c r="E71" s="252"/>
      <c r="F71" s="250"/>
      <c r="G71" s="250">
        <v>12.3</v>
      </c>
    </row>
    <row r="72" spans="1:7" x14ac:dyDescent="0.2">
      <c r="A72" s="243" t="s">
        <v>295</v>
      </c>
      <c r="B72" s="243" t="s">
        <v>521</v>
      </c>
      <c r="C72" s="244" t="s">
        <v>299</v>
      </c>
      <c r="D72" s="253">
        <v>0.82</v>
      </c>
      <c r="E72" s="254">
        <v>1</v>
      </c>
      <c r="F72" s="243">
        <v>10</v>
      </c>
      <c r="G72" s="243">
        <v>8.1999999999999993</v>
      </c>
    </row>
    <row r="73" spans="1:7" x14ac:dyDescent="0.2">
      <c r="A73" s="243" t="s">
        <v>295</v>
      </c>
      <c r="B73" s="243" t="s">
        <v>521</v>
      </c>
      <c r="C73" s="244" t="s">
        <v>299</v>
      </c>
      <c r="D73" s="253">
        <v>0.41</v>
      </c>
      <c r="E73" s="254">
        <v>1</v>
      </c>
      <c r="F73" s="243">
        <v>10</v>
      </c>
      <c r="G73" s="243">
        <v>4.0999999999999996</v>
      </c>
    </row>
    <row r="75" spans="1:7" x14ac:dyDescent="0.2">
      <c r="A75" s="250"/>
      <c r="B75" s="250" t="s">
        <v>300</v>
      </c>
      <c r="C75" s="252"/>
      <c r="D75" s="250"/>
      <c r="E75" s="252"/>
      <c r="F75" s="250"/>
      <c r="G75" s="250">
        <v>9.84</v>
      </c>
    </row>
    <row r="76" spans="1:7" x14ac:dyDescent="0.2">
      <c r="B76" s="243" t="s">
        <v>301</v>
      </c>
      <c r="C76" s="244" t="s">
        <v>302</v>
      </c>
      <c r="D76" s="243">
        <v>80</v>
      </c>
      <c r="G76" s="243">
        <v>9.84</v>
      </c>
    </row>
    <row r="78" spans="1:7" x14ac:dyDescent="0.2">
      <c r="A78" s="250"/>
      <c r="B78" s="250" t="s">
        <v>284</v>
      </c>
      <c r="C78" s="252"/>
      <c r="D78" s="250"/>
      <c r="E78" s="252"/>
      <c r="F78" s="250"/>
      <c r="G78" s="250"/>
    </row>
    <row r="79" spans="1:7" x14ac:dyDescent="0.2">
      <c r="B79" s="243" t="s">
        <v>304</v>
      </c>
      <c r="G79" s="243">
        <v>12.3</v>
      </c>
    </row>
    <row r="80" spans="1:7" x14ac:dyDescent="0.2">
      <c r="B80" s="243" t="s">
        <v>305</v>
      </c>
      <c r="G80" s="243">
        <v>9.84</v>
      </c>
    </row>
    <row r="81" spans="1:7" x14ac:dyDescent="0.2">
      <c r="B81" s="243" t="s">
        <v>306</v>
      </c>
      <c r="G81" s="243">
        <v>22.14</v>
      </c>
    </row>
    <row r="82" spans="1:7" x14ac:dyDescent="0.2">
      <c r="B82" s="243" t="s">
        <v>307</v>
      </c>
      <c r="C82" s="244" t="s">
        <v>302</v>
      </c>
      <c r="D82" s="243" t="s">
        <v>308</v>
      </c>
      <c r="G82" s="243">
        <v>2.21</v>
      </c>
    </row>
    <row r="84" spans="1:7" x14ac:dyDescent="0.2">
      <c r="A84" s="248"/>
      <c r="B84" s="248" t="s">
        <v>284</v>
      </c>
      <c r="C84" s="249"/>
      <c r="D84" s="248"/>
      <c r="E84" s="249"/>
      <c r="F84" s="248"/>
      <c r="G84" s="248">
        <v>24.35</v>
      </c>
    </row>
    <row r="86" spans="1:7" x14ac:dyDescent="0.2">
      <c r="A86" s="248" t="s">
        <v>23</v>
      </c>
      <c r="B86" s="248"/>
      <c r="C86" s="249"/>
      <c r="D86" s="248"/>
      <c r="E86" s="249"/>
      <c r="F86" s="248"/>
      <c r="G86" s="248"/>
    </row>
    <row r="87" spans="1:7" x14ac:dyDescent="0.2">
      <c r="A87" s="250" t="s">
        <v>316</v>
      </c>
      <c r="G87" s="251" t="s">
        <v>313</v>
      </c>
    </row>
    <row r="89" spans="1:7" x14ac:dyDescent="0.2">
      <c r="A89" s="250"/>
      <c r="B89" s="250" t="s">
        <v>298</v>
      </c>
      <c r="C89" s="252"/>
      <c r="D89" s="255">
        <v>0.63</v>
      </c>
      <c r="E89" s="252"/>
      <c r="F89" s="250"/>
      <c r="G89" s="250">
        <v>6.3</v>
      </c>
    </row>
    <row r="90" spans="1:7" x14ac:dyDescent="0.2">
      <c r="A90" s="243" t="s">
        <v>295</v>
      </c>
      <c r="B90" s="243" t="s">
        <v>521</v>
      </c>
      <c r="C90" s="244" t="s">
        <v>299</v>
      </c>
      <c r="D90" s="253">
        <v>0.42</v>
      </c>
      <c r="E90" s="254">
        <v>1</v>
      </c>
      <c r="F90" s="243">
        <v>10</v>
      </c>
      <c r="G90" s="243">
        <v>4.2</v>
      </c>
    </row>
    <row r="91" spans="1:7" x14ac:dyDescent="0.2">
      <c r="A91" s="243" t="s">
        <v>295</v>
      </c>
      <c r="B91" s="243" t="s">
        <v>521</v>
      </c>
      <c r="C91" s="244" t="s">
        <v>299</v>
      </c>
      <c r="D91" s="253">
        <v>0.21</v>
      </c>
      <c r="E91" s="254">
        <v>1</v>
      </c>
      <c r="F91" s="243">
        <v>10</v>
      </c>
      <c r="G91" s="243">
        <v>2.1</v>
      </c>
    </row>
    <row r="93" spans="1:7" x14ac:dyDescent="0.2">
      <c r="A93" s="250"/>
      <c r="B93" s="250" t="s">
        <v>300</v>
      </c>
      <c r="C93" s="252"/>
      <c r="D93" s="250"/>
      <c r="E93" s="252"/>
      <c r="F93" s="250"/>
      <c r="G93" s="250">
        <v>5.04</v>
      </c>
    </row>
    <row r="94" spans="1:7" x14ac:dyDescent="0.2">
      <c r="B94" s="243" t="s">
        <v>301</v>
      </c>
      <c r="C94" s="244" t="s">
        <v>302</v>
      </c>
      <c r="D94" s="243">
        <v>80</v>
      </c>
      <c r="G94" s="243">
        <v>5.04</v>
      </c>
    </row>
    <row r="96" spans="1:7" x14ac:dyDescent="0.2">
      <c r="A96" s="250"/>
      <c r="B96" s="250" t="s">
        <v>284</v>
      </c>
      <c r="C96" s="252"/>
      <c r="D96" s="250"/>
      <c r="E96" s="252"/>
      <c r="F96" s="250"/>
      <c r="G96" s="250"/>
    </row>
    <row r="97" spans="1:7" x14ac:dyDescent="0.2">
      <c r="B97" s="243" t="s">
        <v>304</v>
      </c>
      <c r="G97" s="243">
        <v>6.3</v>
      </c>
    </row>
    <row r="98" spans="1:7" x14ac:dyDescent="0.2">
      <c r="B98" s="243" t="s">
        <v>305</v>
      </c>
      <c r="G98" s="243">
        <v>5.04</v>
      </c>
    </row>
    <row r="99" spans="1:7" x14ac:dyDescent="0.2">
      <c r="B99" s="243" t="s">
        <v>306</v>
      </c>
      <c r="G99" s="243">
        <v>11.34</v>
      </c>
    </row>
    <row r="100" spans="1:7" x14ac:dyDescent="0.2">
      <c r="B100" s="243" t="s">
        <v>307</v>
      </c>
      <c r="C100" s="244" t="s">
        <v>302</v>
      </c>
      <c r="D100" s="243" t="s">
        <v>308</v>
      </c>
      <c r="G100" s="243">
        <v>1.1299999999999999</v>
      </c>
    </row>
    <row r="102" spans="1:7" x14ac:dyDescent="0.2">
      <c r="A102" s="248"/>
      <c r="B102" s="248" t="s">
        <v>284</v>
      </c>
      <c r="C102" s="249"/>
      <c r="D102" s="248"/>
      <c r="E102" s="249"/>
      <c r="F102" s="248"/>
      <c r="G102" s="248">
        <v>12.47</v>
      </c>
    </row>
    <row r="104" spans="1:7" x14ac:dyDescent="0.2">
      <c r="A104" s="248" t="s">
        <v>24</v>
      </c>
      <c r="B104" s="248"/>
      <c r="C104" s="249"/>
      <c r="D104" s="248"/>
      <c r="E104" s="249"/>
      <c r="F104" s="248"/>
      <c r="G104" s="248"/>
    </row>
    <row r="105" spans="1:7" x14ac:dyDescent="0.2">
      <c r="A105" s="250" t="s">
        <v>317</v>
      </c>
      <c r="G105" s="251" t="s">
        <v>313</v>
      </c>
    </row>
    <row r="107" spans="1:7" x14ac:dyDescent="0.2">
      <c r="A107" s="250"/>
      <c r="B107" s="250" t="s">
        <v>294</v>
      </c>
      <c r="C107" s="252"/>
      <c r="D107" s="250"/>
      <c r="E107" s="252"/>
      <c r="F107" s="250"/>
      <c r="G107" s="250">
        <v>1.88</v>
      </c>
    </row>
    <row r="108" spans="1:7" x14ac:dyDescent="0.2">
      <c r="A108" s="243" t="s">
        <v>295</v>
      </c>
      <c r="B108" s="243" t="s">
        <v>318</v>
      </c>
      <c r="C108" s="244" t="s">
        <v>297</v>
      </c>
      <c r="D108" s="253">
        <v>7.4999999999999997E-3</v>
      </c>
      <c r="E108" s="254">
        <v>1</v>
      </c>
      <c r="F108" s="243">
        <v>250</v>
      </c>
      <c r="G108" s="243">
        <v>1.88</v>
      </c>
    </row>
    <row r="110" spans="1:7" x14ac:dyDescent="0.2">
      <c r="A110" s="250"/>
      <c r="B110" s="250" t="s">
        <v>300</v>
      </c>
      <c r="C110" s="252"/>
      <c r="D110" s="250"/>
      <c r="E110" s="252"/>
      <c r="F110" s="250"/>
      <c r="G110" s="250">
        <v>0.66</v>
      </c>
    </row>
    <row r="111" spans="1:7" x14ac:dyDescent="0.2">
      <c r="B111" s="243" t="s">
        <v>303</v>
      </c>
      <c r="C111" s="244" t="s">
        <v>302</v>
      </c>
      <c r="D111" s="243">
        <v>35</v>
      </c>
      <c r="G111" s="243">
        <v>0.66</v>
      </c>
    </row>
    <row r="113" spans="1:7" x14ac:dyDescent="0.2">
      <c r="A113" s="250"/>
      <c r="B113" s="250" t="s">
        <v>284</v>
      </c>
      <c r="C113" s="252"/>
      <c r="D113" s="250"/>
      <c r="E113" s="252"/>
      <c r="F113" s="250"/>
      <c r="G113" s="250"/>
    </row>
    <row r="114" spans="1:7" x14ac:dyDescent="0.2">
      <c r="B114" s="243" t="s">
        <v>304</v>
      </c>
      <c r="G114" s="243">
        <v>1.88</v>
      </c>
    </row>
    <row r="115" spans="1:7" x14ac:dyDescent="0.2">
      <c r="B115" s="243" t="s">
        <v>305</v>
      </c>
      <c r="G115" s="243">
        <v>0.66</v>
      </c>
    </row>
    <row r="116" spans="1:7" x14ac:dyDescent="0.2">
      <c r="B116" s="243" t="s">
        <v>306</v>
      </c>
      <c r="G116" s="243">
        <v>2.54</v>
      </c>
    </row>
    <row r="117" spans="1:7" x14ac:dyDescent="0.2">
      <c r="B117" s="243" t="s">
        <v>307</v>
      </c>
      <c r="C117" s="244" t="s">
        <v>302</v>
      </c>
      <c r="D117" s="243" t="s">
        <v>308</v>
      </c>
      <c r="G117" s="243">
        <v>0.25</v>
      </c>
    </row>
    <row r="119" spans="1:7" x14ac:dyDescent="0.2">
      <c r="A119" s="248"/>
      <c r="B119" s="248" t="s">
        <v>284</v>
      </c>
      <c r="C119" s="249"/>
      <c r="D119" s="248"/>
      <c r="E119" s="249"/>
      <c r="F119" s="248"/>
      <c r="G119" s="248">
        <v>2.79</v>
      </c>
    </row>
    <row r="121" spans="1:7" x14ac:dyDescent="0.2">
      <c r="A121" s="248" t="s">
        <v>25</v>
      </c>
      <c r="B121" s="248"/>
      <c r="C121" s="249"/>
      <c r="D121" s="248"/>
      <c r="E121" s="249"/>
      <c r="F121" s="248"/>
      <c r="G121" s="248"/>
    </row>
    <row r="122" spans="1:7" x14ac:dyDescent="0.2">
      <c r="A122" s="250" t="s">
        <v>319</v>
      </c>
      <c r="G122" s="251" t="s">
        <v>313</v>
      </c>
    </row>
    <row r="124" spans="1:7" x14ac:dyDescent="0.2">
      <c r="A124" s="250"/>
      <c r="B124" s="250" t="s">
        <v>294</v>
      </c>
      <c r="C124" s="252"/>
      <c r="D124" s="250"/>
      <c r="E124" s="252"/>
      <c r="F124" s="250"/>
      <c r="G124" s="250">
        <v>1.33</v>
      </c>
    </row>
    <row r="125" spans="1:7" x14ac:dyDescent="0.2">
      <c r="A125" s="243" t="s">
        <v>295</v>
      </c>
      <c r="B125" s="243" t="s">
        <v>320</v>
      </c>
      <c r="C125" s="244" t="s">
        <v>297</v>
      </c>
      <c r="D125" s="253">
        <v>3.8E-3</v>
      </c>
      <c r="E125" s="254">
        <v>1</v>
      </c>
      <c r="F125" s="243">
        <v>350</v>
      </c>
      <c r="G125" s="243">
        <v>1.33</v>
      </c>
    </row>
    <row r="127" spans="1:7" x14ac:dyDescent="0.2">
      <c r="A127" s="250"/>
      <c r="B127" s="250" t="s">
        <v>300</v>
      </c>
      <c r="C127" s="252"/>
      <c r="D127" s="250"/>
      <c r="E127" s="252"/>
      <c r="F127" s="250"/>
      <c r="G127" s="250">
        <v>0.47</v>
      </c>
    </row>
    <row r="128" spans="1:7" x14ac:dyDescent="0.2">
      <c r="B128" s="243" t="s">
        <v>303</v>
      </c>
      <c r="C128" s="244" t="s">
        <v>302</v>
      </c>
      <c r="D128" s="243">
        <v>35</v>
      </c>
      <c r="G128" s="243">
        <v>0.47</v>
      </c>
    </row>
    <row r="130" spans="1:7" x14ac:dyDescent="0.2">
      <c r="A130" s="250"/>
      <c r="B130" s="250" t="s">
        <v>284</v>
      </c>
      <c r="C130" s="252"/>
      <c r="D130" s="250"/>
      <c r="E130" s="252"/>
      <c r="F130" s="250"/>
      <c r="G130" s="250"/>
    </row>
    <row r="131" spans="1:7" x14ac:dyDescent="0.2">
      <c r="B131" s="243" t="s">
        <v>304</v>
      </c>
      <c r="G131" s="243">
        <v>1.33</v>
      </c>
    </row>
    <row r="132" spans="1:7" x14ac:dyDescent="0.2">
      <c r="B132" s="243" t="s">
        <v>305</v>
      </c>
      <c r="G132" s="243">
        <v>0.47</v>
      </c>
    </row>
    <row r="133" spans="1:7" x14ac:dyDescent="0.2">
      <c r="B133" s="243" t="s">
        <v>306</v>
      </c>
      <c r="G133" s="243">
        <v>1.8</v>
      </c>
    </row>
    <row r="134" spans="1:7" x14ac:dyDescent="0.2">
      <c r="B134" s="243" t="s">
        <v>307</v>
      </c>
      <c r="C134" s="244" t="s">
        <v>302</v>
      </c>
      <c r="D134" s="243" t="s">
        <v>308</v>
      </c>
      <c r="G134" s="243">
        <v>0.18</v>
      </c>
    </row>
    <row r="136" spans="1:7" x14ac:dyDescent="0.2">
      <c r="A136" s="248"/>
      <c r="B136" s="248" t="s">
        <v>284</v>
      </c>
      <c r="C136" s="249"/>
      <c r="D136" s="248"/>
      <c r="E136" s="249"/>
      <c r="F136" s="248"/>
      <c r="G136" s="248">
        <v>1.98</v>
      </c>
    </row>
    <row r="138" spans="1:7" x14ac:dyDescent="0.2">
      <c r="A138" s="248" t="s">
        <v>26</v>
      </c>
      <c r="B138" s="248"/>
      <c r="C138" s="249"/>
      <c r="D138" s="248"/>
      <c r="E138" s="249"/>
      <c r="F138" s="248"/>
      <c r="G138" s="248"/>
    </row>
    <row r="139" spans="1:7" x14ac:dyDescent="0.2">
      <c r="A139" s="250" t="s">
        <v>321</v>
      </c>
      <c r="G139" s="251" t="s">
        <v>313</v>
      </c>
    </row>
    <row r="141" spans="1:7" x14ac:dyDescent="0.2">
      <c r="A141" s="250"/>
      <c r="B141" s="250" t="s">
        <v>294</v>
      </c>
      <c r="C141" s="252"/>
      <c r="D141" s="250"/>
      <c r="E141" s="252"/>
      <c r="F141" s="250"/>
      <c r="G141" s="250">
        <v>1.88</v>
      </c>
    </row>
    <row r="142" spans="1:7" x14ac:dyDescent="0.2">
      <c r="A142" s="243" t="s">
        <v>295</v>
      </c>
      <c r="B142" s="243" t="s">
        <v>322</v>
      </c>
      <c r="C142" s="244" t="s">
        <v>297</v>
      </c>
      <c r="D142" s="253">
        <v>7.4999999999999997E-3</v>
      </c>
      <c r="E142" s="254">
        <v>1</v>
      </c>
      <c r="F142" s="243">
        <v>250</v>
      </c>
      <c r="G142" s="243">
        <v>1.88</v>
      </c>
    </row>
    <row r="144" spans="1:7" x14ac:dyDescent="0.2">
      <c r="A144" s="250"/>
      <c r="B144" s="250" t="s">
        <v>300</v>
      </c>
      <c r="C144" s="252"/>
      <c r="D144" s="250"/>
      <c r="E144" s="252"/>
      <c r="F144" s="250"/>
      <c r="G144" s="250">
        <v>0.66</v>
      </c>
    </row>
    <row r="145" spans="1:7" x14ac:dyDescent="0.2">
      <c r="B145" s="243" t="s">
        <v>303</v>
      </c>
      <c r="C145" s="244" t="s">
        <v>302</v>
      </c>
      <c r="D145" s="243">
        <v>35</v>
      </c>
      <c r="G145" s="243">
        <v>0.66</v>
      </c>
    </row>
    <row r="147" spans="1:7" x14ac:dyDescent="0.2">
      <c r="A147" s="250"/>
      <c r="B147" s="250" t="s">
        <v>284</v>
      </c>
      <c r="C147" s="252"/>
      <c r="D147" s="250"/>
      <c r="E147" s="252"/>
      <c r="F147" s="250"/>
      <c r="G147" s="250"/>
    </row>
    <row r="148" spans="1:7" x14ac:dyDescent="0.2">
      <c r="B148" s="243" t="s">
        <v>304</v>
      </c>
      <c r="G148" s="243">
        <v>1.88</v>
      </c>
    </row>
    <row r="149" spans="1:7" x14ac:dyDescent="0.2">
      <c r="B149" s="243" t="s">
        <v>305</v>
      </c>
      <c r="G149" s="243">
        <v>0.66</v>
      </c>
    </row>
    <row r="150" spans="1:7" x14ac:dyDescent="0.2">
      <c r="B150" s="243" t="s">
        <v>306</v>
      </c>
      <c r="G150" s="243">
        <v>2.54</v>
      </c>
    </row>
    <row r="151" spans="1:7" x14ac:dyDescent="0.2">
      <c r="B151" s="243" t="s">
        <v>307</v>
      </c>
      <c r="C151" s="244" t="s">
        <v>302</v>
      </c>
      <c r="D151" s="243" t="s">
        <v>308</v>
      </c>
      <c r="G151" s="243">
        <v>0.25</v>
      </c>
    </row>
    <row r="153" spans="1:7" x14ac:dyDescent="0.2">
      <c r="A153" s="248"/>
      <c r="B153" s="248" t="s">
        <v>284</v>
      </c>
      <c r="C153" s="249"/>
      <c r="D153" s="248"/>
      <c r="E153" s="249"/>
      <c r="F153" s="248"/>
      <c r="G153" s="248">
        <v>2.79</v>
      </c>
    </row>
    <row r="155" spans="1:7" x14ac:dyDescent="0.2">
      <c r="A155" s="248" t="s">
        <v>27</v>
      </c>
      <c r="B155" s="248"/>
      <c r="C155" s="249"/>
      <c r="D155" s="248"/>
      <c r="E155" s="249"/>
      <c r="F155" s="248"/>
      <c r="G155" s="248"/>
    </row>
    <row r="156" spans="1:7" x14ac:dyDescent="0.2">
      <c r="A156" s="250" t="s">
        <v>323</v>
      </c>
      <c r="G156" s="251" t="s">
        <v>310</v>
      </c>
    </row>
    <row r="158" spans="1:7" x14ac:dyDescent="0.2">
      <c r="A158" s="250"/>
      <c r="B158" s="250" t="s">
        <v>324</v>
      </c>
      <c r="C158" s="252"/>
      <c r="D158" s="250"/>
      <c r="E158" s="252"/>
      <c r="F158" s="250"/>
      <c r="G158" s="250">
        <v>0.2</v>
      </c>
    </row>
    <row r="159" spans="1:7" x14ac:dyDescent="0.2">
      <c r="A159" s="243" t="s">
        <v>295</v>
      </c>
      <c r="B159" s="243" t="s">
        <v>492</v>
      </c>
      <c r="C159" s="244" t="s">
        <v>345</v>
      </c>
      <c r="D159" s="253">
        <v>1</v>
      </c>
      <c r="E159" s="254">
        <v>1</v>
      </c>
      <c r="F159" s="243">
        <v>0.2</v>
      </c>
      <c r="G159" s="243">
        <v>0.2</v>
      </c>
    </row>
    <row r="161" spans="1:7" x14ac:dyDescent="0.2">
      <c r="A161" s="250"/>
      <c r="B161" s="250" t="s">
        <v>294</v>
      </c>
      <c r="C161" s="252"/>
      <c r="D161" s="250"/>
      <c r="E161" s="252"/>
      <c r="F161" s="250"/>
      <c r="G161" s="250">
        <v>1.03</v>
      </c>
    </row>
    <row r="162" spans="1:7" x14ac:dyDescent="0.2">
      <c r="A162" s="243" t="s">
        <v>295</v>
      </c>
      <c r="B162" s="243" t="s">
        <v>326</v>
      </c>
      <c r="C162" s="244" t="s">
        <v>297</v>
      </c>
      <c r="D162" s="253">
        <v>4.1000000000000003E-3</v>
      </c>
      <c r="E162" s="254">
        <v>1</v>
      </c>
      <c r="F162" s="243">
        <v>250</v>
      </c>
      <c r="G162" s="243">
        <v>1.03</v>
      </c>
    </row>
    <row r="164" spans="1:7" x14ac:dyDescent="0.2">
      <c r="A164" s="250"/>
      <c r="B164" s="250" t="s">
        <v>298</v>
      </c>
      <c r="C164" s="252"/>
      <c r="D164" s="255">
        <v>3.2800000000000003E-2</v>
      </c>
      <c r="E164" s="252"/>
      <c r="F164" s="250"/>
      <c r="G164" s="250">
        <v>0.33</v>
      </c>
    </row>
    <row r="165" spans="1:7" x14ac:dyDescent="0.2">
      <c r="A165" s="243" t="s">
        <v>295</v>
      </c>
      <c r="B165" s="243" t="s">
        <v>521</v>
      </c>
      <c r="C165" s="244" t="s">
        <v>299</v>
      </c>
      <c r="D165" s="253">
        <v>3.2800000000000003E-2</v>
      </c>
      <c r="E165" s="254">
        <v>1</v>
      </c>
      <c r="F165" s="243">
        <v>10</v>
      </c>
      <c r="G165" s="243">
        <v>0.33</v>
      </c>
    </row>
    <row r="167" spans="1:7" x14ac:dyDescent="0.2">
      <c r="A167" s="250"/>
      <c r="B167" s="250" t="s">
        <v>300</v>
      </c>
      <c r="C167" s="252"/>
      <c r="D167" s="250"/>
      <c r="E167" s="252"/>
      <c r="F167" s="250"/>
      <c r="G167" s="250">
        <v>0.64</v>
      </c>
    </row>
    <row r="168" spans="1:7" x14ac:dyDescent="0.2">
      <c r="B168" s="243" t="s">
        <v>301</v>
      </c>
      <c r="C168" s="244" t="s">
        <v>302</v>
      </c>
      <c r="D168" s="243">
        <v>80</v>
      </c>
      <c r="G168" s="243">
        <v>0.26</v>
      </c>
    </row>
    <row r="169" spans="1:7" x14ac:dyDescent="0.2">
      <c r="B169" s="243" t="s">
        <v>327</v>
      </c>
      <c r="C169" s="244" t="s">
        <v>302</v>
      </c>
      <c r="D169" s="243">
        <v>10</v>
      </c>
      <c r="G169" s="243">
        <v>0.02</v>
      </c>
    </row>
    <row r="170" spans="1:7" x14ac:dyDescent="0.2">
      <c r="B170" s="243" t="s">
        <v>303</v>
      </c>
      <c r="C170" s="244" t="s">
        <v>302</v>
      </c>
      <c r="D170" s="243">
        <v>35</v>
      </c>
      <c r="G170" s="243">
        <v>0.36</v>
      </c>
    </row>
    <row r="172" spans="1:7" x14ac:dyDescent="0.2">
      <c r="A172" s="250"/>
      <c r="B172" s="250" t="s">
        <v>284</v>
      </c>
      <c r="C172" s="252"/>
      <c r="D172" s="250"/>
      <c r="E172" s="252"/>
      <c r="F172" s="250"/>
      <c r="G172" s="250"/>
    </row>
    <row r="173" spans="1:7" x14ac:dyDescent="0.2">
      <c r="B173" s="243" t="s">
        <v>304</v>
      </c>
      <c r="G173" s="243">
        <v>1.56</v>
      </c>
    </row>
    <row r="174" spans="1:7" x14ac:dyDescent="0.2">
      <c r="B174" s="243" t="s">
        <v>305</v>
      </c>
      <c r="G174" s="243">
        <v>0.64</v>
      </c>
    </row>
    <row r="175" spans="1:7" x14ac:dyDescent="0.2">
      <c r="B175" s="243" t="s">
        <v>306</v>
      </c>
      <c r="G175" s="243">
        <v>2.2000000000000002</v>
      </c>
    </row>
    <row r="176" spans="1:7" x14ac:dyDescent="0.2">
      <c r="B176" s="243" t="s">
        <v>307</v>
      </c>
      <c r="C176" s="244" t="s">
        <v>302</v>
      </c>
      <c r="D176" s="243" t="s">
        <v>308</v>
      </c>
      <c r="G176" s="243">
        <v>0.22</v>
      </c>
    </row>
    <row r="178" spans="1:7" x14ac:dyDescent="0.2">
      <c r="A178" s="248"/>
      <c r="B178" s="248" t="s">
        <v>284</v>
      </c>
      <c r="C178" s="249"/>
      <c r="D178" s="248"/>
      <c r="E178" s="249"/>
      <c r="F178" s="248"/>
      <c r="G178" s="248">
        <v>2.42</v>
      </c>
    </row>
    <row r="180" spans="1:7" x14ac:dyDescent="0.2">
      <c r="A180" s="248" t="s">
        <v>28</v>
      </c>
      <c r="B180" s="248"/>
      <c r="C180" s="249"/>
      <c r="D180" s="248"/>
      <c r="E180" s="249"/>
      <c r="F180" s="248"/>
      <c r="G180" s="248"/>
    </row>
    <row r="181" spans="1:7" x14ac:dyDescent="0.2">
      <c r="A181" s="250" t="s">
        <v>328</v>
      </c>
      <c r="G181" s="251" t="s">
        <v>313</v>
      </c>
    </row>
    <row r="183" spans="1:7" x14ac:dyDescent="0.2">
      <c r="A183" s="250"/>
      <c r="B183" s="250" t="s">
        <v>324</v>
      </c>
      <c r="C183" s="252"/>
      <c r="D183" s="250"/>
      <c r="E183" s="252"/>
      <c r="F183" s="250"/>
      <c r="G183" s="250">
        <v>9.6</v>
      </c>
    </row>
    <row r="184" spans="1:7" x14ac:dyDescent="0.2">
      <c r="A184" s="243" t="s">
        <v>295</v>
      </c>
      <c r="B184" s="243" t="s">
        <v>329</v>
      </c>
      <c r="C184" s="244" t="s">
        <v>330</v>
      </c>
      <c r="D184" s="253">
        <v>1</v>
      </c>
      <c r="E184" s="254">
        <v>1</v>
      </c>
      <c r="F184" s="243">
        <v>9.6</v>
      </c>
      <c r="G184" s="243">
        <v>9.6</v>
      </c>
    </row>
    <row r="186" spans="1:7" x14ac:dyDescent="0.2">
      <c r="A186" s="250"/>
      <c r="B186" s="250" t="s">
        <v>294</v>
      </c>
      <c r="C186" s="252"/>
      <c r="D186" s="250"/>
      <c r="E186" s="252"/>
      <c r="F186" s="250"/>
      <c r="G186" s="250">
        <v>5</v>
      </c>
    </row>
    <row r="187" spans="1:7" x14ac:dyDescent="0.2">
      <c r="A187" s="243" t="s">
        <v>295</v>
      </c>
      <c r="B187" s="243" t="s">
        <v>322</v>
      </c>
      <c r="C187" s="244" t="s">
        <v>297</v>
      </c>
      <c r="D187" s="253">
        <v>0.02</v>
      </c>
      <c r="E187" s="254">
        <v>1</v>
      </c>
      <c r="F187" s="243">
        <v>250</v>
      </c>
      <c r="G187" s="243">
        <v>5</v>
      </c>
    </row>
    <row r="189" spans="1:7" x14ac:dyDescent="0.2">
      <c r="A189" s="250"/>
      <c r="B189" s="250" t="s">
        <v>300</v>
      </c>
      <c r="C189" s="252"/>
      <c r="D189" s="250"/>
      <c r="E189" s="252"/>
      <c r="F189" s="250"/>
      <c r="G189" s="250">
        <v>2.71</v>
      </c>
    </row>
    <row r="190" spans="1:7" x14ac:dyDescent="0.2">
      <c r="B190" s="243" t="s">
        <v>327</v>
      </c>
      <c r="C190" s="244" t="s">
        <v>302</v>
      </c>
      <c r="D190" s="243">
        <v>10</v>
      </c>
      <c r="G190" s="243">
        <v>0.96</v>
      </c>
    </row>
    <row r="191" spans="1:7" x14ac:dyDescent="0.2">
      <c r="B191" s="243" t="s">
        <v>303</v>
      </c>
      <c r="C191" s="244" t="s">
        <v>302</v>
      </c>
      <c r="D191" s="243">
        <v>35</v>
      </c>
      <c r="G191" s="243">
        <v>1.75</v>
      </c>
    </row>
    <row r="193" spans="1:7" x14ac:dyDescent="0.2">
      <c r="A193" s="250"/>
      <c r="B193" s="250" t="s">
        <v>284</v>
      </c>
      <c r="C193" s="252"/>
      <c r="D193" s="250"/>
      <c r="E193" s="252"/>
      <c r="F193" s="250"/>
      <c r="G193" s="250"/>
    </row>
    <row r="194" spans="1:7" x14ac:dyDescent="0.2">
      <c r="B194" s="243" t="s">
        <v>304</v>
      </c>
      <c r="G194" s="243">
        <v>14.6</v>
      </c>
    </row>
    <row r="195" spans="1:7" x14ac:dyDescent="0.2">
      <c r="B195" s="243" t="s">
        <v>305</v>
      </c>
      <c r="G195" s="243">
        <v>2.71</v>
      </c>
    </row>
    <row r="196" spans="1:7" x14ac:dyDescent="0.2">
      <c r="B196" s="243" t="s">
        <v>306</v>
      </c>
      <c r="G196" s="243">
        <v>17.309999999999999</v>
      </c>
    </row>
    <row r="197" spans="1:7" x14ac:dyDescent="0.2">
      <c r="B197" s="243" t="s">
        <v>307</v>
      </c>
      <c r="C197" s="244" t="s">
        <v>302</v>
      </c>
      <c r="D197" s="243" t="s">
        <v>308</v>
      </c>
      <c r="G197" s="243">
        <v>1.73</v>
      </c>
    </row>
    <row r="199" spans="1:7" x14ac:dyDescent="0.2">
      <c r="A199" s="248"/>
      <c r="B199" s="248" t="s">
        <v>284</v>
      </c>
      <c r="C199" s="249"/>
      <c r="D199" s="248"/>
      <c r="E199" s="249"/>
      <c r="F199" s="248"/>
      <c r="G199" s="248">
        <v>19.04</v>
      </c>
    </row>
    <row r="201" spans="1:7" x14ac:dyDescent="0.2">
      <c r="A201" s="248" t="s">
        <v>29</v>
      </c>
      <c r="B201" s="248"/>
      <c r="C201" s="249"/>
      <c r="D201" s="248"/>
      <c r="E201" s="249"/>
      <c r="F201" s="248"/>
      <c r="G201" s="248"/>
    </row>
    <row r="202" spans="1:7" x14ac:dyDescent="0.2">
      <c r="A202" s="250" t="s">
        <v>331</v>
      </c>
      <c r="G202" s="251" t="s">
        <v>313</v>
      </c>
    </row>
    <row r="204" spans="1:7" x14ac:dyDescent="0.2">
      <c r="A204" s="250"/>
      <c r="B204" s="250" t="s">
        <v>298</v>
      </c>
      <c r="C204" s="252"/>
      <c r="D204" s="255">
        <v>0.31</v>
      </c>
      <c r="E204" s="252"/>
      <c r="F204" s="250"/>
      <c r="G204" s="250">
        <v>3.1</v>
      </c>
    </row>
    <row r="205" spans="1:7" x14ac:dyDescent="0.2">
      <c r="A205" s="243" t="s">
        <v>295</v>
      </c>
      <c r="B205" s="243" t="s">
        <v>521</v>
      </c>
      <c r="C205" s="244" t="s">
        <v>299</v>
      </c>
      <c r="D205" s="253">
        <v>0.31</v>
      </c>
      <c r="E205" s="254">
        <v>1</v>
      </c>
      <c r="F205" s="243">
        <v>10</v>
      </c>
      <c r="G205" s="243">
        <v>3.1</v>
      </c>
    </row>
    <row r="207" spans="1:7" x14ac:dyDescent="0.2">
      <c r="A207" s="250"/>
      <c r="B207" s="250" t="s">
        <v>300</v>
      </c>
      <c r="C207" s="252"/>
      <c r="D207" s="250"/>
      <c r="E207" s="252"/>
      <c r="F207" s="250"/>
      <c r="G207" s="250">
        <v>2.48</v>
      </c>
    </row>
    <row r="208" spans="1:7" x14ac:dyDescent="0.2">
      <c r="B208" s="243" t="s">
        <v>301</v>
      </c>
      <c r="C208" s="244" t="s">
        <v>302</v>
      </c>
      <c r="D208" s="243">
        <v>80</v>
      </c>
      <c r="G208" s="243">
        <v>2.48</v>
      </c>
    </row>
    <row r="210" spans="1:7" x14ac:dyDescent="0.2">
      <c r="A210" s="250"/>
      <c r="B210" s="250" t="s">
        <v>284</v>
      </c>
      <c r="C210" s="252"/>
      <c r="D210" s="250"/>
      <c r="E210" s="252"/>
      <c r="F210" s="250"/>
      <c r="G210" s="250"/>
    </row>
    <row r="211" spans="1:7" x14ac:dyDescent="0.2">
      <c r="B211" s="243" t="s">
        <v>304</v>
      </c>
      <c r="G211" s="243">
        <v>3.1</v>
      </c>
    </row>
    <row r="212" spans="1:7" x14ac:dyDescent="0.2">
      <c r="B212" s="243" t="s">
        <v>305</v>
      </c>
      <c r="G212" s="243">
        <v>2.48</v>
      </c>
    </row>
    <row r="213" spans="1:7" x14ac:dyDescent="0.2">
      <c r="B213" s="243" t="s">
        <v>306</v>
      </c>
      <c r="G213" s="243">
        <v>5.58</v>
      </c>
    </row>
    <row r="214" spans="1:7" x14ac:dyDescent="0.2">
      <c r="B214" s="243" t="s">
        <v>307</v>
      </c>
      <c r="C214" s="244" t="s">
        <v>302</v>
      </c>
      <c r="D214" s="243" t="s">
        <v>308</v>
      </c>
      <c r="G214" s="243">
        <v>0.56000000000000005</v>
      </c>
    </row>
    <row r="216" spans="1:7" x14ac:dyDescent="0.2">
      <c r="A216" s="248"/>
      <c r="B216" s="248" t="s">
        <v>284</v>
      </c>
      <c r="C216" s="249"/>
      <c r="D216" s="248"/>
      <c r="E216" s="249"/>
      <c r="F216" s="248"/>
      <c r="G216" s="248">
        <v>6.14</v>
      </c>
    </row>
    <row r="218" spans="1:7" x14ac:dyDescent="0.2">
      <c r="A218" s="248" t="s">
        <v>30</v>
      </c>
      <c r="B218" s="248"/>
      <c r="C218" s="249"/>
      <c r="D218" s="248"/>
      <c r="E218" s="249"/>
      <c r="F218" s="248"/>
      <c r="G218" s="248"/>
    </row>
    <row r="219" spans="1:7" x14ac:dyDescent="0.2">
      <c r="A219" s="250" t="s">
        <v>332</v>
      </c>
      <c r="G219" s="251" t="s">
        <v>313</v>
      </c>
    </row>
    <row r="221" spans="1:7" x14ac:dyDescent="0.2">
      <c r="A221" s="250"/>
      <c r="B221" s="250" t="s">
        <v>294</v>
      </c>
      <c r="C221" s="252"/>
      <c r="D221" s="250"/>
      <c r="E221" s="252"/>
      <c r="F221" s="250"/>
      <c r="G221" s="250">
        <v>1.5</v>
      </c>
    </row>
    <row r="222" spans="1:7" x14ac:dyDescent="0.2">
      <c r="A222" s="243" t="s">
        <v>295</v>
      </c>
      <c r="B222" s="243" t="s">
        <v>493</v>
      </c>
      <c r="C222" s="244" t="s">
        <v>297</v>
      </c>
      <c r="D222" s="253">
        <v>1.2E-2</v>
      </c>
      <c r="E222" s="254">
        <v>1</v>
      </c>
      <c r="F222" s="243">
        <v>25</v>
      </c>
      <c r="G222" s="243">
        <v>0.3</v>
      </c>
    </row>
    <row r="223" spans="1:7" x14ac:dyDescent="0.2">
      <c r="A223" s="243" t="s">
        <v>295</v>
      </c>
      <c r="B223" s="243" t="s">
        <v>334</v>
      </c>
      <c r="C223" s="244" t="s">
        <v>297</v>
      </c>
      <c r="D223" s="253">
        <v>8.0000000000000002E-3</v>
      </c>
      <c r="E223" s="254">
        <v>1</v>
      </c>
      <c r="F223" s="243">
        <v>150</v>
      </c>
      <c r="G223" s="243">
        <v>1.2</v>
      </c>
    </row>
    <row r="225" spans="1:7" x14ac:dyDescent="0.2">
      <c r="A225" s="250"/>
      <c r="B225" s="250" t="s">
        <v>298</v>
      </c>
      <c r="C225" s="252"/>
      <c r="D225" s="255">
        <v>0.3</v>
      </c>
      <c r="E225" s="252"/>
      <c r="F225" s="250"/>
      <c r="G225" s="250">
        <v>3</v>
      </c>
    </row>
    <row r="226" spans="1:7" x14ac:dyDescent="0.2">
      <c r="A226" s="243" t="s">
        <v>295</v>
      </c>
      <c r="B226" s="243" t="s">
        <v>521</v>
      </c>
      <c r="C226" s="244" t="s">
        <v>299</v>
      </c>
      <c r="D226" s="253">
        <v>0.3</v>
      </c>
      <c r="E226" s="254">
        <v>1</v>
      </c>
      <c r="F226" s="243">
        <v>10</v>
      </c>
      <c r="G226" s="243">
        <v>3</v>
      </c>
    </row>
    <row r="228" spans="1:7" x14ac:dyDescent="0.2">
      <c r="A228" s="250"/>
      <c r="B228" s="250" t="s">
        <v>300</v>
      </c>
      <c r="C228" s="252"/>
      <c r="D228" s="250"/>
      <c r="E228" s="252"/>
      <c r="F228" s="250"/>
      <c r="G228" s="250">
        <v>2.93</v>
      </c>
    </row>
    <row r="229" spans="1:7" x14ac:dyDescent="0.2">
      <c r="B229" s="243" t="s">
        <v>301</v>
      </c>
      <c r="C229" s="244" t="s">
        <v>302</v>
      </c>
      <c r="D229" s="243">
        <v>80</v>
      </c>
      <c r="G229" s="243">
        <v>2.4</v>
      </c>
    </row>
    <row r="230" spans="1:7" x14ac:dyDescent="0.2">
      <c r="B230" s="243" t="s">
        <v>303</v>
      </c>
      <c r="C230" s="244" t="s">
        <v>302</v>
      </c>
      <c r="D230" s="243">
        <v>35</v>
      </c>
      <c r="G230" s="243">
        <v>0.53</v>
      </c>
    </row>
    <row r="232" spans="1:7" x14ac:dyDescent="0.2">
      <c r="A232" s="250"/>
      <c r="B232" s="250" t="s">
        <v>284</v>
      </c>
      <c r="C232" s="252"/>
      <c r="D232" s="250"/>
      <c r="E232" s="252"/>
      <c r="F232" s="250"/>
      <c r="G232" s="250"/>
    </row>
    <row r="233" spans="1:7" x14ac:dyDescent="0.2">
      <c r="B233" s="243" t="s">
        <v>304</v>
      </c>
      <c r="G233" s="243">
        <v>4.5</v>
      </c>
    </row>
    <row r="234" spans="1:7" x14ac:dyDescent="0.2">
      <c r="B234" s="243" t="s">
        <v>305</v>
      </c>
      <c r="G234" s="243">
        <v>2.93</v>
      </c>
    </row>
    <row r="235" spans="1:7" x14ac:dyDescent="0.2">
      <c r="B235" s="243" t="s">
        <v>306</v>
      </c>
      <c r="G235" s="243">
        <v>7.43</v>
      </c>
    </row>
    <row r="236" spans="1:7" x14ac:dyDescent="0.2">
      <c r="B236" s="243" t="s">
        <v>307</v>
      </c>
      <c r="C236" s="244" t="s">
        <v>302</v>
      </c>
      <c r="D236" s="243" t="s">
        <v>308</v>
      </c>
      <c r="G236" s="243">
        <v>0.74</v>
      </c>
    </row>
    <row r="238" spans="1:7" x14ac:dyDescent="0.2">
      <c r="A238" s="248"/>
      <c r="B238" s="248" t="s">
        <v>284</v>
      </c>
      <c r="C238" s="249"/>
      <c r="D238" s="248"/>
      <c r="E238" s="249"/>
      <c r="F238" s="248"/>
      <c r="G238" s="248">
        <v>8.17</v>
      </c>
    </row>
    <row r="240" spans="1:7" x14ac:dyDescent="0.2">
      <c r="A240" s="248" t="s">
        <v>31</v>
      </c>
      <c r="B240" s="248"/>
      <c r="C240" s="249"/>
      <c r="D240" s="248"/>
      <c r="E240" s="249"/>
      <c r="F240" s="248"/>
      <c r="G240" s="248"/>
    </row>
    <row r="241" spans="1:7" x14ac:dyDescent="0.2">
      <c r="A241" s="250" t="s">
        <v>333</v>
      </c>
      <c r="G241" s="251" t="s">
        <v>313</v>
      </c>
    </row>
    <row r="243" spans="1:7" x14ac:dyDescent="0.2">
      <c r="A243" s="250"/>
      <c r="B243" s="250" t="s">
        <v>294</v>
      </c>
      <c r="C243" s="252"/>
      <c r="D243" s="250"/>
      <c r="E243" s="252"/>
      <c r="F243" s="250"/>
      <c r="G243" s="250">
        <v>1.2</v>
      </c>
    </row>
    <row r="244" spans="1:7" x14ac:dyDescent="0.2">
      <c r="A244" s="243" t="s">
        <v>295</v>
      </c>
      <c r="B244" s="243" t="s">
        <v>334</v>
      </c>
      <c r="C244" s="244" t="s">
        <v>297</v>
      </c>
      <c r="D244" s="253">
        <v>8.0000000000000002E-3</v>
      </c>
      <c r="E244" s="254">
        <v>1</v>
      </c>
      <c r="F244" s="243">
        <v>150</v>
      </c>
      <c r="G244" s="243">
        <v>1.2</v>
      </c>
    </row>
    <row r="246" spans="1:7" x14ac:dyDescent="0.2">
      <c r="A246" s="250"/>
      <c r="B246" s="250" t="s">
        <v>298</v>
      </c>
      <c r="C246" s="252"/>
      <c r="D246" s="255">
        <v>0.15</v>
      </c>
      <c r="E246" s="252"/>
      <c r="F246" s="250"/>
      <c r="G246" s="250">
        <v>1.5</v>
      </c>
    </row>
    <row r="247" spans="1:7" x14ac:dyDescent="0.2">
      <c r="A247" s="243" t="s">
        <v>295</v>
      </c>
      <c r="B247" s="243" t="s">
        <v>521</v>
      </c>
      <c r="C247" s="244" t="s">
        <v>299</v>
      </c>
      <c r="D247" s="253">
        <v>0.15</v>
      </c>
      <c r="E247" s="254">
        <v>1</v>
      </c>
      <c r="F247" s="243">
        <v>10</v>
      </c>
      <c r="G247" s="243">
        <v>1.5</v>
      </c>
    </row>
    <row r="249" spans="1:7" x14ac:dyDescent="0.2">
      <c r="A249" s="250"/>
      <c r="B249" s="250" t="s">
        <v>300</v>
      </c>
      <c r="C249" s="252"/>
      <c r="D249" s="250"/>
      <c r="E249" s="252"/>
      <c r="F249" s="250"/>
      <c r="G249" s="250">
        <v>1.62</v>
      </c>
    </row>
    <row r="250" spans="1:7" x14ac:dyDescent="0.2">
      <c r="B250" s="243" t="s">
        <v>301</v>
      </c>
      <c r="C250" s="244" t="s">
        <v>302</v>
      </c>
      <c r="D250" s="243">
        <v>80</v>
      </c>
      <c r="G250" s="243">
        <v>1.2</v>
      </c>
    </row>
    <row r="251" spans="1:7" x14ac:dyDescent="0.2">
      <c r="B251" s="243" t="s">
        <v>303</v>
      </c>
      <c r="C251" s="244" t="s">
        <v>302</v>
      </c>
      <c r="D251" s="243">
        <v>35</v>
      </c>
      <c r="G251" s="243">
        <v>0.42</v>
      </c>
    </row>
    <row r="253" spans="1:7" x14ac:dyDescent="0.2">
      <c r="A253" s="250"/>
      <c r="B253" s="250" t="s">
        <v>284</v>
      </c>
      <c r="C253" s="252"/>
      <c r="D253" s="250"/>
      <c r="E253" s="252"/>
      <c r="F253" s="250"/>
      <c r="G253" s="250"/>
    </row>
    <row r="254" spans="1:7" x14ac:dyDescent="0.2">
      <c r="B254" s="243" t="s">
        <v>304</v>
      </c>
      <c r="G254" s="243">
        <v>2.7</v>
      </c>
    </row>
    <row r="255" spans="1:7" x14ac:dyDescent="0.2">
      <c r="B255" s="243" t="s">
        <v>305</v>
      </c>
      <c r="G255" s="243">
        <v>1.62</v>
      </c>
    </row>
    <row r="256" spans="1:7" x14ac:dyDescent="0.2">
      <c r="B256" s="243" t="s">
        <v>306</v>
      </c>
      <c r="G256" s="243">
        <v>4.32</v>
      </c>
    </row>
    <row r="257" spans="1:7" x14ac:dyDescent="0.2">
      <c r="B257" s="243" t="s">
        <v>307</v>
      </c>
      <c r="C257" s="244" t="s">
        <v>302</v>
      </c>
      <c r="D257" s="243" t="s">
        <v>308</v>
      </c>
      <c r="G257" s="243">
        <v>0.43</v>
      </c>
    </row>
    <row r="259" spans="1:7" x14ac:dyDescent="0.2">
      <c r="A259" s="248"/>
      <c r="B259" s="248" t="s">
        <v>284</v>
      </c>
      <c r="C259" s="249"/>
      <c r="D259" s="248"/>
      <c r="E259" s="249"/>
      <c r="F259" s="248"/>
      <c r="G259" s="248">
        <v>4.75</v>
      </c>
    </row>
    <row r="261" spans="1:7" x14ac:dyDescent="0.2">
      <c r="A261" s="248" t="s">
        <v>32</v>
      </c>
      <c r="B261" s="248"/>
      <c r="C261" s="249"/>
      <c r="D261" s="248"/>
      <c r="E261" s="249"/>
      <c r="F261" s="248"/>
      <c r="G261" s="248"/>
    </row>
    <row r="262" spans="1:7" x14ac:dyDescent="0.2">
      <c r="A262" s="250" t="s">
        <v>335</v>
      </c>
      <c r="G262" s="251" t="s">
        <v>313</v>
      </c>
    </row>
    <row r="264" spans="1:7" x14ac:dyDescent="0.2">
      <c r="A264" s="250"/>
      <c r="B264" s="250" t="s">
        <v>294</v>
      </c>
      <c r="C264" s="252"/>
      <c r="D264" s="250"/>
      <c r="E264" s="252"/>
      <c r="F264" s="250"/>
      <c r="G264" s="250">
        <v>0.47</v>
      </c>
    </row>
    <row r="265" spans="1:7" x14ac:dyDescent="0.2">
      <c r="A265" s="243" t="s">
        <v>295</v>
      </c>
      <c r="B265" s="243" t="s">
        <v>493</v>
      </c>
      <c r="C265" s="244" t="s">
        <v>297</v>
      </c>
      <c r="D265" s="253">
        <v>1.8800000000000001E-2</v>
      </c>
      <c r="E265" s="254">
        <v>1</v>
      </c>
      <c r="F265" s="243">
        <v>25</v>
      </c>
      <c r="G265" s="243">
        <v>0.47</v>
      </c>
    </row>
    <row r="267" spans="1:7" x14ac:dyDescent="0.2">
      <c r="A267" s="250"/>
      <c r="B267" s="250" t="s">
        <v>298</v>
      </c>
      <c r="C267" s="252"/>
      <c r="D267" s="255">
        <v>0.15</v>
      </c>
      <c r="E267" s="252"/>
      <c r="F267" s="250"/>
      <c r="G267" s="250">
        <v>1.5</v>
      </c>
    </row>
    <row r="268" spans="1:7" x14ac:dyDescent="0.2">
      <c r="A268" s="243" t="s">
        <v>295</v>
      </c>
      <c r="B268" s="243" t="s">
        <v>521</v>
      </c>
      <c r="C268" s="244" t="s">
        <v>299</v>
      </c>
      <c r="D268" s="253">
        <v>0.15</v>
      </c>
      <c r="E268" s="254">
        <v>1</v>
      </c>
      <c r="F268" s="243">
        <v>10</v>
      </c>
      <c r="G268" s="243">
        <v>1.5</v>
      </c>
    </row>
    <row r="270" spans="1:7" x14ac:dyDescent="0.2">
      <c r="A270" s="250"/>
      <c r="B270" s="250" t="s">
        <v>300</v>
      </c>
      <c r="C270" s="252"/>
      <c r="D270" s="250"/>
      <c r="E270" s="252"/>
      <c r="F270" s="250"/>
      <c r="G270" s="250">
        <v>1.36</v>
      </c>
    </row>
    <row r="271" spans="1:7" x14ac:dyDescent="0.2">
      <c r="B271" s="243" t="s">
        <v>301</v>
      </c>
      <c r="C271" s="244" t="s">
        <v>302</v>
      </c>
      <c r="D271" s="243">
        <v>80</v>
      </c>
      <c r="G271" s="243">
        <v>1.2</v>
      </c>
    </row>
    <row r="272" spans="1:7" x14ac:dyDescent="0.2">
      <c r="B272" s="243" t="s">
        <v>303</v>
      </c>
      <c r="C272" s="244" t="s">
        <v>302</v>
      </c>
      <c r="D272" s="243">
        <v>35</v>
      </c>
      <c r="G272" s="243">
        <v>0.16</v>
      </c>
    </row>
    <row r="274" spans="1:7" x14ac:dyDescent="0.2">
      <c r="A274" s="250"/>
      <c r="B274" s="250" t="s">
        <v>284</v>
      </c>
      <c r="C274" s="252"/>
      <c r="D274" s="250"/>
      <c r="E274" s="252"/>
      <c r="F274" s="250"/>
      <c r="G274" s="250"/>
    </row>
    <row r="275" spans="1:7" x14ac:dyDescent="0.2">
      <c r="B275" s="243" t="s">
        <v>304</v>
      </c>
      <c r="G275" s="243">
        <v>1.97</v>
      </c>
    </row>
    <row r="276" spans="1:7" x14ac:dyDescent="0.2">
      <c r="B276" s="243" t="s">
        <v>305</v>
      </c>
      <c r="G276" s="243">
        <v>1.36</v>
      </c>
    </row>
    <row r="277" spans="1:7" x14ac:dyDescent="0.2">
      <c r="B277" s="243" t="s">
        <v>306</v>
      </c>
      <c r="G277" s="243">
        <v>3.33</v>
      </c>
    </row>
    <row r="278" spans="1:7" x14ac:dyDescent="0.2">
      <c r="B278" s="243" t="s">
        <v>307</v>
      </c>
      <c r="C278" s="244" t="s">
        <v>302</v>
      </c>
      <c r="D278" s="243" t="s">
        <v>308</v>
      </c>
      <c r="G278" s="243">
        <v>0.33</v>
      </c>
    </row>
    <row r="280" spans="1:7" x14ac:dyDescent="0.2">
      <c r="A280" s="248"/>
      <c r="B280" s="248" t="s">
        <v>284</v>
      </c>
      <c r="C280" s="249"/>
      <c r="D280" s="248"/>
      <c r="E280" s="249"/>
      <c r="F280" s="248"/>
      <c r="G280" s="248">
        <v>3.66</v>
      </c>
    </row>
    <row r="282" spans="1:7" x14ac:dyDescent="0.2">
      <c r="A282" s="248" t="s">
        <v>33</v>
      </c>
      <c r="B282" s="248"/>
      <c r="C282" s="249"/>
      <c r="D282" s="248"/>
      <c r="E282" s="249"/>
      <c r="F282" s="248"/>
      <c r="G282" s="248"/>
    </row>
    <row r="283" spans="1:7" x14ac:dyDescent="0.2">
      <c r="A283" s="250" t="s">
        <v>336</v>
      </c>
      <c r="G283" s="251" t="s">
        <v>313</v>
      </c>
    </row>
    <row r="285" spans="1:7" x14ac:dyDescent="0.2">
      <c r="A285" s="250"/>
      <c r="B285" s="250" t="s">
        <v>324</v>
      </c>
      <c r="C285" s="252"/>
      <c r="D285" s="250"/>
      <c r="E285" s="252"/>
      <c r="F285" s="250"/>
      <c r="G285" s="250">
        <v>9.1999999999999993</v>
      </c>
    </row>
    <row r="286" spans="1:7" x14ac:dyDescent="0.2">
      <c r="A286" s="243" t="s">
        <v>295</v>
      </c>
      <c r="B286" s="243" t="s">
        <v>494</v>
      </c>
      <c r="C286" s="244" t="s">
        <v>330</v>
      </c>
      <c r="D286" s="253">
        <v>1</v>
      </c>
      <c r="E286" s="254">
        <v>1</v>
      </c>
      <c r="F286" s="243">
        <v>9.1999999999999993</v>
      </c>
      <c r="G286" s="243">
        <v>9.1999999999999993</v>
      </c>
    </row>
    <row r="288" spans="1:7" x14ac:dyDescent="0.2">
      <c r="A288" s="250"/>
      <c r="B288" s="250" t="s">
        <v>294</v>
      </c>
      <c r="C288" s="252"/>
      <c r="D288" s="250"/>
      <c r="E288" s="252"/>
      <c r="F288" s="250"/>
      <c r="G288" s="250">
        <v>4.5</v>
      </c>
    </row>
    <row r="289" spans="1:7" x14ac:dyDescent="0.2">
      <c r="A289" s="243" t="s">
        <v>295</v>
      </c>
      <c r="B289" s="243" t="s">
        <v>322</v>
      </c>
      <c r="C289" s="244" t="s">
        <v>297</v>
      </c>
      <c r="D289" s="253">
        <v>1.7999999999999999E-2</v>
      </c>
      <c r="E289" s="254">
        <v>1</v>
      </c>
      <c r="F289" s="243">
        <v>250</v>
      </c>
      <c r="G289" s="243">
        <v>4.5</v>
      </c>
    </row>
    <row r="291" spans="1:7" x14ac:dyDescent="0.2">
      <c r="A291" s="250"/>
      <c r="B291" s="250" t="s">
        <v>300</v>
      </c>
      <c r="C291" s="252"/>
      <c r="D291" s="250"/>
      <c r="E291" s="252"/>
      <c r="F291" s="250"/>
      <c r="G291" s="250">
        <v>2.5</v>
      </c>
    </row>
    <row r="292" spans="1:7" x14ac:dyDescent="0.2">
      <c r="B292" s="243" t="s">
        <v>327</v>
      </c>
      <c r="C292" s="244" t="s">
        <v>302</v>
      </c>
      <c r="D292" s="243">
        <v>10</v>
      </c>
      <c r="G292" s="243">
        <v>0.92</v>
      </c>
    </row>
    <row r="293" spans="1:7" x14ac:dyDescent="0.2">
      <c r="B293" s="243" t="s">
        <v>303</v>
      </c>
      <c r="C293" s="244" t="s">
        <v>302</v>
      </c>
      <c r="D293" s="243">
        <v>35</v>
      </c>
      <c r="G293" s="243">
        <v>1.58</v>
      </c>
    </row>
    <row r="295" spans="1:7" x14ac:dyDescent="0.2">
      <c r="A295" s="250"/>
      <c r="B295" s="250" t="s">
        <v>284</v>
      </c>
      <c r="C295" s="252"/>
      <c r="D295" s="250"/>
      <c r="E295" s="252"/>
      <c r="F295" s="250"/>
      <c r="G295" s="250"/>
    </row>
    <row r="296" spans="1:7" x14ac:dyDescent="0.2">
      <c r="B296" s="243" t="s">
        <v>304</v>
      </c>
      <c r="G296" s="243">
        <v>13.7</v>
      </c>
    </row>
    <row r="297" spans="1:7" x14ac:dyDescent="0.2">
      <c r="B297" s="243" t="s">
        <v>305</v>
      </c>
      <c r="G297" s="243">
        <v>2.5</v>
      </c>
    </row>
    <row r="298" spans="1:7" x14ac:dyDescent="0.2">
      <c r="B298" s="243" t="s">
        <v>306</v>
      </c>
      <c r="G298" s="243">
        <v>16.2</v>
      </c>
    </row>
    <row r="299" spans="1:7" x14ac:dyDescent="0.2">
      <c r="B299" s="243" t="s">
        <v>307</v>
      </c>
      <c r="C299" s="244" t="s">
        <v>302</v>
      </c>
      <c r="D299" s="243" t="s">
        <v>308</v>
      </c>
      <c r="G299" s="243">
        <v>1.62</v>
      </c>
    </row>
    <row r="301" spans="1:7" x14ac:dyDescent="0.2">
      <c r="A301" s="248"/>
      <c r="B301" s="248" t="s">
        <v>284</v>
      </c>
      <c r="C301" s="249"/>
      <c r="D301" s="248"/>
      <c r="E301" s="249"/>
      <c r="F301" s="248"/>
      <c r="G301" s="248">
        <v>17.82</v>
      </c>
    </row>
    <row r="303" spans="1:7" x14ac:dyDescent="0.2">
      <c r="A303" s="248" t="s">
        <v>34</v>
      </c>
      <c r="B303" s="248"/>
      <c r="C303" s="249"/>
      <c r="D303" s="248"/>
      <c r="E303" s="249"/>
      <c r="F303" s="248"/>
      <c r="G303" s="248"/>
    </row>
    <row r="304" spans="1:7" x14ac:dyDescent="0.2">
      <c r="A304" s="250" t="s">
        <v>337</v>
      </c>
      <c r="G304" s="251" t="s">
        <v>313</v>
      </c>
    </row>
    <row r="306" spans="1:7" x14ac:dyDescent="0.2">
      <c r="A306" s="250"/>
      <c r="B306" s="250" t="s">
        <v>298</v>
      </c>
      <c r="C306" s="252"/>
      <c r="D306" s="255">
        <v>0.31</v>
      </c>
      <c r="E306" s="252"/>
      <c r="F306" s="250"/>
      <c r="G306" s="250">
        <v>3.1</v>
      </c>
    </row>
    <row r="307" spans="1:7" x14ac:dyDescent="0.2">
      <c r="A307" s="243" t="s">
        <v>295</v>
      </c>
      <c r="B307" s="243" t="s">
        <v>521</v>
      </c>
      <c r="C307" s="244" t="s">
        <v>299</v>
      </c>
      <c r="D307" s="253">
        <v>0.31</v>
      </c>
      <c r="E307" s="254">
        <v>1</v>
      </c>
      <c r="F307" s="243">
        <v>10</v>
      </c>
      <c r="G307" s="243">
        <v>3.1</v>
      </c>
    </row>
    <row r="309" spans="1:7" x14ac:dyDescent="0.2">
      <c r="A309" s="250"/>
      <c r="B309" s="250" t="s">
        <v>300</v>
      </c>
      <c r="C309" s="252"/>
      <c r="D309" s="250"/>
      <c r="E309" s="252"/>
      <c r="F309" s="250"/>
      <c r="G309" s="250">
        <v>2.48</v>
      </c>
    </row>
    <row r="310" spans="1:7" x14ac:dyDescent="0.2">
      <c r="B310" s="243" t="s">
        <v>301</v>
      </c>
      <c r="C310" s="244" t="s">
        <v>302</v>
      </c>
      <c r="D310" s="243">
        <v>80</v>
      </c>
      <c r="G310" s="243">
        <v>2.48</v>
      </c>
    </row>
    <row r="312" spans="1:7" x14ac:dyDescent="0.2">
      <c r="A312" s="250"/>
      <c r="B312" s="250" t="s">
        <v>284</v>
      </c>
      <c r="C312" s="252"/>
      <c r="D312" s="250"/>
      <c r="E312" s="252"/>
      <c r="F312" s="250"/>
      <c r="G312" s="250"/>
    </row>
    <row r="313" spans="1:7" x14ac:dyDescent="0.2">
      <c r="B313" s="243" t="s">
        <v>304</v>
      </c>
      <c r="G313" s="243">
        <v>3.1</v>
      </c>
    </row>
    <row r="314" spans="1:7" x14ac:dyDescent="0.2">
      <c r="B314" s="243" t="s">
        <v>305</v>
      </c>
      <c r="G314" s="243">
        <v>2.48</v>
      </c>
    </row>
    <row r="315" spans="1:7" x14ac:dyDescent="0.2">
      <c r="B315" s="243" t="s">
        <v>306</v>
      </c>
      <c r="G315" s="243">
        <v>5.58</v>
      </c>
    </row>
    <row r="316" spans="1:7" x14ac:dyDescent="0.2">
      <c r="B316" s="243" t="s">
        <v>307</v>
      </c>
      <c r="C316" s="244" t="s">
        <v>302</v>
      </c>
      <c r="D316" s="243" t="s">
        <v>308</v>
      </c>
      <c r="G316" s="243">
        <v>0.56000000000000005</v>
      </c>
    </row>
    <row r="318" spans="1:7" x14ac:dyDescent="0.2">
      <c r="A318" s="248"/>
      <c r="B318" s="248" t="s">
        <v>284</v>
      </c>
      <c r="C318" s="249"/>
      <c r="D318" s="248"/>
      <c r="E318" s="249"/>
      <c r="F318" s="248"/>
      <c r="G318" s="248">
        <v>6.14</v>
      </c>
    </row>
    <row r="320" spans="1:7" x14ac:dyDescent="0.2">
      <c r="A320" s="248" t="s">
        <v>35</v>
      </c>
      <c r="B320" s="248"/>
      <c r="C320" s="249"/>
      <c r="D320" s="248"/>
      <c r="E320" s="249"/>
      <c r="F320" s="248"/>
      <c r="G320" s="248"/>
    </row>
    <row r="321" spans="1:7" x14ac:dyDescent="0.2">
      <c r="A321" s="250" t="s">
        <v>338</v>
      </c>
      <c r="G321" s="251" t="s">
        <v>313</v>
      </c>
    </row>
    <row r="323" spans="1:7" x14ac:dyDescent="0.2">
      <c r="A323" s="250"/>
      <c r="B323" s="250" t="s">
        <v>294</v>
      </c>
      <c r="C323" s="252"/>
      <c r="D323" s="250"/>
      <c r="E323" s="252"/>
      <c r="F323" s="250"/>
      <c r="G323" s="250">
        <v>1.92</v>
      </c>
    </row>
    <row r="324" spans="1:7" x14ac:dyDescent="0.2">
      <c r="A324" s="243" t="s">
        <v>295</v>
      </c>
      <c r="B324" s="243" t="s">
        <v>334</v>
      </c>
      <c r="C324" s="244" t="s">
        <v>297</v>
      </c>
      <c r="D324" s="253">
        <v>8.0000000000000002E-3</v>
      </c>
      <c r="E324" s="254">
        <v>1</v>
      </c>
      <c r="F324" s="243">
        <v>150</v>
      </c>
      <c r="G324" s="243">
        <v>1.2</v>
      </c>
    </row>
    <row r="325" spans="1:7" x14ac:dyDescent="0.2">
      <c r="A325" s="243" t="s">
        <v>295</v>
      </c>
      <c r="B325" s="243" t="s">
        <v>339</v>
      </c>
      <c r="C325" s="244" t="s">
        <v>297</v>
      </c>
      <c r="D325" s="253">
        <v>1.7999999999999999E-2</v>
      </c>
      <c r="E325" s="254">
        <v>1</v>
      </c>
      <c r="F325" s="243">
        <v>40</v>
      </c>
      <c r="G325" s="243">
        <v>0.72</v>
      </c>
    </row>
    <row r="327" spans="1:7" x14ac:dyDescent="0.2">
      <c r="A327" s="250"/>
      <c r="B327" s="250" t="s">
        <v>298</v>
      </c>
      <c r="C327" s="252"/>
      <c r="D327" s="255">
        <v>1.4999999999999999E-2</v>
      </c>
      <c r="E327" s="252"/>
      <c r="F327" s="250"/>
      <c r="G327" s="250">
        <v>0.15</v>
      </c>
    </row>
    <row r="328" spans="1:7" x14ac:dyDescent="0.2">
      <c r="A328" s="243" t="s">
        <v>295</v>
      </c>
      <c r="B328" s="243" t="s">
        <v>521</v>
      </c>
      <c r="C328" s="244" t="s">
        <v>299</v>
      </c>
      <c r="D328" s="253">
        <v>1.4999999999999999E-2</v>
      </c>
      <c r="E328" s="254">
        <v>1</v>
      </c>
      <c r="F328" s="243">
        <v>10</v>
      </c>
      <c r="G328" s="243">
        <v>0.15</v>
      </c>
    </row>
    <row r="330" spans="1:7" x14ac:dyDescent="0.2">
      <c r="A330" s="250"/>
      <c r="B330" s="250" t="s">
        <v>300</v>
      </c>
      <c r="C330" s="252"/>
      <c r="D330" s="250"/>
      <c r="E330" s="252"/>
      <c r="F330" s="250"/>
      <c r="G330" s="250">
        <v>0.79</v>
      </c>
    </row>
    <row r="331" spans="1:7" x14ac:dyDescent="0.2">
      <c r="B331" s="243" t="s">
        <v>301</v>
      </c>
      <c r="C331" s="244" t="s">
        <v>302</v>
      </c>
      <c r="D331" s="243">
        <v>80</v>
      </c>
      <c r="G331" s="243">
        <v>0.12</v>
      </c>
    </row>
    <row r="332" spans="1:7" x14ac:dyDescent="0.2">
      <c r="B332" s="243" t="s">
        <v>303</v>
      </c>
      <c r="C332" s="244" t="s">
        <v>302</v>
      </c>
      <c r="D332" s="243">
        <v>35</v>
      </c>
      <c r="G332" s="243">
        <v>0.67</v>
      </c>
    </row>
    <row r="334" spans="1:7" x14ac:dyDescent="0.2">
      <c r="A334" s="250"/>
      <c r="B334" s="250" t="s">
        <v>284</v>
      </c>
      <c r="C334" s="252"/>
      <c r="D334" s="250"/>
      <c r="E334" s="252"/>
      <c r="F334" s="250"/>
      <c r="G334" s="250"/>
    </row>
    <row r="335" spans="1:7" x14ac:dyDescent="0.2">
      <c r="B335" s="243" t="s">
        <v>304</v>
      </c>
      <c r="G335" s="243">
        <v>2.0699999999999998</v>
      </c>
    </row>
    <row r="336" spans="1:7" x14ac:dyDescent="0.2">
      <c r="B336" s="243" t="s">
        <v>305</v>
      </c>
      <c r="G336" s="243">
        <v>0.79</v>
      </c>
    </row>
    <row r="337" spans="1:7" x14ac:dyDescent="0.2">
      <c r="B337" s="243" t="s">
        <v>306</v>
      </c>
      <c r="G337" s="243">
        <v>2.86</v>
      </c>
    </row>
    <row r="338" spans="1:7" x14ac:dyDescent="0.2">
      <c r="B338" s="243" t="s">
        <v>307</v>
      </c>
      <c r="C338" s="244" t="s">
        <v>302</v>
      </c>
      <c r="D338" s="243" t="s">
        <v>308</v>
      </c>
      <c r="G338" s="243">
        <v>0.28999999999999998</v>
      </c>
    </row>
    <row r="340" spans="1:7" x14ac:dyDescent="0.2">
      <c r="A340" s="248"/>
      <c r="B340" s="248" t="s">
        <v>284</v>
      </c>
      <c r="C340" s="249"/>
      <c r="D340" s="248"/>
      <c r="E340" s="249"/>
      <c r="F340" s="248"/>
      <c r="G340" s="248">
        <v>3.15</v>
      </c>
    </row>
    <row r="342" spans="1:7" x14ac:dyDescent="0.2">
      <c r="A342" s="248" t="s">
        <v>36</v>
      </c>
      <c r="B342" s="248"/>
      <c r="C342" s="249"/>
      <c r="D342" s="248"/>
      <c r="E342" s="249"/>
      <c r="F342" s="248"/>
      <c r="G342" s="248"/>
    </row>
    <row r="343" spans="1:7" x14ac:dyDescent="0.2">
      <c r="A343" s="250" t="s">
        <v>340</v>
      </c>
      <c r="G343" s="251" t="s">
        <v>310</v>
      </c>
    </row>
    <row r="345" spans="1:7" x14ac:dyDescent="0.2">
      <c r="A345" s="250"/>
      <c r="B345" s="250" t="s">
        <v>324</v>
      </c>
      <c r="C345" s="252"/>
      <c r="D345" s="250"/>
      <c r="E345" s="252"/>
      <c r="F345" s="250"/>
      <c r="G345" s="250">
        <v>1.2</v>
      </c>
    </row>
    <row r="346" spans="1:7" x14ac:dyDescent="0.2">
      <c r="A346" s="243" t="s">
        <v>295</v>
      </c>
      <c r="B346" s="243" t="s">
        <v>341</v>
      </c>
      <c r="C346" s="244" t="s">
        <v>325</v>
      </c>
      <c r="D346" s="253">
        <v>1</v>
      </c>
      <c r="E346" s="254">
        <v>1</v>
      </c>
      <c r="F346" s="243">
        <v>1.2</v>
      </c>
      <c r="G346" s="243">
        <v>1.2</v>
      </c>
    </row>
    <row r="348" spans="1:7" x14ac:dyDescent="0.2">
      <c r="A348" s="250"/>
      <c r="B348" s="250" t="s">
        <v>298</v>
      </c>
      <c r="C348" s="252"/>
      <c r="D348" s="255">
        <v>0.02</v>
      </c>
      <c r="E348" s="252"/>
      <c r="F348" s="250"/>
      <c r="G348" s="250">
        <v>0.2</v>
      </c>
    </row>
    <row r="349" spans="1:7" x14ac:dyDescent="0.2">
      <c r="A349" s="243" t="s">
        <v>295</v>
      </c>
      <c r="B349" s="243" t="s">
        <v>521</v>
      </c>
      <c r="C349" s="244" t="s">
        <v>299</v>
      </c>
      <c r="D349" s="253">
        <v>0.02</v>
      </c>
      <c r="E349" s="254">
        <v>1</v>
      </c>
      <c r="F349" s="243">
        <v>10</v>
      </c>
      <c r="G349" s="243">
        <v>0.2</v>
      </c>
    </row>
    <row r="351" spans="1:7" x14ac:dyDescent="0.2">
      <c r="A351" s="250"/>
      <c r="B351" s="250" t="s">
        <v>300</v>
      </c>
      <c r="C351" s="252"/>
      <c r="D351" s="250"/>
      <c r="E351" s="252"/>
      <c r="F351" s="250"/>
      <c r="G351" s="250">
        <v>0.28000000000000003</v>
      </c>
    </row>
    <row r="352" spans="1:7" x14ac:dyDescent="0.2">
      <c r="B352" s="243" t="s">
        <v>301</v>
      </c>
      <c r="C352" s="244" t="s">
        <v>302</v>
      </c>
      <c r="D352" s="243">
        <v>80</v>
      </c>
      <c r="G352" s="243">
        <v>0.16</v>
      </c>
    </row>
    <row r="353" spans="1:7" x14ac:dyDescent="0.2">
      <c r="B353" s="243" t="s">
        <v>327</v>
      </c>
      <c r="C353" s="244" t="s">
        <v>302</v>
      </c>
      <c r="D353" s="243">
        <v>10</v>
      </c>
      <c r="G353" s="243">
        <v>0.12</v>
      </c>
    </row>
    <row r="355" spans="1:7" x14ac:dyDescent="0.2">
      <c r="A355" s="250"/>
      <c r="B355" s="250" t="s">
        <v>284</v>
      </c>
      <c r="C355" s="252"/>
      <c r="D355" s="250"/>
      <c r="E355" s="252"/>
      <c r="F355" s="250"/>
      <c r="G355" s="250"/>
    </row>
    <row r="356" spans="1:7" x14ac:dyDescent="0.2">
      <c r="B356" s="243" t="s">
        <v>304</v>
      </c>
      <c r="G356" s="243">
        <v>1.4</v>
      </c>
    </row>
    <row r="357" spans="1:7" x14ac:dyDescent="0.2">
      <c r="B357" s="243" t="s">
        <v>305</v>
      </c>
      <c r="G357" s="243">
        <v>0.28000000000000003</v>
      </c>
    </row>
    <row r="358" spans="1:7" x14ac:dyDescent="0.2">
      <c r="B358" s="243" t="s">
        <v>306</v>
      </c>
      <c r="G358" s="243">
        <v>1.68</v>
      </c>
    </row>
    <row r="359" spans="1:7" x14ac:dyDescent="0.2">
      <c r="B359" s="243" t="s">
        <v>307</v>
      </c>
      <c r="C359" s="244" t="s">
        <v>302</v>
      </c>
      <c r="D359" s="243" t="s">
        <v>308</v>
      </c>
      <c r="G359" s="243">
        <v>0.17</v>
      </c>
    </row>
    <row r="361" spans="1:7" x14ac:dyDescent="0.2">
      <c r="A361" s="248"/>
      <c r="B361" s="248" t="s">
        <v>284</v>
      </c>
      <c r="C361" s="249"/>
      <c r="D361" s="248"/>
      <c r="E361" s="249"/>
      <c r="F361" s="248"/>
      <c r="G361" s="248">
        <v>1.85</v>
      </c>
    </row>
    <row r="363" spans="1:7" x14ac:dyDescent="0.2">
      <c r="A363" s="248" t="s">
        <v>37</v>
      </c>
      <c r="B363" s="248"/>
      <c r="C363" s="249"/>
      <c r="D363" s="248"/>
      <c r="E363" s="249"/>
      <c r="F363" s="248"/>
      <c r="G363" s="248"/>
    </row>
    <row r="364" spans="1:7" x14ac:dyDescent="0.2">
      <c r="A364" s="250" t="s">
        <v>342</v>
      </c>
      <c r="G364" s="251" t="s">
        <v>343</v>
      </c>
    </row>
    <row r="366" spans="1:7" x14ac:dyDescent="0.2">
      <c r="A366" s="250"/>
      <c r="B366" s="250" t="s">
        <v>324</v>
      </c>
      <c r="C366" s="252"/>
      <c r="D366" s="250"/>
      <c r="E366" s="252"/>
      <c r="F366" s="250"/>
      <c r="G366" s="250">
        <v>35</v>
      </c>
    </row>
    <row r="367" spans="1:7" x14ac:dyDescent="0.2">
      <c r="A367" s="243" t="s">
        <v>295</v>
      </c>
      <c r="B367" s="243" t="s">
        <v>344</v>
      </c>
      <c r="C367" s="244" t="s">
        <v>345</v>
      </c>
      <c r="D367" s="253">
        <v>1</v>
      </c>
      <c r="E367" s="254">
        <v>1</v>
      </c>
      <c r="F367" s="243">
        <v>35</v>
      </c>
      <c r="G367" s="243">
        <v>35</v>
      </c>
    </row>
    <row r="369" spans="1:7" x14ac:dyDescent="0.2">
      <c r="A369" s="250"/>
      <c r="B369" s="250" t="s">
        <v>298</v>
      </c>
      <c r="C369" s="252"/>
      <c r="D369" s="255">
        <v>0.12</v>
      </c>
      <c r="E369" s="252"/>
      <c r="F369" s="250"/>
      <c r="G369" s="250">
        <v>1.2</v>
      </c>
    </row>
    <row r="370" spans="1:7" x14ac:dyDescent="0.2">
      <c r="A370" s="243" t="s">
        <v>295</v>
      </c>
      <c r="B370" s="243" t="s">
        <v>521</v>
      </c>
      <c r="C370" s="244" t="s">
        <v>299</v>
      </c>
      <c r="D370" s="253">
        <v>0.12</v>
      </c>
      <c r="E370" s="254">
        <v>1</v>
      </c>
      <c r="F370" s="243">
        <v>10</v>
      </c>
      <c r="G370" s="243">
        <v>1.2</v>
      </c>
    </row>
    <row r="372" spans="1:7" x14ac:dyDescent="0.2">
      <c r="A372" s="250"/>
      <c r="B372" s="250" t="s">
        <v>300</v>
      </c>
      <c r="C372" s="252"/>
      <c r="D372" s="250"/>
      <c r="E372" s="252"/>
      <c r="F372" s="250"/>
      <c r="G372" s="250">
        <v>4.46</v>
      </c>
    </row>
    <row r="373" spans="1:7" x14ac:dyDescent="0.2">
      <c r="B373" s="243" t="s">
        <v>301</v>
      </c>
      <c r="C373" s="244" t="s">
        <v>302</v>
      </c>
      <c r="D373" s="243">
        <v>80</v>
      </c>
      <c r="G373" s="243">
        <v>0.96</v>
      </c>
    </row>
    <row r="374" spans="1:7" x14ac:dyDescent="0.2">
      <c r="B374" s="243" t="s">
        <v>327</v>
      </c>
      <c r="C374" s="244" t="s">
        <v>302</v>
      </c>
      <c r="D374" s="243">
        <v>10</v>
      </c>
      <c r="G374" s="243">
        <v>3.5</v>
      </c>
    </row>
    <row r="376" spans="1:7" x14ac:dyDescent="0.2">
      <c r="A376" s="250"/>
      <c r="B376" s="250" t="s">
        <v>284</v>
      </c>
      <c r="C376" s="252"/>
      <c r="D376" s="250"/>
      <c r="E376" s="252"/>
      <c r="F376" s="250"/>
      <c r="G376" s="250"/>
    </row>
    <row r="377" spans="1:7" x14ac:dyDescent="0.2">
      <c r="B377" s="243" t="s">
        <v>304</v>
      </c>
      <c r="G377" s="243">
        <v>36.200000000000003</v>
      </c>
    </row>
    <row r="378" spans="1:7" x14ac:dyDescent="0.2">
      <c r="B378" s="243" t="s">
        <v>305</v>
      </c>
      <c r="G378" s="243">
        <v>4.46</v>
      </c>
    </row>
    <row r="379" spans="1:7" x14ac:dyDescent="0.2">
      <c r="B379" s="243" t="s">
        <v>306</v>
      </c>
      <c r="G379" s="243">
        <v>40.659999999999997</v>
      </c>
    </row>
    <row r="380" spans="1:7" x14ac:dyDescent="0.2">
      <c r="B380" s="243" t="s">
        <v>307</v>
      </c>
      <c r="C380" s="244" t="s">
        <v>302</v>
      </c>
      <c r="D380" s="243" t="s">
        <v>308</v>
      </c>
      <c r="G380" s="243">
        <v>4.07</v>
      </c>
    </row>
    <row r="382" spans="1:7" x14ac:dyDescent="0.2">
      <c r="A382" s="248"/>
      <c r="B382" s="248" t="s">
        <v>284</v>
      </c>
      <c r="C382" s="249"/>
      <c r="D382" s="248"/>
      <c r="E382" s="249"/>
      <c r="F382" s="248"/>
      <c r="G382" s="248">
        <v>44.73</v>
      </c>
    </row>
    <row r="384" spans="1:7" x14ac:dyDescent="0.2">
      <c r="A384" s="248" t="s">
        <v>39</v>
      </c>
      <c r="B384" s="248"/>
      <c r="C384" s="249"/>
      <c r="D384" s="248"/>
      <c r="E384" s="249"/>
      <c r="F384" s="248"/>
      <c r="G384" s="248"/>
    </row>
    <row r="385" spans="1:7" x14ac:dyDescent="0.2">
      <c r="A385" s="250" t="s">
        <v>346</v>
      </c>
      <c r="G385" s="251" t="s">
        <v>313</v>
      </c>
    </row>
    <row r="387" spans="1:7" x14ac:dyDescent="0.2">
      <c r="A387" s="250"/>
      <c r="B387" s="250" t="s">
        <v>294</v>
      </c>
      <c r="C387" s="252"/>
      <c r="D387" s="250"/>
      <c r="E387" s="252"/>
      <c r="F387" s="250"/>
      <c r="G387" s="250">
        <v>2.08</v>
      </c>
    </row>
    <row r="388" spans="1:7" x14ac:dyDescent="0.2">
      <c r="A388" s="243" t="s">
        <v>295</v>
      </c>
      <c r="B388" s="243" t="s">
        <v>318</v>
      </c>
      <c r="C388" s="244" t="s">
        <v>297</v>
      </c>
      <c r="D388" s="253">
        <v>8.3000000000000001E-3</v>
      </c>
      <c r="E388" s="254">
        <v>1</v>
      </c>
      <c r="F388" s="243">
        <v>250</v>
      </c>
      <c r="G388" s="243">
        <v>2.08</v>
      </c>
    </row>
    <row r="390" spans="1:7" x14ac:dyDescent="0.2">
      <c r="A390" s="250"/>
      <c r="B390" s="250" t="s">
        <v>300</v>
      </c>
      <c r="C390" s="252"/>
      <c r="D390" s="250"/>
      <c r="E390" s="252"/>
      <c r="F390" s="250"/>
      <c r="G390" s="250">
        <v>0.73</v>
      </c>
    </row>
    <row r="391" spans="1:7" x14ac:dyDescent="0.2">
      <c r="B391" s="243" t="s">
        <v>303</v>
      </c>
      <c r="C391" s="244" t="s">
        <v>302</v>
      </c>
      <c r="D391" s="243">
        <v>35</v>
      </c>
      <c r="G391" s="243">
        <v>0.73</v>
      </c>
    </row>
    <row r="393" spans="1:7" x14ac:dyDescent="0.2">
      <c r="A393" s="250"/>
      <c r="B393" s="250" t="s">
        <v>284</v>
      </c>
      <c r="C393" s="252"/>
      <c r="D393" s="250"/>
      <c r="E393" s="252"/>
      <c r="F393" s="250"/>
      <c r="G393" s="250"/>
    </row>
    <row r="394" spans="1:7" x14ac:dyDescent="0.2">
      <c r="B394" s="243" t="s">
        <v>304</v>
      </c>
      <c r="G394" s="243">
        <v>2.08</v>
      </c>
    </row>
    <row r="395" spans="1:7" x14ac:dyDescent="0.2">
      <c r="B395" s="243" t="s">
        <v>305</v>
      </c>
      <c r="G395" s="243">
        <v>0.73</v>
      </c>
    </row>
    <row r="396" spans="1:7" x14ac:dyDescent="0.2">
      <c r="B396" s="243" t="s">
        <v>306</v>
      </c>
      <c r="G396" s="243">
        <v>2.81</v>
      </c>
    </row>
    <row r="397" spans="1:7" x14ac:dyDescent="0.2">
      <c r="B397" s="243" t="s">
        <v>307</v>
      </c>
      <c r="C397" s="244" t="s">
        <v>302</v>
      </c>
      <c r="D397" s="243" t="s">
        <v>308</v>
      </c>
      <c r="G397" s="243">
        <v>0.28000000000000003</v>
      </c>
    </row>
    <row r="399" spans="1:7" x14ac:dyDescent="0.2">
      <c r="A399" s="248"/>
      <c r="B399" s="248" t="s">
        <v>284</v>
      </c>
      <c r="C399" s="249"/>
      <c r="D399" s="248"/>
      <c r="E399" s="249"/>
      <c r="F399" s="248"/>
      <c r="G399" s="248">
        <v>3.09</v>
      </c>
    </row>
    <row r="401" spans="1:7" x14ac:dyDescent="0.2">
      <c r="A401" s="248" t="s">
        <v>40</v>
      </c>
      <c r="B401" s="248"/>
      <c r="C401" s="249"/>
      <c r="D401" s="248"/>
      <c r="E401" s="249"/>
      <c r="F401" s="248"/>
      <c r="G401" s="248"/>
    </row>
    <row r="402" spans="1:7" x14ac:dyDescent="0.2">
      <c r="A402" s="250" t="s">
        <v>347</v>
      </c>
      <c r="G402" s="251" t="s">
        <v>313</v>
      </c>
    </row>
    <row r="404" spans="1:7" x14ac:dyDescent="0.2">
      <c r="A404" s="250"/>
      <c r="B404" s="250" t="s">
        <v>294</v>
      </c>
      <c r="C404" s="252"/>
      <c r="D404" s="250"/>
      <c r="E404" s="252"/>
      <c r="F404" s="250"/>
      <c r="G404" s="250">
        <v>1.55</v>
      </c>
    </row>
    <row r="405" spans="1:7" x14ac:dyDescent="0.2">
      <c r="A405" s="243" t="s">
        <v>295</v>
      </c>
      <c r="B405" s="243" t="s">
        <v>322</v>
      </c>
      <c r="C405" s="244" t="s">
        <v>297</v>
      </c>
      <c r="D405" s="253">
        <v>6.1999999999999998E-3</v>
      </c>
      <c r="E405" s="254">
        <v>1</v>
      </c>
      <c r="F405" s="243">
        <v>250</v>
      </c>
      <c r="G405" s="243">
        <v>1.55</v>
      </c>
    </row>
    <row r="407" spans="1:7" x14ac:dyDescent="0.2">
      <c r="A407" s="250"/>
      <c r="B407" s="250" t="s">
        <v>300</v>
      </c>
      <c r="C407" s="252"/>
      <c r="D407" s="250"/>
      <c r="E407" s="252"/>
      <c r="F407" s="250"/>
      <c r="G407" s="250">
        <v>0.54</v>
      </c>
    </row>
    <row r="408" spans="1:7" x14ac:dyDescent="0.2">
      <c r="B408" s="243" t="s">
        <v>303</v>
      </c>
      <c r="C408" s="244" t="s">
        <v>302</v>
      </c>
      <c r="D408" s="243">
        <v>35</v>
      </c>
      <c r="G408" s="243">
        <v>0.54</v>
      </c>
    </row>
    <row r="410" spans="1:7" x14ac:dyDescent="0.2">
      <c r="A410" s="250"/>
      <c r="B410" s="250" t="s">
        <v>284</v>
      </c>
      <c r="C410" s="252"/>
      <c r="D410" s="250"/>
      <c r="E410" s="252"/>
      <c r="F410" s="250"/>
      <c r="G410" s="250"/>
    </row>
    <row r="411" spans="1:7" x14ac:dyDescent="0.2">
      <c r="B411" s="243" t="s">
        <v>304</v>
      </c>
      <c r="G411" s="243">
        <v>1.55</v>
      </c>
    </row>
    <row r="412" spans="1:7" x14ac:dyDescent="0.2">
      <c r="B412" s="243" t="s">
        <v>305</v>
      </c>
      <c r="G412" s="243">
        <v>0.54</v>
      </c>
    </row>
    <row r="413" spans="1:7" x14ac:dyDescent="0.2">
      <c r="B413" s="243" t="s">
        <v>306</v>
      </c>
      <c r="G413" s="243">
        <v>2.09</v>
      </c>
    </row>
    <row r="414" spans="1:7" x14ac:dyDescent="0.2">
      <c r="B414" s="243" t="s">
        <v>307</v>
      </c>
      <c r="C414" s="244" t="s">
        <v>302</v>
      </c>
      <c r="D414" s="243" t="s">
        <v>308</v>
      </c>
      <c r="G414" s="243">
        <v>0.21</v>
      </c>
    </row>
    <row r="416" spans="1:7" x14ac:dyDescent="0.2">
      <c r="A416" s="248"/>
      <c r="B416" s="248" t="s">
        <v>284</v>
      </c>
      <c r="C416" s="249"/>
      <c r="D416" s="248"/>
      <c r="E416" s="249"/>
      <c r="F416" s="248"/>
      <c r="G416" s="248">
        <v>2.2999999999999998</v>
      </c>
    </row>
    <row r="418" spans="1:7" x14ac:dyDescent="0.2">
      <c r="A418" s="248" t="s">
        <v>101</v>
      </c>
      <c r="B418" s="248"/>
      <c r="C418" s="249"/>
      <c r="D418" s="248"/>
      <c r="E418" s="249"/>
      <c r="F418" s="248"/>
      <c r="G418" s="248"/>
    </row>
    <row r="419" spans="1:7" x14ac:dyDescent="0.2">
      <c r="A419" s="250" t="s">
        <v>348</v>
      </c>
      <c r="G419" s="251" t="s">
        <v>293</v>
      </c>
    </row>
    <row r="421" spans="1:7" x14ac:dyDescent="0.2">
      <c r="A421" s="250"/>
      <c r="B421" s="250" t="s">
        <v>324</v>
      </c>
      <c r="C421" s="252"/>
      <c r="D421" s="250"/>
      <c r="E421" s="252"/>
      <c r="F421" s="250"/>
      <c r="G421" s="250">
        <v>8.1</v>
      </c>
    </row>
    <row r="422" spans="1:7" x14ac:dyDescent="0.2">
      <c r="A422" s="243" t="s">
        <v>295</v>
      </c>
      <c r="B422" s="243" t="s">
        <v>349</v>
      </c>
      <c r="C422" s="244" t="s">
        <v>350</v>
      </c>
      <c r="D422" s="253">
        <v>1</v>
      </c>
      <c r="E422" s="254">
        <v>1</v>
      </c>
      <c r="F422" s="243">
        <v>8.1</v>
      </c>
      <c r="G422" s="243">
        <v>8.1</v>
      </c>
    </row>
    <row r="424" spans="1:7" x14ac:dyDescent="0.2">
      <c r="A424" s="250"/>
      <c r="B424" s="250" t="s">
        <v>294</v>
      </c>
      <c r="C424" s="252"/>
      <c r="D424" s="250"/>
      <c r="E424" s="252"/>
      <c r="F424" s="250"/>
      <c r="G424" s="250">
        <v>6.25</v>
      </c>
    </row>
    <row r="425" spans="1:7" x14ac:dyDescent="0.2">
      <c r="A425" s="243" t="s">
        <v>295</v>
      </c>
      <c r="B425" s="243" t="s">
        <v>495</v>
      </c>
      <c r="C425" s="244" t="s">
        <v>297</v>
      </c>
      <c r="D425" s="253">
        <v>2.5000000000000001E-2</v>
      </c>
      <c r="E425" s="254">
        <v>1</v>
      </c>
      <c r="F425" s="243">
        <v>250</v>
      </c>
      <c r="G425" s="243">
        <v>6.25</v>
      </c>
    </row>
    <row r="427" spans="1:7" x14ac:dyDescent="0.2">
      <c r="A427" s="250"/>
      <c r="B427" s="250" t="s">
        <v>298</v>
      </c>
      <c r="C427" s="252"/>
      <c r="D427" s="255">
        <v>0.6</v>
      </c>
      <c r="E427" s="252"/>
      <c r="F427" s="250"/>
      <c r="G427" s="250">
        <v>6</v>
      </c>
    </row>
    <row r="428" spans="1:7" x14ac:dyDescent="0.2">
      <c r="A428" s="243" t="s">
        <v>295</v>
      </c>
      <c r="B428" s="243" t="s">
        <v>351</v>
      </c>
      <c r="C428" s="244" t="s">
        <v>299</v>
      </c>
      <c r="D428" s="253">
        <v>0.4</v>
      </c>
      <c r="E428" s="254">
        <v>1</v>
      </c>
      <c r="F428" s="243">
        <v>10</v>
      </c>
      <c r="G428" s="243">
        <v>4</v>
      </c>
    </row>
    <row r="429" spans="1:7" x14ac:dyDescent="0.2">
      <c r="A429" s="243" t="s">
        <v>295</v>
      </c>
      <c r="B429" s="243" t="s">
        <v>521</v>
      </c>
      <c r="C429" s="244" t="s">
        <v>299</v>
      </c>
      <c r="D429" s="253">
        <v>0.2</v>
      </c>
      <c r="E429" s="254">
        <v>1</v>
      </c>
      <c r="F429" s="243">
        <v>10</v>
      </c>
      <c r="G429" s="243">
        <v>2</v>
      </c>
    </row>
    <row r="431" spans="1:7" x14ac:dyDescent="0.2">
      <c r="A431" s="250"/>
      <c r="B431" s="250" t="s">
        <v>300</v>
      </c>
      <c r="C431" s="252"/>
      <c r="D431" s="250"/>
      <c r="E431" s="252"/>
      <c r="F431" s="250"/>
      <c r="G431" s="250">
        <v>7.8</v>
      </c>
    </row>
    <row r="432" spans="1:7" x14ac:dyDescent="0.2">
      <c r="B432" s="243" t="s">
        <v>301</v>
      </c>
      <c r="C432" s="244" t="s">
        <v>302</v>
      </c>
      <c r="D432" s="243">
        <v>80</v>
      </c>
      <c r="G432" s="243">
        <v>4.8</v>
      </c>
    </row>
    <row r="433" spans="1:7" x14ac:dyDescent="0.2">
      <c r="B433" s="243" t="s">
        <v>327</v>
      </c>
      <c r="C433" s="244" t="s">
        <v>302</v>
      </c>
      <c r="D433" s="243">
        <v>10</v>
      </c>
      <c r="G433" s="243">
        <v>0.81</v>
      </c>
    </row>
    <row r="434" spans="1:7" x14ac:dyDescent="0.2">
      <c r="B434" s="243" t="s">
        <v>303</v>
      </c>
      <c r="C434" s="244" t="s">
        <v>302</v>
      </c>
      <c r="D434" s="243">
        <v>35</v>
      </c>
      <c r="G434" s="243">
        <v>2.19</v>
      </c>
    </row>
    <row r="436" spans="1:7" x14ac:dyDescent="0.2">
      <c r="A436" s="250"/>
      <c r="B436" s="250" t="s">
        <v>284</v>
      </c>
      <c r="C436" s="252"/>
      <c r="D436" s="250"/>
      <c r="E436" s="252"/>
      <c r="F436" s="250"/>
      <c r="G436" s="250"/>
    </row>
    <row r="437" spans="1:7" x14ac:dyDescent="0.2">
      <c r="B437" s="243" t="s">
        <v>304</v>
      </c>
      <c r="G437" s="243">
        <v>20.350000000000001</v>
      </c>
    </row>
    <row r="438" spans="1:7" x14ac:dyDescent="0.2">
      <c r="B438" s="243" t="s">
        <v>305</v>
      </c>
      <c r="G438" s="243">
        <v>7.8</v>
      </c>
    </row>
    <row r="439" spans="1:7" x14ac:dyDescent="0.2">
      <c r="B439" s="243" t="s">
        <v>306</v>
      </c>
      <c r="G439" s="243">
        <v>28.15</v>
      </c>
    </row>
    <row r="440" spans="1:7" x14ac:dyDescent="0.2">
      <c r="B440" s="243" t="s">
        <v>307</v>
      </c>
      <c r="C440" s="244" t="s">
        <v>302</v>
      </c>
      <c r="D440" s="243" t="s">
        <v>308</v>
      </c>
      <c r="G440" s="243">
        <v>2.82</v>
      </c>
    </row>
    <row r="442" spans="1:7" x14ac:dyDescent="0.2">
      <c r="A442" s="248"/>
      <c r="B442" s="248" t="s">
        <v>284</v>
      </c>
      <c r="C442" s="249"/>
      <c r="D442" s="248"/>
      <c r="E442" s="249"/>
      <c r="F442" s="248"/>
      <c r="G442" s="248">
        <v>30.97</v>
      </c>
    </row>
    <row r="444" spans="1:7" x14ac:dyDescent="0.2">
      <c r="A444" s="248" t="s">
        <v>41</v>
      </c>
      <c r="B444" s="248"/>
      <c r="C444" s="249"/>
      <c r="D444" s="248"/>
      <c r="E444" s="249"/>
      <c r="F444" s="248"/>
      <c r="G444" s="248"/>
    </row>
    <row r="445" spans="1:7" x14ac:dyDescent="0.2">
      <c r="A445" s="250" t="s">
        <v>352</v>
      </c>
      <c r="G445" s="251" t="s">
        <v>293</v>
      </c>
    </row>
    <row r="447" spans="1:7" x14ac:dyDescent="0.2">
      <c r="A447" s="250"/>
      <c r="B447" s="250" t="s">
        <v>324</v>
      </c>
      <c r="C447" s="252"/>
      <c r="D447" s="250"/>
      <c r="E447" s="252"/>
      <c r="F447" s="250"/>
      <c r="G447" s="250">
        <v>4.0999999999999996</v>
      </c>
    </row>
    <row r="448" spans="1:7" x14ac:dyDescent="0.2">
      <c r="A448" s="243" t="s">
        <v>295</v>
      </c>
      <c r="B448" s="243" t="s">
        <v>353</v>
      </c>
      <c r="C448" s="244" t="s">
        <v>350</v>
      </c>
      <c r="D448" s="253">
        <v>1</v>
      </c>
      <c r="E448" s="254">
        <v>1</v>
      </c>
      <c r="F448" s="243">
        <v>4.0999999999999996</v>
      </c>
      <c r="G448" s="243">
        <v>4.0999999999999996</v>
      </c>
    </row>
    <row r="450" spans="1:7" x14ac:dyDescent="0.2">
      <c r="A450" s="250"/>
      <c r="B450" s="250" t="s">
        <v>294</v>
      </c>
      <c r="C450" s="252"/>
      <c r="D450" s="250"/>
      <c r="E450" s="252"/>
      <c r="F450" s="250"/>
      <c r="G450" s="250">
        <v>6.25</v>
      </c>
    </row>
    <row r="451" spans="1:7" x14ac:dyDescent="0.2">
      <c r="A451" s="243" t="s">
        <v>295</v>
      </c>
      <c r="B451" s="243" t="s">
        <v>495</v>
      </c>
      <c r="C451" s="244" t="s">
        <v>297</v>
      </c>
      <c r="D451" s="253">
        <v>2.5000000000000001E-2</v>
      </c>
      <c r="E451" s="254">
        <v>1</v>
      </c>
      <c r="F451" s="243">
        <v>250</v>
      </c>
      <c r="G451" s="243">
        <v>6.25</v>
      </c>
    </row>
    <row r="453" spans="1:7" x14ac:dyDescent="0.2">
      <c r="A453" s="250"/>
      <c r="B453" s="250" t="s">
        <v>298</v>
      </c>
      <c r="C453" s="252"/>
      <c r="D453" s="255">
        <v>0.6</v>
      </c>
      <c r="E453" s="252"/>
      <c r="F453" s="250"/>
      <c r="G453" s="250">
        <v>6</v>
      </c>
    </row>
    <row r="454" spans="1:7" x14ac:dyDescent="0.2">
      <c r="A454" s="243" t="s">
        <v>295</v>
      </c>
      <c r="B454" s="243" t="s">
        <v>351</v>
      </c>
      <c r="C454" s="244" t="s">
        <v>299</v>
      </c>
      <c r="D454" s="253">
        <v>0.4</v>
      </c>
      <c r="E454" s="254">
        <v>1</v>
      </c>
      <c r="F454" s="243">
        <v>10</v>
      </c>
      <c r="G454" s="243">
        <v>4</v>
      </c>
    </row>
    <row r="455" spans="1:7" x14ac:dyDescent="0.2">
      <c r="A455" s="243" t="s">
        <v>295</v>
      </c>
      <c r="B455" s="243" t="s">
        <v>521</v>
      </c>
      <c r="C455" s="244" t="s">
        <v>299</v>
      </c>
      <c r="D455" s="253">
        <v>0.2</v>
      </c>
      <c r="E455" s="254">
        <v>1</v>
      </c>
      <c r="F455" s="243">
        <v>10</v>
      </c>
      <c r="G455" s="243">
        <v>2</v>
      </c>
    </row>
    <row r="457" spans="1:7" x14ac:dyDescent="0.2">
      <c r="A457" s="250"/>
      <c r="B457" s="250" t="s">
        <v>300</v>
      </c>
      <c r="C457" s="252"/>
      <c r="D457" s="250"/>
      <c r="E457" s="252"/>
      <c r="F457" s="250"/>
      <c r="G457" s="250">
        <v>7.4</v>
      </c>
    </row>
    <row r="458" spans="1:7" x14ac:dyDescent="0.2">
      <c r="B458" s="243" t="s">
        <v>301</v>
      </c>
      <c r="C458" s="244" t="s">
        <v>302</v>
      </c>
      <c r="D458" s="243">
        <v>80</v>
      </c>
      <c r="G458" s="243">
        <v>4.8</v>
      </c>
    </row>
    <row r="459" spans="1:7" x14ac:dyDescent="0.2">
      <c r="B459" s="243" t="s">
        <v>327</v>
      </c>
      <c r="C459" s="244" t="s">
        <v>302</v>
      </c>
      <c r="D459" s="243">
        <v>10</v>
      </c>
      <c r="G459" s="243">
        <v>0.41</v>
      </c>
    </row>
    <row r="460" spans="1:7" x14ac:dyDescent="0.2">
      <c r="B460" s="243" t="s">
        <v>303</v>
      </c>
      <c r="C460" s="244" t="s">
        <v>302</v>
      </c>
      <c r="D460" s="243">
        <v>35</v>
      </c>
      <c r="G460" s="243">
        <v>2.19</v>
      </c>
    </row>
    <row r="462" spans="1:7" x14ac:dyDescent="0.2">
      <c r="A462" s="250"/>
      <c r="B462" s="250" t="s">
        <v>284</v>
      </c>
      <c r="C462" s="252"/>
      <c r="D462" s="250"/>
      <c r="E462" s="252"/>
      <c r="F462" s="250"/>
      <c r="G462" s="250"/>
    </row>
    <row r="463" spans="1:7" x14ac:dyDescent="0.2">
      <c r="B463" s="243" t="s">
        <v>304</v>
      </c>
      <c r="G463" s="243">
        <v>16.350000000000001</v>
      </c>
    </row>
    <row r="464" spans="1:7" x14ac:dyDescent="0.2">
      <c r="B464" s="243" t="s">
        <v>305</v>
      </c>
      <c r="G464" s="243">
        <v>7.4</v>
      </c>
    </row>
    <row r="465" spans="1:7" x14ac:dyDescent="0.2">
      <c r="B465" s="243" t="s">
        <v>306</v>
      </c>
      <c r="G465" s="243">
        <v>23.75</v>
      </c>
    </row>
    <row r="466" spans="1:7" x14ac:dyDescent="0.2">
      <c r="B466" s="243" t="s">
        <v>307</v>
      </c>
      <c r="C466" s="244" t="s">
        <v>302</v>
      </c>
      <c r="D466" s="243" t="s">
        <v>308</v>
      </c>
      <c r="G466" s="243">
        <v>2.38</v>
      </c>
    </row>
    <row r="468" spans="1:7" x14ac:dyDescent="0.2">
      <c r="A468" s="248"/>
      <c r="B468" s="248" t="s">
        <v>284</v>
      </c>
      <c r="C468" s="249"/>
      <c r="D468" s="248"/>
      <c r="E468" s="249"/>
      <c r="F468" s="248"/>
      <c r="G468" s="248">
        <v>26.13</v>
      </c>
    </row>
    <row r="470" spans="1:7" x14ac:dyDescent="0.2">
      <c r="A470" s="248" t="s">
        <v>93</v>
      </c>
      <c r="B470" s="248"/>
      <c r="C470" s="249"/>
      <c r="D470" s="248"/>
      <c r="E470" s="249"/>
      <c r="F470" s="248"/>
      <c r="G470" s="248"/>
    </row>
    <row r="471" spans="1:7" x14ac:dyDescent="0.2">
      <c r="A471" s="250" t="s">
        <v>354</v>
      </c>
      <c r="G471" s="251" t="s">
        <v>293</v>
      </c>
    </row>
    <row r="473" spans="1:7" x14ac:dyDescent="0.2">
      <c r="A473" s="250"/>
      <c r="B473" s="250" t="s">
        <v>324</v>
      </c>
      <c r="C473" s="252"/>
      <c r="D473" s="250"/>
      <c r="E473" s="252"/>
      <c r="F473" s="250"/>
      <c r="G473" s="250">
        <v>1.2</v>
      </c>
    </row>
    <row r="474" spans="1:7" x14ac:dyDescent="0.2">
      <c r="A474" s="243" t="s">
        <v>295</v>
      </c>
      <c r="B474" s="243" t="s">
        <v>355</v>
      </c>
      <c r="C474" s="244" t="s">
        <v>350</v>
      </c>
      <c r="D474" s="253">
        <v>1</v>
      </c>
      <c r="E474" s="254">
        <v>1</v>
      </c>
      <c r="F474" s="243">
        <v>1.2</v>
      </c>
      <c r="G474" s="243">
        <v>1.2</v>
      </c>
    </row>
    <row r="476" spans="1:7" x14ac:dyDescent="0.2">
      <c r="A476" s="250"/>
      <c r="B476" s="250" t="s">
        <v>298</v>
      </c>
      <c r="C476" s="252"/>
      <c r="D476" s="255">
        <v>0.32</v>
      </c>
      <c r="E476" s="252"/>
      <c r="F476" s="250"/>
      <c r="G476" s="250">
        <v>3.2</v>
      </c>
    </row>
    <row r="477" spans="1:7" x14ac:dyDescent="0.2">
      <c r="A477" s="243" t="s">
        <v>295</v>
      </c>
      <c r="B477" s="243" t="s">
        <v>351</v>
      </c>
      <c r="C477" s="244" t="s">
        <v>299</v>
      </c>
      <c r="D477" s="253">
        <v>0.22</v>
      </c>
      <c r="E477" s="254">
        <v>1</v>
      </c>
      <c r="F477" s="243">
        <v>10</v>
      </c>
      <c r="G477" s="243">
        <v>2.2000000000000002</v>
      </c>
    </row>
    <row r="478" spans="1:7" x14ac:dyDescent="0.2">
      <c r="A478" s="243" t="s">
        <v>295</v>
      </c>
      <c r="B478" s="243" t="s">
        <v>521</v>
      </c>
      <c r="C478" s="244" t="s">
        <v>299</v>
      </c>
      <c r="D478" s="253">
        <v>0.1</v>
      </c>
      <c r="E478" s="254">
        <v>1</v>
      </c>
      <c r="F478" s="243">
        <v>10</v>
      </c>
      <c r="G478" s="243">
        <v>1</v>
      </c>
    </row>
    <row r="480" spans="1:7" x14ac:dyDescent="0.2">
      <c r="A480" s="250"/>
      <c r="B480" s="250" t="s">
        <v>300</v>
      </c>
      <c r="C480" s="252"/>
      <c r="D480" s="250"/>
      <c r="E480" s="252"/>
      <c r="F480" s="250"/>
      <c r="G480" s="250">
        <v>2.68</v>
      </c>
    </row>
    <row r="481" spans="1:7" x14ac:dyDescent="0.2">
      <c r="B481" s="243" t="s">
        <v>301</v>
      </c>
      <c r="C481" s="244" t="s">
        <v>302</v>
      </c>
      <c r="D481" s="243">
        <v>80</v>
      </c>
      <c r="G481" s="243">
        <v>2.56</v>
      </c>
    </row>
    <row r="482" spans="1:7" x14ac:dyDescent="0.2">
      <c r="B482" s="243" t="s">
        <v>327</v>
      </c>
      <c r="C482" s="244" t="s">
        <v>302</v>
      </c>
      <c r="D482" s="243">
        <v>10</v>
      </c>
      <c r="G482" s="243">
        <v>0.12</v>
      </c>
    </row>
    <row r="484" spans="1:7" x14ac:dyDescent="0.2">
      <c r="A484" s="250"/>
      <c r="B484" s="250" t="s">
        <v>284</v>
      </c>
      <c r="C484" s="252"/>
      <c r="D484" s="250"/>
      <c r="E484" s="252"/>
      <c r="F484" s="250"/>
      <c r="G484" s="250"/>
    </row>
    <row r="485" spans="1:7" x14ac:dyDescent="0.2">
      <c r="B485" s="243" t="s">
        <v>304</v>
      </c>
      <c r="G485" s="243">
        <v>4.4000000000000004</v>
      </c>
    </row>
    <row r="486" spans="1:7" x14ac:dyDescent="0.2">
      <c r="B486" s="243" t="s">
        <v>305</v>
      </c>
      <c r="G486" s="243">
        <v>2.68</v>
      </c>
    </row>
    <row r="487" spans="1:7" x14ac:dyDescent="0.2">
      <c r="B487" s="243" t="s">
        <v>306</v>
      </c>
      <c r="G487" s="243">
        <v>7.08</v>
      </c>
    </row>
    <row r="488" spans="1:7" x14ac:dyDescent="0.2">
      <c r="B488" s="243" t="s">
        <v>307</v>
      </c>
      <c r="C488" s="244" t="s">
        <v>302</v>
      </c>
      <c r="D488" s="243" t="s">
        <v>308</v>
      </c>
      <c r="G488" s="243">
        <v>0.71</v>
      </c>
    </row>
    <row r="490" spans="1:7" x14ac:dyDescent="0.2">
      <c r="A490" s="248"/>
      <c r="B490" s="248" t="s">
        <v>284</v>
      </c>
      <c r="C490" s="249"/>
      <c r="D490" s="248"/>
      <c r="E490" s="249"/>
      <c r="F490" s="248"/>
      <c r="G490" s="248">
        <v>7.79</v>
      </c>
    </row>
    <row r="492" spans="1:7" x14ac:dyDescent="0.2">
      <c r="A492" s="248" t="s">
        <v>102</v>
      </c>
      <c r="B492" s="248"/>
      <c r="C492" s="249"/>
      <c r="D492" s="248"/>
      <c r="E492" s="249"/>
      <c r="F492" s="248"/>
      <c r="G492" s="248"/>
    </row>
    <row r="493" spans="1:7" x14ac:dyDescent="0.2">
      <c r="A493" s="250" t="s">
        <v>356</v>
      </c>
      <c r="G493" s="251" t="s">
        <v>343</v>
      </c>
    </row>
    <row r="495" spans="1:7" x14ac:dyDescent="0.2">
      <c r="A495" s="250"/>
      <c r="B495" s="250" t="s">
        <v>324</v>
      </c>
      <c r="C495" s="252"/>
      <c r="D495" s="250"/>
      <c r="E495" s="252"/>
      <c r="F495" s="250"/>
      <c r="G495" s="250">
        <v>10</v>
      </c>
    </row>
    <row r="496" spans="1:7" x14ac:dyDescent="0.2">
      <c r="A496" s="243" t="s">
        <v>295</v>
      </c>
      <c r="B496" s="243" t="s">
        <v>357</v>
      </c>
      <c r="C496" s="244" t="s">
        <v>358</v>
      </c>
      <c r="D496" s="253">
        <v>1</v>
      </c>
      <c r="E496" s="254">
        <v>1</v>
      </c>
      <c r="F496" s="243">
        <v>10</v>
      </c>
      <c r="G496" s="243">
        <v>10</v>
      </c>
    </row>
    <row r="498" spans="1:7" x14ac:dyDescent="0.2">
      <c r="A498" s="250"/>
      <c r="B498" s="250" t="s">
        <v>298</v>
      </c>
      <c r="C498" s="252"/>
      <c r="D498" s="255">
        <v>0.14000000000000001</v>
      </c>
      <c r="E498" s="252"/>
      <c r="F498" s="250"/>
      <c r="G498" s="250">
        <v>1.4</v>
      </c>
    </row>
    <row r="499" spans="1:7" x14ac:dyDescent="0.2">
      <c r="A499" s="243" t="s">
        <v>295</v>
      </c>
      <c r="B499" s="243" t="s">
        <v>521</v>
      </c>
      <c r="C499" s="244" t="s">
        <v>299</v>
      </c>
      <c r="D499" s="253">
        <v>0.14000000000000001</v>
      </c>
      <c r="E499" s="254">
        <v>1</v>
      </c>
      <c r="F499" s="243">
        <v>10</v>
      </c>
      <c r="G499" s="243">
        <v>1.4</v>
      </c>
    </row>
    <row r="501" spans="1:7" x14ac:dyDescent="0.2">
      <c r="A501" s="250"/>
      <c r="B501" s="250" t="s">
        <v>300</v>
      </c>
      <c r="C501" s="252"/>
      <c r="D501" s="250"/>
      <c r="E501" s="252"/>
      <c r="F501" s="250"/>
      <c r="G501" s="250">
        <v>2.12</v>
      </c>
    </row>
    <row r="502" spans="1:7" x14ac:dyDescent="0.2">
      <c r="B502" s="243" t="s">
        <v>301</v>
      </c>
      <c r="C502" s="244" t="s">
        <v>302</v>
      </c>
      <c r="D502" s="243">
        <v>80</v>
      </c>
      <c r="G502" s="243">
        <v>1.1200000000000001</v>
      </c>
    </row>
    <row r="503" spans="1:7" x14ac:dyDescent="0.2">
      <c r="B503" s="243" t="s">
        <v>327</v>
      </c>
      <c r="C503" s="244" t="s">
        <v>302</v>
      </c>
      <c r="D503" s="243">
        <v>10</v>
      </c>
      <c r="G503" s="243">
        <v>1</v>
      </c>
    </row>
    <row r="505" spans="1:7" x14ac:dyDescent="0.2">
      <c r="A505" s="250"/>
      <c r="B505" s="250" t="s">
        <v>284</v>
      </c>
      <c r="C505" s="252"/>
      <c r="D505" s="250"/>
      <c r="E505" s="252"/>
      <c r="F505" s="250"/>
      <c r="G505" s="250"/>
    </row>
    <row r="506" spans="1:7" x14ac:dyDescent="0.2">
      <c r="B506" s="243" t="s">
        <v>304</v>
      </c>
      <c r="G506" s="243">
        <v>11.4</v>
      </c>
    </row>
    <row r="507" spans="1:7" x14ac:dyDescent="0.2">
      <c r="B507" s="243" t="s">
        <v>305</v>
      </c>
      <c r="G507" s="243">
        <v>2.12</v>
      </c>
    </row>
    <row r="508" spans="1:7" x14ac:dyDescent="0.2">
      <c r="B508" s="243" t="s">
        <v>306</v>
      </c>
      <c r="G508" s="243">
        <v>13.52</v>
      </c>
    </row>
    <row r="509" spans="1:7" x14ac:dyDescent="0.2">
      <c r="B509" s="243" t="s">
        <v>307</v>
      </c>
      <c r="C509" s="244" t="s">
        <v>302</v>
      </c>
      <c r="D509" s="243" t="s">
        <v>308</v>
      </c>
      <c r="G509" s="243">
        <v>1.35</v>
      </c>
    </row>
    <row r="511" spans="1:7" x14ac:dyDescent="0.2">
      <c r="A511" s="248"/>
      <c r="B511" s="248" t="s">
        <v>284</v>
      </c>
      <c r="C511" s="249"/>
      <c r="D511" s="248"/>
      <c r="E511" s="249"/>
      <c r="F511" s="248"/>
      <c r="G511" s="248">
        <v>14.87</v>
      </c>
    </row>
    <row r="513" spans="1:7" x14ac:dyDescent="0.2">
      <c r="A513" s="248" t="s">
        <v>103</v>
      </c>
      <c r="B513" s="248"/>
      <c r="C513" s="249"/>
      <c r="D513" s="248"/>
      <c r="E513" s="249"/>
      <c r="F513" s="248"/>
      <c r="G513" s="248"/>
    </row>
    <row r="514" spans="1:7" x14ac:dyDescent="0.2">
      <c r="A514" s="250" t="s">
        <v>359</v>
      </c>
      <c r="G514" s="251" t="s">
        <v>343</v>
      </c>
    </row>
    <row r="516" spans="1:7" x14ac:dyDescent="0.2">
      <c r="A516" s="250"/>
      <c r="B516" s="250" t="s">
        <v>324</v>
      </c>
      <c r="C516" s="252"/>
      <c r="D516" s="250"/>
      <c r="E516" s="252"/>
      <c r="F516" s="250"/>
      <c r="G516" s="250">
        <v>52</v>
      </c>
    </row>
    <row r="517" spans="1:7" x14ac:dyDescent="0.2">
      <c r="A517" s="243" t="s">
        <v>295</v>
      </c>
      <c r="B517" s="243" t="s">
        <v>360</v>
      </c>
      <c r="C517" s="244" t="s">
        <v>358</v>
      </c>
      <c r="D517" s="253">
        <v>1</v>
      </c>
      <c r="E517" s="254">
        <v>1</v>
      </c>
      <c r="F517" s="243">
        <v>52</v>
      </c>
      <c r="G517" s="243">
        <v>52</v>
      </c>
    </row>
    <row r="519" spans="1:7" x14ac:dyDescent="0.2">
      <c r="A519" s="250"/>
      <c r="B519" s="250" t="s">
        <v>294</v>
      </c>
      <c r="C519" s="252"/>
      <c r="D519" s="250"/>
      <c r="E519" s="252"/>
      <c r="F519" s="250"/>
      <c r="G519" s="250">
        <v>3.6</v>
      </c>
    </row>
    <row r="520" spans="1:7" x14ac:dyDescent="0.2">
      <c r="A520" s="243" t="s">
        <v>295</v>
      </c>
      <c r="B520" s="243" t="s">
        <v>361</v>
      </c>
      <c r="C520" s="244" t="s">
        <v>297</v>
      </c>
      <c r="D520" s="253">
        <v>0.12</v>
      </c>
      <c r="E520" s="254">
        <v>1</v>
      </c>
      <c r="F520" s="243">
        <v>30</v>
      </c>
      <c r="G520" s="243">
        <v>3.6</v>
      </c>
    </row>
    <row r="522" spans="1:7" x14ac:dyDescent="0.2">
      <c r="A522" s="250"/>
      <c r="B522" s="250" t="s">
        <v>298</v>
      </c>
      <c r="C522" s="252"/>
      <c r="D522" s="255">
        <v>0.2</v>
      </c>
      <c r="E522" s="252"/>
      <c r="F522" s="250"/>
      <c r="G522" s="250">
        <v>2</v>
      </c>
    </row>
    <row r="523" spans="1:7" x14ac:dyDescent="0.2">
      <c r="A523" s="243" t="s">
        <v>295</v>
      </c>
      <c r="B523" s="243" t="s">
        <v>351</v>
      </c>
      <c r="C523" s="244" t="s">
        <v>299</v>
      </c>
      <c r="D523" s="253">
        <v>0.2</v>
      </c>
      <c r="E523" s="254">
        <v>1</v>
      </c>
      <c r="F523" s="243">
        <v>10</v>
      </c>
      <c r="G523" s="243">
        <v>2</v>
      </c>
    </row>
    <row r="525" spans="1:7" x14ac:dyDescent="0.2">
      <c r="A525" s="250"/>
      <c r="B525" s="250" t="s">
        <v>300</v>
      </c>
      <c r="C525" s="252"/>
      <c r="D525" s="250"/>
      <c r="E525" s="252"/>
      <c r="F525" s="250"/>
      <c r="G525" s="250">
        <v>8.06</v>
      </c>
    </row>
    <row r="526" spans="1:7" x14ac:dyDescent="0.2">
      <c r="B526" s="243" t="s">
        <v>301</v>
      </c>
      <c r="C526" s="244" t="s">
        <v>302</v>
      </c>
      <c r="D526" s="243">
        <v>80</v>
      </c>
      <c r="G526" s="243">
        <v>1.6</v>
      </c>
    </row>
    <row r="527" spans="1:7" x14ac:dyDescent="0.2">
      <c r="B527" s="243" t="s">
        <v>327</v>
      </c>
      <c r="C527" s="244" t="s">
        <v>302</v>
      </c>
      <c r="D527" s="243">
        <v>10</v>
      </c>
      <c r="G527" s="243">
        <v>5.2</v>
      </c>
    </row>
    <row r="528" spans="1:7" x14ac:dyDescent="0.2">
      <c r="B528" s="243" t="s">
        <v>303</v>
      </c>
      <c r="C528" s="244" t="s">
        <v>302</v>
      </c>
      <c r="D528" s="243">
        <v>35</v>
      </c>
      <c r="G528" s="243">
        <v>1.26</v>
      </c>
    </row>
    <row r="530" spans="1:7" x14ac:dyDescent="0.2">
      <c r="A530" s="250"/>
      <c r="B530" s="250" t="s">
        <v>284</v>
      </c>
      <c r="C530" s="252"/>
      <c r="D530" s="250"/>
      <c r="E530" s="252"/>
      <c r="F530" s="250"/>
      <c r="G530" s="250"/>
    </row>
    <row r="531" spans="1:7" x14ac:dyDescent="0.2">
      <c r="B531" s="243" t="s">
        <v>304</v>
      </c>
      <c r="G531" s="243">
        <v>57.6</v>
      </c>
    </row>
    <row r="532" spans="1:7" x14ac:dyDescent="0.2">
      <c r="B532" s="243" t="s">
        <v>305</v>
      </c>
      <c r="G532" s="243">
        <v>8.06</v>
      </c>
    </row>
    <row r="533" spans="1:7" x14ac:dyDescent="0.2">
      <c r="B533" s="243" t="s">
        <v>306</v>
      </c>
      <c r="G533" s="243">
        <v>65.66</v>
      </c>
    </row>
    <row r="534" spans="1:7" x14ac:dyDescent="0.2">
      <c r="B534" s="243" t="s">
        <v>307</v>
      </c>
      <c r="C534" s="244" t="s">
        <v>302</v>
      </c>
      <c r="D534" s="243" t="s">
        <v>308</v>
      </c>
      <c r="G534" s="243">
        <v>6.57</v>
      </c>
    </row>
    <row r="536" spans="1:7" x14ac:dyDescent="0.2">
      <c r="A536" s="248"/>
      <c r="B536" s="248" t="s">
        <v>284</v>
      </c>
      <c r="C536" s="249"/>
      <c r="D536" s="248"/>
      <c r="E536" s="249"/>
      <c r="F536" s="248"/>
      <c r="G536" s="248">
        <v>72.23</v>
      </c>
    </row>
    <row r="538" spans="1:7" x14ac:dyDescent="0.2">
      <c r="A538" s="248" t="s">
        <v>104</v>
      </c>
      <c r="B538" s="248"/>
      <c r="C538" s="249"/>
      <c r="D538" s="248"/>
      <c r="E538" s="249"/>
      <c r="F538" s="248"/>
      <c r="G538" s="248"/>
    </row>
    <row r="539" spans="1:7" x14ac:dyDescent="0.2">
      <c r="A539" s="250" t="s">
        <v>362</v>
      </c>
      <c r="G539" s="251" t="s">
        <v>343</v>
      </c>
    </row>
    <row r="541" spans="1:7" x14ac:dyDescent="0.2">
      <c r="A541" s="250"/>
      <c r="B541" s="250" t="s">
        <v>324</v>
      </c>
      <c r="C541" s="252"/>
      <c r="D541" s="250"/>
      <c r="E541" s="252"/>
      <c r="F541" s="250"/>
      <c r="G541" s="250">
        <v>28.8</v>
      </c>
    </row>
    <row r="542" spans="1:7" x14ac:dyDescent="0.2">
      <c r="A542" s="243" t="s">
        <v>295</v>
      </c>
      <c r="B542" s="243" t="s">
        <v>104</v>
      </c>
      <c r="C542" s="244" t="s">
        <v>350</v>
      </c>
      <c r="D542" s="253">
        <v>1</v>
      </c>
      <c r="E542" s="254">
        <v>1</v>
      </c>
      <c r="F542" s="243">
        <v>28.8</v>
      </c>
      <c r="G542" s="243">
        <v>28.8</v>
      </c>
    </row>
    <row r="544" spans="1:7" x14ac:dyDescent="0.2">
      <c r="A544" s="250"/>
      <c r="B544" s="250" t="s">
        <v>294</v>
      </c>
      <c r="C544" s="252"/>
      <c r="D544" s="250"/>
      <c r="E544" s="252"/>
      <c r="F544" s="250"/>
      <c r="G544" s="250">
        <v>4.2</v>
      </c>
    </row>
    <row r="545" spans="1:7" x14ac:dyDescent="0.2">
      <c r="A545" s="243" t="s">
        <v>295</v>
      </c>
      <c r="B545" s="243" t="s">
        <v>363</v>
      </c>
      <c r="C545" s="244" t="s">
        <v>297</v>
      </c>
      <c r="D545" s="253">
        <v>0.14000000000000001</v>
      </c>
      <c r="E545" s="254">
        <v>1</v>
      </c>
      <c r="F545" s="243">
        <v>30</v>
      </c>
      <c r="G545" s="243">
        <v>4.2</v>
      </c>
    </row>
    <row r="547" spans="1:7" x14ac:dyDescent="0.2">
      <c r="A547" s="250"/>
      <c r="B547" s="250" t="s">
        <v>298</v>
      </c>
      <c r="C547" s="252"/>
      <c r="D547" s="255">
        <v>0.38</v>
      </c>
      <c r="E547" s="252"/>
      <c r="F547" s="250"/>
      <c r="G547" s="250">
        <v>3.8</v>
      </c>
    </row>
    <row r="548" spans="1:7" x14ac:dyDescent="0.2">
      <c r="A548" s="243" t="s">
        <v>295</v>
      </c>
      <c r="B548" s="243" t="s">
        <v>351</v>
      </c>
      <c r="C548" s="244" t="s">
        <v>299</v>
      </c>
      <c r="D548" s="253">
        <v>0.38</v>
      </c>
      <c r="E548" s="254">
        <v>1</v>
      </c>
      <c r="F548" s="243">
        <v>10</v>
      </c>
      <c r="G548" s="243">
        <v>3.8</v>
      </c>
    </row>
    <row r="550" spans="1:7" x14ac:dyDescent="0.2">
      <c r="A550" s="250"/>
      <c r="B550" s="250" t="s">
        <v>300</v>
      </c>
      <c r="C550" s="252"/>
      <c r="D550" s="250"/>
      <c r="E550" s="252"/>
      <c r="F550" s="250"/>
      <c r="G550" s="250">
        <v>7.39</v>
      </c>
    </row>
    <row r="551" spans="1:7" x14ac:dyDescent="0.2">
      <c r="B551" s="243" t="s">
        <v>301</v>
      </c>
      <c r="C551" s="244" t="s">
        <v>302</v>
      </c>
      <c r="D551" s="243">
        <v>80</v>
      </c>
      <c r="G551" s="243">
        <v>3.04</v>
      </c>
    </row>
    <row r="552" spans="1:7" x14ac:dyDescent="0.2">
      <c r="B552" s="243" t="s">
        <v>327</v>
      </c>
      <c r="C552" s="244" t="s">
        <v>302</v>
      </c>
      <c r="D552" s="243">
        <v>10</v>
      </c>
      <c r="G552" s="243">
        <v>2.88</v>
      </c>
    </row>
    <row r="553" spans="1:7" x14ac:dyDescent="0.2">
      <c r="B553" s="243" t="s">
        <v>303</v>
      </c>
      <c r="C553" s="244" t="s">
        <v>302</v>
      </c>
      <c r="D553" s="243">
        <v>35</v>
      </c>
      <c r="G553" s="243">
        <v>1.47</v>
      </c>
    </row>
    <row r="555" spans="1:7" x14ac:dyDescent="0.2">
      <c r="A555" s="250"/>
      <c r="B555" s="250" t="s">
        <v>284</v>
      </c>
      <c r="C555" s="252"/>
      <c r="D555" s="250"/>
      <c r="E555" s="252"/>
      <c r="F555" s="250"/>
      <c r="G555" s="250"/>
    </row>
    <row r="556" spans="1:7" x14ac:dyDescent="0.2">
      <c r="B556" s="243" t="s">
        <v>304</v>
      </c>
      <c r="G556" s="243">
        <v>36.799999999999997</v>
      </c>
    </row>
    <row r="557" spans="1:7" x14ac:dyDescent="0.2">
      <c r="B557" s="243" t="s">
        <v>305</v>
      </c>
      <c r="G557" s="243">
        <v>7.39</v>
      </c>
    </row>
    <row r="558" spans="1:7" x14ac:dyDescent="0.2">
      <c r="B558" s="243" t="s">
        <v>306</v>
      </c>
      <c r="G558" s="243">
        <v>44.19</v>
      </c>
    </row>
    <row r="559" spans="1:7" x14ac:dyDescent="0.2">
      <c r="B559" s="243" t="s">
        <v>307</v>
      </c>
      <c r="C559" s="244" t="s">
        <v>302</v>
      </c>
      <c r="D559" s="243" t="s">
        <v>308</v>
      </c>
      <c r="G559" s="243">
        <v>4.42</v>
      </c>
    </row>
    <row r="561" spans="1:7" x14ac:dyDescent="0.2">
      <c r="A561" s="248"/>
      <c r="B561" s="248" t="s">
        <v>284</v>
      </c>
      <c r="C561" s="249"/>
      <c r="D561" s="248"/>
      <c r="E561" s="249"/>
      <c r="F561" s="248"/>
      <c r="G561" s="248">
        <v>48.61</v>
      </c>
    </row>
    <row r="563" spans="1:7" x14ac:dyDescent="0.2">
      <c r="A563" s="248" t="s">
        <v>105</v>
      </c>
      <c r="B563" s="248"/>
      <c r="C563" s="249"/>
      <c r="D563" s="248"/>
      <c r="E563" s="249"/>
      <c r="F563" s="248"/>
      <c r="G563" s="248"/>
    </row>
    <row r="564" spans="1:7" x14ac:dyDescent="0.2">
      <c r="A564" s="250" t="s">
        <v>364</v>
      </c>
      <c r="G564" s="251" t="s">
        <v>343</v>
      </c>
    </row>
    <row r="566" spans="1:7" x14ac:dyDescent="0.2">
      <c r="A566" s="250"/>
      <c r="B566" s="250" t="s">
        <v>324</v>
      </c>
      <c r="C566" s="252"/>
      <c r="D566" s="250"/>
      <c r="E566" s="252"/>
      <c r="F566" s="250"/>
      <c r="G566" s="250">
        <v>0.13</v>
      </c>
    </row>
    <row r="567" spans="1:7" x14ac:dyDescent="0.2">
      <c r="A567" s="243" t="s">
        <v>295</v>
      </c>
      <c r="B567" s="243" t="s">
        <v>496</v>
      </c>
      <c r="C567" s="244" t="s">
        <v>497</v>
      </c>
      <c r="D567" s="253">
        <v>7.0000000000000007E-2</v>
      </c>
      <c r="E567" s="254">
        <v>1</v>
      </c>
      <c r="F567" s="243">
        <v>1.1000000000000001</v>
      </c>
      <c r="G567" s="243">
        <v>0.08</v>
      </c>
    </row>
    <row r="568" spans="1:7" x14ac:dyDescent="0.2">
      <c r="A568" s="243" t="s">
        <v>295</v>
      </c>
      <c r="B568" s="243" t="s">
        <v>498</v>
      </c>
      <c r="C568" s="244" t="s">
        <v>499</v>
      </c>
      <c r="D568" s="253">
        <v>0.05</v>
      </c>
      <c r="E568" s="254">
        <v>1</v>
      </c>
      <c r="F568" s="243">
        <v>1</v>
      </c>
      <c r="G568" s="243">
        <v>0.05</v>
      </c>
    </row>
    <row r="570" spans="1:7" x14ac:dyDescent="0.2">
      <c r="A570" s="250"/>
      <c r="B570" s="250" t="s">
        <v>294</v>
      </c>
      <c r="C570" s="252"/>
      <c r="D570" s="250"/>
      <c r="E570" s="252"/>
      <c r="F570" s="250"/>
      <c r="G570" s="250">
        <v>4.2</v>
      </c>
    </row>
    <row r="571" spans="1:7" x14ac:dyDescent="0.2">
      <c r="A571" s="243" t="s">
        <v>295</v>
      </c>
      <c r="B571" s="243" t="s">
        <v>363</v>
      </c>
      <c r="C571" s="244" t="s">
        <v>297</v>
      </c>
      <c r="D571" s="253">
        <v>0.14000000000000001</v>
      </c>
      <c r="E571" s="254">
        <v>1</v>
      </c>
      <c r="F571" s="243">
        <v>30</v>
      </c>
      <c r="G571" s="243">
        <v>4.2</v>
      </c>
    </row>
    <row r="573" spans="1:7" x14ac:dyDescent="0.2">
      <c r="A573" s="250"/>
      <c r="B573" s="250" t="s">
        <v>298</v>
      </c>
      <c r="C573" s="252"/>
      <c r="D573" s="255">
        <v>0.62</v>
      </c>
      <c r="E573" s="252"/>
      <c r="F573" s="250"/>
      <c r="G573" s="250">
        <v>6.2</v>
      </c>
    </row>
    <row r="574" spans="1:7" x14ac:dyDescent="0.2">
      <c r="A574" s="243" t="s">
        <v>295</v>
      </c>
      <c r="B574" s="243" t="s">
        <v>351</v>
      </c>
      <c r="C574" s="244" t="s">
        <v>299</v>
      </c>
      <c r="D574" s="253">
        <v>0.46</v>
      </c>
      <c r="E574" s="254">
        <v>1</v>
      </c>
      <c r="F574" s="243">
        <v>10</v>
      </c>
      <c r="G574" s="243">
        <v>4.5999999999999996</v>
      </c>
    </row>
    <row r="575" spans="1:7" x14ac:dyDescent="0.2">
      <c r="A575" s="243" t="s">
        <v>295</v>
      </c>
      <c r="B575" s="243" t="s">
        <v>521</v>
      </c>
      <c r="C575" s="244" t="s">
        <v>299</v>
      </c>
      <c r="D575" s="253">
        <v>0.16</v>
      </c>
      <c r="E575" s="254">
        <v>1</v>
      </c>
      <c r="F575" s="243">
        <v>10</v>
      </c>
      <c r="G575" s="243">
        <v>1.6</v>
      </c>
    </row>
    <row r="577" spans="1:7" x14ac:dyDescent="0.2">
      <c r="A577" s="250"/>
      <c r="B577" s="250" t="s">
        <v>300</v>
      </c>
      <c r="C577" s="252"/>
      <c r="D577" s="250"/>
      <c r="E577" s="252"/>
      <c r="F577" s="250"/>
      <c r="G577" s="250">
        <v>6.44</v>
      </c>
    </row>
    <row r="578" spans="1:7" x14ac:dyDescent="0.2">
      <c r="B578" s="243" t="s">
        <v>301</v>
      </c>
      <c r="C578" s="244" t="s">
        <v>302</v>
      </c>
      <c r="D578" s="243">
        <v>80</v>
      </c>
      <c r="G578" s="243">
        <v>4.96</v>
      </c>
    </row>
    <row r="579" spans="1:7" x14ac:dyDescent="0.2">
      <c r="B579" s="243" t="s">
        <v>327</v>
      </c>
      <c r="C579" s="244" t="s">
        <v>302</v>
      </c>
      <c r="D579" s="243">
        <v>10</v>
      </c>
      <c r="G579" s="243">
        <v>0.01</v>
      </c>
    </row>
    <row r="580" spans="1:7" x14ac:dyDescent="0.2">
      <c r="B580" s="243" t="s">
        <v>303</v>
      </c>
      <c r="C580" s="244" t="s">
        <v>302</v>
      </c>
      <c r="D580" s="243">
        <v>35</v>
      </c>
      <c r="G580" s="243">
        <v>1.47</v>
      </c>
    </row>
    <row r="582" spans="1:7" x14ac:dyDescent="0.2">
      <c r="A582" s="250"/>
      <c r="B582" s="250" t="s">
        <v>284</v>
      </c>
      <c r="C582" s="252"/>
      <c r="D582" s="250"/>
      <c r="E582" s="252"/>
      <c r="F582" s="250"/>
      <c r="G582" s="250"/>
    </row>
    <row r="583" spans="1:7" x14ac:dyDescent="0.2">
      <c r="B583" s="243" t="s">
        <v>304</v>
      </c>
      <c r="G583" s="243">
        <v>10.53</v>
      </c>
    </row>
    <row r="584" spans="1:7" x14ac:dyDescent="0.2">
      <c r="B584" s="243" t="s">
        <v>305</v>
      </c>
      <c r="G584" s="243">
        <v>6.44</v>
      </c>
    </row>
    <row r="585" spans="1:7" x14ac:dyDescent="0.2">
      <c r="B585" s="243" t="s">
        <v>306</v>
      </c>
      <c r="G585" s="243">
        <v>16.97</v>
      </c>
    </row>
    <row r="586" spans="1:7" x14ac:dyDescent="0.2">
      <c r="B586" s="243" t="s">
        <v>307</v>
      </c>
      <c r="C586" s="244" t="s">
        <v>302</v>
      </c>
      <c r="D586" s="243" t="s">
        <v>308</v>
      </c>
      <c r="G586" s="243">
        <v>1.7</v>
      </c>
    </row>
    <row r="588" spans="1:7" x14ac:dyDescent="0.2">
      <c r="A588" s="248"/>
      <c r="B588" s="248" t="s">
        <v>284</v>
      </c>
      <c r="C588" s="249"/>
      <c r="D588" s="248"/>
      <c r="E588" s="249"/>
      <c r="F588" s="248"/>
      <c r="G588" s="248">
        <v>18.670000000000002</v>
      </c>
    </row>
    <row r="590" spans="1:7" x14ac:dyDescent="0.2">
      <c r="A590" s="248" t="s">
        <v>106</v>
      </c>
      <c r="B590" s="248"/>
      <c r="C590" s="249"/>
      <c r="D590" s="248"/>
      <c r="E590" s="249"/>
      <c r="F590" s="248"/>
      <c r="G590" s="248"/>
    </row>
    <row r="591" spans="1:7" x14ac:dyDescent="0.2">
      <c r="A591" s="250" t="s">
        <v>365</v>
      </c>
      <c r="G591" s="251" t="s">
        <v>343</v>
      </c>
    </row>
    <row r="593" spans="1:7" x14ac:dyDescent="0.2">
      <c r="A593" s="250"/>
      <c r="B593" s="250" t="s">
        <v>324</v>
      </c>
      <c r="C593" s="252"/>
      <c r="D593" s="250"/>
      <c r="E593" s="252"/>
      <c r="F593" s="250"/>
      <c r="G593" s="250">
        <v>0.13</v>
      </c>
    </row>
    <row r="594" spans="1:7" x14ac:dyDescent="0.2">
      <c r="A594" s="243" t="s">
        <v>295</v>
      </c>
      <c r="B594" s="243" t="s">
        <v>496</v>
      </c>
      <c r="C594" s="244" t="s">
        <v>497</v>
      </c>
      <c r="D594" s="253">
        <v>7.0000000000000007E-2</v>
      </c>
      <c r="E594" s="254">
        <v>1</v>
      </c>
      <c r="F594" s="243">
        <v>1.1000000000000001</v>
      </c>
      <c r="G594" s="243">
        <v>0.08</v>
      </c>
    </row>
    <row r="595" spans="1:7" x14ac:dyDescent="0.2">
      <c r="A595" s="243" t="s">
        <v>295</v>
      </c>
      <c r="B595" s="243" t="s">
        <v>498</v>
      </c>
      <c r="C595" s="244" t="s">
        <v>499</v>
      </c>
      <c r="D595" s="253">
        <v>0.05</v>
      </c>
      <c r="E595" s="254">
        <v>1</v>
      </c>
      <c r="F595" s="243">
        <v>1</v>
      </c>
      <c r="G595" s="243">
        <v>0.05</v>
      </c>
    </row>
    <row r="597" spans="1:7" x14ac:dyDescent="0.2">
      <c r="A597" s="250"/>
      <c r="B597" s="250" t="s">
        <v>294</v>
      </c>
      <c r="C597" s="252"/>
      <c r="D597" s="250"/>
      <c r="E597" s="252"/>
      <c r="F597" s="250"/>
      <c r="G597" s="250">
        <v>3.6</v>
      </c>
    </row>
    <row r="598" spans="1:7" x14ac:dyDescent="0.2">
      <c r="A598" s="243" t="s">
        <v>295</v>
      </c>
      <c r="B598" s="243" t="s">
        <v>363</v>
      </c>
      <c r="C598" s="244" t="s">
        <v>297</v>
      </c>
      <c r="D598" s="253">
        <v>0.12</v>
      </c>
      <c r="E598" s="254">
        <v>1</v>
      </c>
      <c r="F598" s="243">
        <v>30</v>
      </c>
      <c r="G598" s="243">
        <v>3.6</v>
      </c>
    </row>
    <row r="600" spans="1:7" x14ac:dyDescent="0.2">
      <c r="A600" s="250"/>
      <c r="B600" s="250" t="s">
        <v>298</v>
      </c>
      <c r="C600" s="252"/>
      <c r="D600" s="255">
        <v>0.5</v>
      </c>
      <c r="E600" s="252"/>
      <c r="F600" s="250"/>
      <c r="G600" s="250">
        <v>5</v>
      </c>
    </row>
    <row r="601" spans="1:7" x14ac:dyDescent="0.2">
      <c r="A601" s="243" t="s">
        <v>295</v>
      </c>
      <c r="B601" s="243" t="s">
        <v>351</v>
      </c>
      <c r="C601" s="244" t="s">
        <v>299</v>
      </c>
      <c r="D601" s="253">
        <v>0.4</v>
      </c>
      <c r="E601" s="254">
        <v>1</v>
      </c>
      <c r="F601" s="243">
        <v>10</v>
      </c>
      <c r="G601" s="243">
        <v>4</v>
      </c>
    </row>
    <row r="602" spans="1:7" x14ac:dyDescent="0.2">
      <c r="A602" s="243" t="s">
        <v>295</v>
      </c>
      <c r="B602" s="243" t="s">
        <v>521</v>
      </c>
      <c r="C602" s="244" t="s">
        <v>299</v>
      </c>
      <c r="D602" s="253">
        <v>0.1</v>
      </c>
      <c r="E602" s="254">
        <v>1</v>
      </c>
      <c r="F602" s="243">
        <v>10</v>
      </c>
      <c r="G602" s="243">
        <v>1</v>
      </c>
    </row>
    <row r="604" spans="1:7" x14ac:dyDescent="0.2">
      <c r="A604" s="250"/>
      <c r="B604" s="250" t="s">
        <v>300</v>
      </c>
      <c r="C604" s="252"/>
      <c r="D604" s="250"/>
      <c r="E604" s="252"/>
      <c r="F604" s="250"/>
      <c r="G604" s="250">
        <v>5.27</v>
      </c>
    </row>
    <row r="605" spans="1:7" x14ac:dyDescent="0.2">
      <c r="B605" s="243" t="s">
        <v>301</v>
      </c>
      <c r="C605" s="244" t="s">
        <v>302</v>
      </c>
      <c r="D605" s="243">
        <v>80</v>
      </c>
      <c r="G605" s="243">
        <v>4</v>
      </c>
    </row>
    <row r="606" spans="1:7" x14ac:dyDescent="0.2">
      <c r="B606" s="243" t="s">
        <v>327</v>
      </c>
      <c r="C606" s="244" t="s">
        <v>302</v>
      </c>
      <c r="D606" s="243">
        <v>10</v>
      </c>
      <c r="G606" s="243">
        <v>0.01</v>
      </c>
    </row>
    <row r="607" spans="1:7" x14ac:dyDescent="0.2">
      <c r="B607" s="243" t="s">
        <v>303</v>
      </c>
      <c r="C607" s="244" t="s">
        <v>302</v>
      </c>
      <c r="D607" s="243">
        <v>35</v>
      </c>
      <c r="G607" s="243">
        <v>1.26</v>
      </c>
    </row>
    <row r="609" spans="1:7" x14ac:dyDescent="0.2">
      <c r="A609" s="250"/>
      <c r="B609" s="250" t="s">
        <v>284</v>
      </c>
      <c r="C609" s="252"/>
      <c r="D609" s="250"/>
      <c r="E609" s="252"/>
      <c r="F609" s="250"/>
      <c r="G609" s="250"/>
    </row>
    <row r="610" spans="1:7" x14ac:dyDescent="0.2">
      <c r="B610" s="243" t="s">
        <v>304</v>
      </c>
      <c r="G610" s="243">
        <v>8.73</v>
      </c>
    </row>
    <row r="611" spans="1:7" x14ac:dyDescent="0.2">
      <c r="B611" s="243" t="s">
        <v>305</v>
      </c>
      <c r="G611" s="243">
        <v>5.27</v>
      </c>
    </row>
    <row r="612" spans="1:7" x14ac:dyDescent="0.2">
      <c r="B612" s="243" t="s">
        <v>306</v>
      </c>
      <c r="G612" s="243">
        <v>14</v>
      </c>
    </row>
    <row r="613" spans="1:7" x14ac:dyDescent="0.2">
      <c r="B613" s="243" t="s">
        <v>307</v>
      </c>
      <c r="C613" s="244" t="s">
        <v>302</v>
      </c>
      <c r="D613" s="243" t="s">
        <v>308</v>
      </c>
      <c r="G613" s="243">
        <v>1.4</v>
      </c>
    </row>
    <row r="615" spans="1:7" x14ac:dyDescent="0.2">
      <c r="A615" s="248"/>
      <c r="B615" s="248" t="s">
        <v>284</v>
      </c>
      <c r="C615" s="249"/>
      <c r="D615" s="248"/>
      <c r="E615" s="249"/>
      <c r="F615" s="248"/>
      <c r="G615" s="248">
        <v>15.4</v>
      </c>
    </row>
    <row r="617" spans="1:7" x14ac:dyDescent="0.2">
      <c r="A617" s="248" t="s">
        <v>90</v>
      </c>
      <c r="B617" s="248"/>
      <c r="C617" s="249"/>
      <c r="D617" s="248"/>
      <c r="E617" s="249"/>
      <c r="F617" s="248"/>
      <c r="G617" s="248"/>
    </row>
    <row r="618" spans="1:7" x14ac:dyDescent="0.2">
      <c r="A618" s="250" t="s">
        <v>366</v>
      </c>
      <c r="G618" s="251" t="s">
        <v>343</v>
      </c>
    </row>
    <row r="620" spans="1:7" x14ac:dyDescent="0.2">
      <c r="A620" s="250"/>
      <c r="B620" s="250" t="s">
        <v>324</v>
      </c>
      <c r="C620" s="252"/>
      <c r="D620" s="250"/>
      <c r="E620" s="252"/>
      <c r="F620" s="250"/>
      <c r="G620" s="250">
        <v>7</v>
      </c>
    </row>
    <row r="621" spans="1:7" x14ac:dyDescent="0.2">
      <c r="A621" s="243" t="s">
        <v>295</v>
      </c>
      <c r="B621" s="243" t="s">
        <v>367</v>
      </c>
      <c r="C621" s="244" t="s">
        <v>358</v>
      </c>
      <c r="D621" s="253">
        <v>1</v>
      </c>
      <c r="E621" s="254">
        <v>1</v>
      </c>
      <c r="F621" s="243">
        <v>7</v>
      </c>
      <c r="G621" s="243">
        <v>7</v>
      </c>
    </row>
    <row r="623" spans="1:7" x14ac:dyDescent="0.2">
      <c r="A623" s="250"/>
      <c r="B623" s="250" t="s">
        <v>294</v>
      </c>
      <c r="C623" s="252"/>
      <c r="D623" s="250"/>
      <c r="E623" s="252"/>
      <c r="F623" s="250"/>
      <c r="G623" s="250">
        <v>3</v>
      </c>
    </row>
    <row r="624" spans="1:7" x14ac:dyDescent="0.2">
      <c r="A624" s="243" t="s">
        <v>295</v>
      </c>
      <c r="B624" s="243" t="s">
        <v>368</v>
      </c>
      <c r="C624" s="244" t="s">
        <v>297</v>
      </c>
      <c r="D624" s="253">
        <v>0.1</v>
      </c>
      <c r="E624" s="254">
        <v>1</v>
      </c>
      <c r="F624" s="243">
        <v>30</v>
      </c>
      <c r="G624" s="243">
        <v>3</v>
      </c>
    </row>
    <row r="626" spans="1:7" x14ac:dyDescent="0.2">
      <c r="A626" s="250"/>
      <c r="B626" s="250" t="s">
        <v>298</v>
      </c>
      <c r="C626" s="252"/>
      <c r="D626" s="255">
        <v>0.15</v>
      </c>
      <c r="E626" s="252"/>
      <c r="F626" s="250"/>
      <c r="G626" s="250">
        <v>1.5</v>
      </c>
    </row>
    <row r="627" spans="1:7" x14ac:dyDescent="0.2">
      <c r="A627" s="243" t="s">
        <v>295</v>
      </c>
      <c r="B627" s="243" t="s">
        <v>351</v>
      </c>
      <c r="C627" s="244" t="s">
        <v>299</v>
      </c>
      <c r="D627" s="253">
        <v>0.15</v>
      </c>
      <c r="E627" s="254">
        <v>1</v>
      </c>
      <c r="F627" s="243">
        <v>10</v>
      </c>
      <c r="G627" s="243">
        <v>1.5</v>
      </c>
    </row>
    <row r="629" spans="1:7" x14ac:dyDescent="0.2">
      <c r="A629" s="250"/>
      <c r="B629" s="250" t="s">
        <v>300</v>
      </c>
      <c r="C629" s="252"/>
      <c r="D629" s="250"/>
      <c r="E629" s="252"/>
      <c r="F629" s="250"/>
      <c r="G629" s="250">
        <v>2.95</v>
      </c>
    </row>
    <row r="630" spans="1:7" x14ac:dyDescent="0.2">
      <c r="B630" s="243" t="s">
        <v>301</v>
      </c>
      <c r="C630" s="244" t="s">
        <v>302</v>
      </c>
      <c r="D630" s="243">
        <v>80</v>
      </c>
      <c r="G630" s="243">
        <v>1.2</v>
      </c>
    </row>
    <row r="631" spans="1:7" x14ac:dyDescent="0.2">
      <c r="B631" s="243" t="s">
        <v>327</v>
      </c>
      <c r="C631" s="244" t="s">
        <v>302</v>
      </c>
      <c r="D631" s="243">
        <v>10</v>
      </c>
      <c r="G631" s="243">
        <v>0.7</v>
      </c>
    </row>
    <row r="632" spans="1:7" x14ac:dyDescent="0.2">
      <c r="B632" s="243" t="s">
        <v>303</v>
      </c>
      <c r="C632" s="244" t="s">
        <v>302</v>
      </c>
      <c r="D632" s="243">
        <v>35</v>
      </c>
      <c r="G632" s="243">
        <v>1.05</v>
      </c>
    </row>
    <row r="634" spans="1:7" x14ac:dyDescent="0.2">
      <c r="A634" s="250"/>
      <c r="B634" s="250" t="s">
        <v>284</v>
      </c>
      <c r="C634" s="252"/>
      <c r="D634" s="250"/>
      <c r="E634" s="252"/>
      <c r="F634" s="250"/>
      <c r="G634" s="250"/>
    </row>
    <row r="635" spans="1:7" x14ac:dyDescent="0.2">
      <c r="B635" s="243" t="s">
        <v>304</v>
      </c>
      <c r="G635" s="243">
        <v>11.5</v>
      </c>
    </row>
    <row r="636" spans="1:7" x14ac:dyDescent="0.2">
      <c r="B636" s="243" t="s">
        <v>305</v>
      </c>
      <c r="G636" s="243">
        <v>2.95</v>
      </c>
    </row>
    <row r="637" spans="1:7" x14ac:dyDescent="0.2">
      <c r="B637" s="243" t="s">
        <v>306</v>
      </c>
      <c r="G637" s="243">
        <v>14.45</v>
      </c>
    </row>
    <row r="638" spans="1:7" x14ac:dyDescent="0.2">
      <c r="B638" s="243" t="s">
        <v>307</v>
      </c>
      <c r="C638" s="244" t="s">
        <v>302</v>
      </c>
      <c r="D638" s="243" t="s">
        <v>308</v>
      </c>
      <c r="G638" s="243">
        <v>1.45</v>
      </c>
    </row>
    <row r="640" spans="1:7" x14ac:dyDescent="0.2">
      <c r="A640" s="248"/>
      <c r="B640" s="248" t="s">
        <v>284</v>
      </c>
      <c r="C640" s="249"/>
      <c r="D640" s="248"/>
      <c r="E640" s="249"/>
      <c r="F640" s="248"/>
      <c r="G640" s="248">
        <v>15.9</v>
      </c>
    </row>
    <row r="642" spans="1:7" x14ac:dyDescent="0.2">
      <c r="A642" s="248" t="s">
        <v>89</v>
      </c>
      <c r="B642" s="248"/>
      <c r="C642" s="249"/>
      <c r="D642" s="248"/>
      <c r="E642" s="249"/>
      <c r="F642" s="248"/>
      <c r="G642" s="248"/>
    </row>
    <row r="643" spans="1:7" x14ac:dyDescent="0.2">
      <c r="A643" s="250" t="s">
        <v>369</v>
      </c>
      <c r="G643" s="251" t="s">
        <v>343</v>
      </c>
    </row>
    <row r="645" spans="1:7" x14ac:dyDescent="0.2">
      <c r="A645" s="250"/>
      <c r="B645" s="250" t="s">
        <v>324</v>
      </c>
      <c r="C645" s="252"/>
      <c r="D645" s="250"/>
      <c r="E645" s="252"/>
      <c r="F645" s="250"/>
      <c r="G645" s="250">
        <v>9</v>
      </c>
    </row>
    <row r="646" spans="1:7" x14ac:dyDescent="0.2">
      <c r="A646" s="243" t="s">
        <v>295</v>
      </c>
      <c r="B646" s="243" t="s">
        <v>370</v>
      </c>
      <c r="C646" s="244" t="s">
        <v>358</v>
      </c>
      <c r="D646" s="253">
        <v>1</v>
      </c>
      <c r="E646" s="254">
        <v>1</v>
      </c>
      <c r="F646" s="243">
        <v>9</v>
      </c>
      <c r="G646" s="243">
        <v>9</v>
      </c>
    </row>
    <row r="648" spans="1:7" x14ac:dyDescent="0.2">
      <c r="A648" s="250"/>
      <c r="B648" s="250" t="s">
        <v>294</v>
      </c>
      <c r="C648" s="252"/>
      <c r="D648" s="250"/>
      <c r="E648" s="252"/>
      <c r="F648" s="250"/>
      <c r="G648" s="250">
        <v>3</v>
      </c>
    </row>
    <row r="649" spans="1:7" x14ac:dyDescent="0.2">
      <c r="A649" s="243" t="s">
        <v>295</v>
      </c>
      <c r="B649" s="243" t="s">
        <v>368</v>
      </c>
      <c r="C649" s="244" t="s">
        <v>297</v>
      </c>
      <c r="D649" s="253">
        <v>0.1</v>
      </c>
      <c r="E649" s="254">
        <v>1</v>
      </c>
      <c r="F649" s="243">
        <v>30</v>
      </c>
      <c r="G649" s="243">
        <v>3</v>
      </c>
    </row>
    <row r="651" spans="1:7" x14ac:dyDescent="0.2">
      <c r="A651" s="250"/>
      <c r="B651" s="250" t="s">
        <v>298</v>
      </c>
      <c r="C651" s="252"/>
      <c r="D651" s="255">
        <v>0.15</v>
      </c>
      <c r="E651" s="252"/>
      <c r="F651" s="250"/>
      <c r="G651" s="250">
        <v>1.5</v>
      </c>
    </row>
    <row r="652" spans="1:7" x14ac:dyDescent="0.2">
      <c r="A652" s="243" t="s">
        <v>295</v>
      </c>
      <c r="B652" s="243" t="s">
        <v>351</v>
      </c>
      <c r="C652" s="244" t="s">
        <v>299</v>
      </c>
      <c r="D652" s="253">
        <v>0.15</v>
      </c>
      <c r="E652" s="254">
        <v>1</v>
      </c>
      <c r="F652" s="243">
        <v>10</v>
      </c>
      <c r="G652" s="243">
        <v>1.5</v>
      </c>
    </row>
    <row r="654" spans="1:7" x14ac:dyDescent="0.2">
      <c r="A654" s="250"/>
      <c r="B654" s="250" t="s">
        <v>300</v>
      </c>
      <c r="C654" s="252"/>
      <c r="D654" s="250"/>
      <c r="E654" s="252"/>
      <c r="F654" s="250"/>
      <c r="G654" s="250">
        <v>3.15</v>
      </c>
    </row>
    <row r="655" spans="1:7" x14ac:dyDescent="0.2">
      <c r="B655" s="243" t="s">
        <v>301</v>
      </c>
      <c r="C655" s="244" t="s">
        <v>302</v>
      </c>
      <c r="D655" s="243">
        <v>80</v>
      </c>
      <c r="G655" s="243">
        <v>1.2</v>
      </c>
    </row>
    <row r="656" spans="1:7" x14ac:dyDescent="0.2">
      <c r="B656" s="243" t="s">
        <v>327</v>
      </c>
      <c r="C656" s="244" t="s">
        <v>302</v>
      </c>
      <c r="D656" s="243">
        <v>10</v>
      </c>
      <c r="G656" s="243">
        <v>0.9</v>
      </c>
    </row>
    <row r="657" spans="1:7" x14ac:dyDescent="0.2">
      <c r="B657" s="243" t="s">
        <v>303</v>
      </c>
      <c r="C657" s="244" t="s">
        <v>302</v>
      </c>
      <c r="D657" s="243">
        <v>35</v>
      </c>
      <c r="G657" s="243">
        <v>1.05</v>
      </c>
    </row>
    <row r="659" spans="1:7" x14ac:dyDescent="0.2">
      <c r="A659" s="250"/>
      <c r="B659" s="250" t="s">
        <v>284</v>
      </c>
      <c r="C659" s="252"/>
      <c r="D659" s="250"/>
      <c r="E659" s="252"/>
      <c r="F659" s="250"/>
      <c r="G659" s="250"/>
    </row>
    <row r="660" spans="1:7" x14ac:dyDescent="0.2">
      <c r="B660" s="243" t="s">
        <v>304</v>
      </c>
      <c r="G660" s="243">
        <v>13.5</v>
      </c>
    </row>
    <row r="661" spans="1:7" x14ac:dyDescent="0.2">
      <c r="B661" s="243" t="s">
        <v>305</v>
      </c>
      <c r="G661" s="243">
        <v>3.15</v>
      </c>
    </row>
    <row r="662" spans="1:7" x14ac:dyDescent="0.2">
      <c r="B662" s="243" t="s">
        <v>306</v>
      </c>
      <c r="G662" s="243">
        <v>16.649999999999999</v>
      </c>
    </row>
    <row r="663" spans="1:7" x14ac:dyDescent="0.2">
      <c r="B663" s="243" t="s">
        <v>307</v>
      </c>
      <c r="C663" s="244" t="s">
        <v>302</v>
      </c>
      <c r="D663" s="243" t="s">
        <v>308</v>
      </c>
      <c r="G663" s="243">
        <v>1.67</v>
      </c>
    </row>
    <row r="665" spans="1:7" x14ac:dyDescent="0.2">
      <c r="A665" s="248"/>
      <c r="B665" s="248" t="s">
        <v>284</v>
      </c>
      <c r="C665" s="249"/>
      <c r="D665" s="248"/>
      <c r="E665" s="249"/>
      <c r="F665" s="248"/>
      <c r="G665" s="248">
        <v>18.32</v>
      </c>
    </row>
    <row r="667" spans="1:7" x14ac:dyDescent="0.2">
      <c r="A667" s="248" t="s">
        <v>49</v>
      </c>
      <c r="B667" s="248"/>
      <c r="C667" s="249"/>
      <c r="D667" s="248"/>
      <c r="E667" s="249"/>
      <c r="F667" s="248"/>
      <c r="G667" s="248"/>
    </row>
    <row r="668" spans="1:7" x14ac:dyDescent="0.2">
      <c r="A668" s="250" t="s">
        <v>371</v>
      </c>
      <c r="G668" s="251" t="s">
        <v>343</v>
      </c>
    </row>
    <row r="670" spans="1:7" x14ac:dyDescent="0.2">
      <c r="A670" s="250"/>
      <c r="B670" s="250" t="s">
        <v>324</v>
      </c>
      <c r="C670" s="252"/>
      <c r="D670" s="250"/>
      <c r="E670" s="252"/>
      <c r="F670" s="250"/>
      <c r="G670" s="250">
        <v>26</v>
      </c>
    </row>
    <row r="671" spans="1:7" x14ac:dyDescent="0.2">
      <c r="A671" s="243" t="s">
        <v>295</v>
      </c>
      <c r="B671" s="243" t="s">
        <v>49</v>
      </c>
      <c r="C671" s="244" t="s">
        <v>358</v>
      </c>
      <c r="D671" s="253">
        <v>1</v>
      </c>
      <c r="E671" s="254">
        <v>1</v>
      </c>
      <c r="F671" s="243">
        <v>26</v>
      </c>
      <c r="G671" s="243">
        <v>26</v>
      </c>
    </row>
    <row r="673" spans="1:7" x14ac:dyDescent="0.2">
      <c r="A673" s="250"/>
      <c r="B673" s="250" t="s">
        <v>298</v>
      </c>
      <c r="C673" s="252"/>
      <c r="D673" s="255">
        <v>0.22</v>
      </c>
      <c r="E673" s="252"/>
      <c r="F673" s="250"/>
      <c r="G673" s="250">
        <v>2.2000000000000002</v>
      </c>
    </row>
    <row r="674" spans="1:7" x14ac:dyDescent="0.2">
      <c r="A674" s="243" t="s">
        <v>295</v>
      </c>
      <c r="B674" s="243" t="s">
        <v>351</v>
      </c>
      <c r="C674" s="244" t="s">
        <v>299</v>
      </c>
      <c r="D674" s="253">
        <v>0.22</v>
      </c>
      <c r="E674" s="254">
        <v>1</v>
      </c>
      <c r="F674" s="243">
        <v>10</v>
      </c>
      <c r="G674" s="243">
        <v>2.2000000000000002</v>
      </c>
    </row>
    <row r="676" spans="1:7" x14ac:dyDescent="0.2">
      <c r="A676" s="250"/>
      <c r="B676" s="250" t="s">
        <v>300</v>
      </c>
      <c r="C676" s="252"/>
      <c r="D676" s="250"/>
      <c r="E676" s="252"/>
      <c r="F676" s="250"/>
      <c r="G676" s="250">
        <v>4.3600000000000003</v>
      </c>
    </row>
    <row r="677" spans="1:7" x14ac:dyDescent="0.2">
      <c r="B677" s="243" t="s">
        <v>301</v>
      </c>
      <c r="C677" s="244" t="s">
        <v>302</v>
      </c>
      <c r="D677" s="243">
        <v>80</v>
      </c>
      <c r="G677" s="243">
        <v>1.76</v>
      </c>
    </row>
    <row r="678" spans="1:7" x14ac:dyDescent="0.2">
      <c r="B678" s="243" t="s">
        <v>327</v>
      </c>
      <c r="C678" s="244" t="s">
        <v>302</v>
      </c>
      <c r="D678" s="243">
        <v>10</v>
      </c>
      <c r="G678" s="243">
        <v>2.6</v>
      </c>
    </row>
    <row r="680" spans="1:7" x14ac:dyDescent="0.2">
      <c r="A680" s="250"/>
      <c r="B680" s="250" t="s">
        <v>284</v>
      </c>
      <c r="C680" s="252"/>
      <c r="D680" s="250"/>
      <c r="E680" s="252"/>
      <c r="F680" s="250"/>
      <c r="G680" s="250"/>
    </row>
    <row r="681" spans="1:7" x14ac:dyDescent="0.2">
      <c r="B681" s="243" t="s">
        <v>304</v>
      </c>
      <c r="G681" s="243">
        <v>28.2</v>
      </c>
    </row>
    <row r="682" spans="1:7" x14ac:dyDescent="0.2">
      <c r="B682" s="243" t="s">
        <v>305</v>
      </c>
      <c r="G682" s="243">
        <v>4.3600000000000003</v>
      </c>
    </row>
    <row r="683" spans="1:7" x14ac:dyDescent="0.2">
      <c r="B683" s="243" t="s">
        <v>306</v>
      </c>
      <c r="G683" s="243">
        <v>32.56</v>
      </c>
    </row>
    <row r="684" spans="1:7" x14ac:dyDescent="0.2">
      <c r="B684" s="243" t="s">
        <v>307</v>
      </c>
      <c r="C684" s="244" t="s">
        <v>302</v>
      </c>
      <c r="D684" s="243" t="s">
        <v>308</v>
      </c>
      <c r="G684" s="243">
        <v>3.26</v>
      </c>
    </row>
    <row r="686" spans="1:7" x14ac:dyDescent="0.2">
      <c r="A686" s="248"/>
      <c r="B686" s="248" t="s">
        <v>284</v>
      </c>
      <c r="C686" s="249"/>
      <c r="D686" s="248"/>
      <c r="E686" s="249"/>
      <c r="F686" s="248"/>
      <c r="G686" s="248">
        <v>35.82</v>
      </c>
    </row>
    <row r="688" spans="1:7" x14ac:dyDescent="0.2">
      <c r="A688" s="248" t="s">
        <v>50</v>
      </c>
      <c r="B688" s="248"/>
      <c r="C688" s="249"/>
      <c r="D688" s="248"/>
      <c r="E688" s="249"/>
      <c r="F688" s="248"/>
      <c r="G688" s="248"/>
    </row>
    <row r="689" spans="1:7" x14ac:dyDescent="0.2">
      <c r="A689" s="250" t="s">
        <v>372</v>
      </c>
      <c r="G689" s="251" t="s">
        <v>343</v>
      </c>
    </row>
    <row r="691" spans="1:7" x14ac:dyDescent="0.2">
      <c r="A691" s="250"/>
      <c r="B691" s="250" t="s">
        <v>324</v>
      </c>
      <c r="C691" s="252"/>
      <c r="D691" s="250"/>
      <c r="E691" s="252"/>
      <c r="F691" s="250"/>
      <c r="G691" s="250">
        <v>260</v>
      </c>
    </row>
    <row r="692" spans="1:7" x14ac:dyDescent="0.2">
      <c r="A692" s="243" t="s">
        <v>295</v>
      </c>
      <c r="B692" s="243" t="s">
        <v>373</v>
      </c>
      <c r="C692" s="244" t="s">
        <v>358</v>
      </c>
      <c r="D692" s="253">
        <v>1</v>
      </c>
      <c r="E692" s="254">
        <v>1</v>
      </c>
      <c r="F692" s="243">
        <v>260</v>
      </c>
      <c r="G692" s="243">
        <v>260</v>
      </c>
    </row>
    <row r="694" spans="1:7" x14ac:dyDescent="0.2">
      <c r="A694" s="250"/>
      <c r="B694" s="250" t="s">
        <v>298</v>
      </c>
      <c r="C694" s="252"/>
      <c r="D694" s="255">
        <v>0.5</v>
      </c>
      <c r="E694" s="252"/>
      <c r="F694" s="250"/>
      <c r="G694" s="250">
        <v>5</v>
      </c>
    </row>
    <row r="695" spans="1:7" x14ac:dyDescent="0.2">
      <c r="A695" s="243" t="s">
        <v>295</v>
      </c>
      <c r="B695" s="243" t="s">
        <v>351</v>
      </c>
      <c r="C695" s="244" t="s">
        <v>299</v>
      </c>
      <c r="D695" s="253">
        <v>0.4</v>
      </c>
      <c r="E695" s="254">
        <v>1</v>
      </c>
      <c r="F695" s="243">
        <v>10</v>
      </c>
      <c r="G695" s="243">
        <v>4</v>
      </c>
    </row>
    <row r="696" spans="1:7" x14ac:dyDescent="0.2">
      <c r="A696" s="243" t="s">
        <v>295</v>
      </c>
      <c r="B696" s="243" t="s">
        <v>521</v>
      </c>
      <c r="C696" s="244" t="s">
        <v>299</v>
      </c>
      <c r="D696" s="253">
        <v>0.1</v>
      </c>
      <c r="E696" s="254">
        <v>1</v>
      </c>
      <c r="F696" s="243">
        <v>10</v>
      </c>
      <c r="G696" s="243">
        <v>1</v>
      </c>
    </row>
    <row r="698" spans="1:7" x14ac:dyDescent="0.2">
      <c r="A698" s="250"/>
      <c r="B698" s="250" t="s">
        <v>300</v>
      </c>
      <c r="C698" s="252"/>
      <c r="D698" s="250"/>
      <c r="E698" s="252"/>
      <c r="F698" s="250"/>
      <c r="G698" s="250">
        <v>30</v>
      </c>
    </row>
    <row r="699" spans="1:7" x14ac:dyDescent="0.2">
      <c r="B699" s="243" t="s">
        <v>301</v>
      </c>
      <c r="C699" s="244" t="s">
        <v>302</v>
      </c>
      <c r="D699" s="243">
        <v>80</v>
      </c>
      <c r="G699" s="243">
        <v>4</v>
      </c>
    </row>
    <row r="700" spans="1:7" x14ac:dyDescent="0.2">
      <c r="B700" s="243" t="s">
        <v>327</v>
      </c>
      <c r="C700" s="244" t="s">
        <v>302</v>
      </c>
      <c r="D700" s="243">
        <v>10</v>
      </c>
      <c r="G700" s="243">
        <v>26</v>
      </c>
    </row>
    <row r="702" spans="1:7" x14ac:dyDescent="0.2">
      <c r="A702" s="250"/>
      <c r="B702" s="250" t="s">
        <v>284</v>
      </c>
      <c r="C702" s="252"/>
      <c r="D702" s="250"/>
      <c r="E702" s="252"/>
      <c r="F702" s="250"/>
      <c r="G702" s="250"/>
    </row>
    <row r="703" spans="1:7" x14ac:dyDescent="0.2">
      <c r="B703" s="243" t="s">
        <v>304</v>
      </c>
      <c r="G703" s="243">
        <v>265</v>
      </c>
    </row>
    <row r="704" spans="1:7" x14ac:dyDescent="0.2">
      <c r="B704" s="243" t="s">
        <v>305</v>
      </c>
      <c r="G704" s="243">
        <v>30</v>
      </c>
    </row>
    <row r="705" spans="1:7" x14ac:dyDescent="0.2">
      <c r="B705" s="243" t="s">
        <v>306</v>
      </c>
      <c r="G705" s="243">
        <v>295</v>
      </c>
    </row>
    <row r="706" spans="1:7" x14ac:dyDescent="0.2">
      <c r="B706" s="243" t="s">
        <v>307</v>
      </c>
      <c r="C706" s="244" t="s">
        <v>302</v>
      </c>
      <c r="D706" s="243" t="s">
        <v>308</v>
      </c>
      <c r="G706" s="243">
        <v>29.5</v>
      </c>
    </row>
    <row r="708" spans="1:7" x14ac:dyDescent="0.2">
      <c r="A708" s="248"/>
      <c r="B708" s="248" t="s">
        <v>284</v>
      </c>
      <c r="C708" s="249"/>
      <c r="D708" s="248"/>
      <c r="E708" s="249"/>
      <c r="F708" s="248"/>
      <c r="G708" s="248">
        <v>324.5</v>
      </c>
    </row>
    <row r="710" spans="1:7" x14ac:dyDescent="0.2">
      <c r="A710" s="248" t="s">
        <v>51</v>
      </c>
      <c r="B710" s="248"/>
      <c r="C710" s="249"/>
      <c r="D710" s="248"/>
      <c r="E710" s="249"/>
      <c r="F710" s="248"/>
      <c r="G710" s="248"/>
    </row>
    <row r="711" spans="1:7" x14ac:dyDescent="0.2">
      <c r="A711" s="250" t="s">
        <v>374</v>
      </c>
      <c r="G711" s="251" t="s">
        <v>343</v>
      </c>
    </row>
    <row r="713" spans="1:7" x14ac:dyDescent="0.2">
      <c r="A713" s="250"/>
      <c r="B713" s="250" t="s">
        <v>324</v>
      </c>
      <c r="C713" s="252"/>
      <c r="D713" s="250"/>
      <c r="E713" s="252"/>
      <c r="F713" s="250"/>
      <c r="G713" s="250">
        <v>29</v>
      </c>
    </row>
    <row r="714" spans="1:7" x14ac:dyDescent="0.2">
      <c r="A714" s="243" t="s">
        <v>295</v>
      </c>
      <c r="B714" s="243" t="s">
        <v>51</v>
      </c>
      <c r="C714" s="244" t="s">
        <v>358</v>
      </c>
      <c r="D714" s="253">
        <v>1</v>
      </c>
      <c r="E714" s="254">
        <v>1</v>
      </c>
      <c r="F714" s="243">
        <v>21</v>
      </c>
      <c r="G714" s="243">
        <v>21</v>
      </c>
    </row>
    <row r="715" spans="1:7" x14ac:dyDescent="0.2">
      <c r="A715" s="243" t="s">
        <v>295</v>
      </c>
      <c r="B715" s="243" t="s">
        <v>375</v>
      </c>
      <c r="C715" s="244" t="s">
        <v>358</v>
      </c>
      <c r="D715" s="253">
        <v>8</v>
      </c>
      <c r="E715" s="254">
        <v>1</v>
      </c>
      <c r="F715" s="243">
        <v>1</v>
      </c>
      <c r="G715" s="243">
        <v>8</v>
      </c>
    </row>
    <row r="717" spans="1:7" x14ac:dyDescent="0.2">
      <c r="A717" s="250"/>
      <c r="B717" s="250" t="s">
        <v>298</v>
      </c>
      <c r="C717" s="252"/>
      <c r="D717" s="255">
        <v>0.22</v>
      </c>
      <c r="E717" s="252"/>
      <c r="F717" s="250"/>
      <c r="G717" s="250">
        <v>2.2000000000000002</v>
      </c>
    </row>
    <row r="718" spans="1:7" x14ac:dyDescent="0.2">
      <c r="A718" s="243" t="s">
        <v>295</v>
      </c>
      <c r="B718" s="243" t="s">
        <v>351</v>
      </c>
      <c r="C718" s="244" t="s">
        <v>299</v>
      </c>
      <c r="D718" s="253">
        <v>0.22</v>
      </c>
      <c r="E718" s="254">
        <v>1</v>
      </c>
      <c r="F718" s="243">
        <v>10</v>
      </c>
      <c r="G718" s="243">
        <v>2.2000000000000002</v>
      </c>
    </row>
    <row r="720" spans="1:7" x14ac:dyDescent="0.2">
      <c r="A720" s="250"/>
      <c r="B720" s="250" t="s">
        <v>300</v>
      </c>
      <c r="C720" s="252"/>
      <c r="D720" s="250"/>
      <c r="E720" s="252"/>
      <c r="F720" s="250"/>
      <c r="G720" s="250">
        <v>4.66</v>
      </c>
    </row>
    <row r="721" spans="1:7" x14ac:dyDescent="0.2">
      <c r="B721" s="243" t="s">
        <v>301</v>
      </c>
      <c r="C721" s="244" t="s">
        <v>302</v>
      </c>
      <c r="D721" s="243">
        <v>80</v>
      </c>
      <c r="G721" s="243">
        <v>1.76</v>
      </c>
    </row>
    <row r="722" spans="1:7" x14ac:dyDescent="0.2">
      <c r="B722" s="243" t="s">
        <v>327</v>
      </c>
      <c r="C722" s="244" t="s">
        <v>302</v>
      </c>
      <c r="D722" s="243">
        <v>10</v>
      </c>
      <c r="G722" s="243">
        <v>2.9</v>
      </c>
    </row>
    <row r="724" spans="1:7" x14ac:dyDescent="0.2">
      <c r="A724" s="250"/>
      <c r="B724" s="250" t="s">
        <v>284</v>
      </c>
      <c r="C724" s="252"/>
      <c r="D724" s="250"/>
      <c r="E724" s="252"/>
      <c r="F724" s="250"/>
      <c r="G724" s="250"/>
    </row>
    <row r="725" spans="1:7" x14ac:dyDescent="0.2">
      <c r="B725" s="243" t="s">
        <v>304</v>
      </c>
      <c r="G725" s="243">
        <v>31.2</v>
      </c>
    </row>
    <row r="726" spans="1:7" x14ac:dyDescent="0.2">
      <c r="B726" s="243" t="s">
        <v>305</v>
      </c>
      <c r="G726" s="243">
        <v>4.66</v>
      </c>
    </row>
    <row r="727" spans="1:7" x14ac:dyDescent="0.2">
      <c r="B727" s="243" t="s">
        <v>306</v>
      </c>
      <c r="G727" s="243">
        <v>35.86</v>
      </c>
    </row>
    <row r="728" spans="1:7" x14ac:dyDescent="0.2">
      <c r="B728" s="243" t="s">
        <v>307</v>
      </c>
      <c r="C728" s="244" t="s">
        <v>302</v>
      </c>
      <c r="D728" s="243" t="s">
        <v>308</v>
      </c>
      <c r="G728" s="243">
        <v>3.59</v>
      </c>
    </row>
    <row r="730" spans="1:7" x14ac:dyDescent="0.2">
      <c r="A730" s="248"/>
      <c r="B730" s="248" t="s">
        <v>284</v>
      </c>
      <c r="C730" s="249"/>
      <c r="D730" s="248"/>
      <c r="E730" s="249"/>
      <c r="F730" s="248"/>
      <c r="G730" s="248">
        <v>39.450000000000003</v>
      </c>
    </row>
    <row r="732" spans="1:7" x14ac:dyDescent="0.2">
      <c r="A732" s="248" t="s">
        <v>52</v>
      </c>
      <c r="B732" s="248"/>
      <c r="C732" s="249"/>
      <c r="D732" s="248"/>
      <c r="E732" s="249"/>
      <c r="F732" s="248"/>
      <c r="G732" s="248"/>
    </row>
    <row r="733" spans="1:7" x14ac:dyDescent="0.2">
      <c r="A733" s="250" t="s">
        <v>376</v>
      </c>
      <c r="G733" s="251" t="s">
        <v>343</v>
      </c>
    </row>
    <row r="735" spans="1:7" x14ac:dyDescent="0.2">
      <c r="A735" s="250"/>
      <c r="B735" s="250" t="s">
        <v>324</v>
      </c>
      <c r="C735" s="252"/>
      <c r="D735" s="250"/>
      <c r="E735" s="252"/>
      <c r="F735" s="250"/>
      <c r="G735" s="250">
        <v>118</v>
      </c>
    </row>
    <row r="736" spans="1:7" x14ac:dyDescent="0.2">
      <c r="A736" s="243" t="s">
        <v>295</v>
      </c>
      <c r="B736" s="243" t="s">
        <v>377</v>
      </c>
      <c r="C736" s="244" t="s">
        <v>358</v>
      </c>
      <c r="D736" s="253">
        <v>1</v>
      </c>
      <c r="E736" s="254">
        <v>1</v>
      </c>
      <c r="F736" s="243">
        <v>118</v>
      </c>
      <c r="G736" s="243">
        <v>118</v>
      </c>
    </row>
    <row r="738" spans="1:7" x14ac:dyDescent="0.2">
      <c r="A738" s="250"/>
      <c r="B738" s="250" t="s">
        <v>298</v>
      </c>
      <c r="C738" s="252"/>
      <c r="D738" s="255">
        <v>0.4</v>
      </c>
      <c r="E738" s="252"/>
      <c r="F738" s="250"/>
      <c r="G738" s="250">
        <v>4</v>
      </c>
    </row>
    <row r="739" spans="1:7" x14ac:dyDescent="0.2">
      <c r="A739" s="243" t="s">
        <v>295</v>
      </c>
      <c r="B739" s="243" t="s">
        <v>351</v>
      </c>
      <c r="C739" s="244" t="s">
        <v>299</v>
      </c>
      <c r="D739" s="253">
        <v>0.4</v>
      </c>
      <c r="E739" s="254">
        <v>1</v>
      </c>
      <c r="F739" s="243">
        <v>10</v>
      </c>
      <c r="G739" s="243">
        <v>4</v>
      </c>
    </row>
    <row r="741" spans="1:7" x14ac:dyDescent="0.2">
      <c r="A741" s="250"/>
      <c r="B741" s="250" t="s">
        <v>300</v>
      </c>
      <c r="C741" s="252"/>
      <c r="D741" s="250"/>
      <c r="E741" s="252"/>
      <c r="F741" s="250"/>
      <c r="G741" s="250">
        <v>15</v>
      </c>
    </row>
    <row r="742" spans="1:7" x14ac:dyDescent="0.2">
      <c r="B742" s="243" t="s">
        <v>301</v>
      </c>
      <c r="C742" s="244" t="s">
        <v>302</v>
      </c>
      <c r="D742" s="243">
        <v>80</v>
      </c>
      <c r="G742" s="243">
        <v>3.2</v>
      </c>
    </row>
    <row r="743" spans="1:7" x14ac:dyDescent="0.2">
      <c r="B743" s="243" t="s">
        <v>327</v>
      </c>
      <c r="C743" s="244" t="s">
        <v>302</v>
      </c>
      <c r="D743" s="243">
        <v>10</v>
      </c>
      <c r="G743" s="243">
        <v>11.8</v>
      </c>
    </row>
    <row r="745" spans="1:7" x14ac:dyDescent="0.2">
      <c r="A745" s="250"/>
      <c r="B745" s="250" t="s">
        <v>284</v>
      </c>
      <c r="C745" s="252"/>
      <c r="D745" s="250"/>
      <c r="E745" s="252"/>
      <c r="F745" s="250"/>
      <c r="G745" s="250"/>
    </row>
    <row r="746" spans="1:7" x14ac:dyDescent="0.2">
      <c r="B746" s="243" t="s">
        <v>304</v>
      </c>
      <c r="G746" s="243">
        <v>122</v>
      </c>
    </row>
    <row r="747" spans="1:7" x14ac:dyDescent="0.2">
      <c r="B747" s="243" t="s">
        <v>305</v>
      </c>
      <c r="G747" s="243">
        <v>15</v>
      </c>
    </row>
    <row r="748" spans="1:7" x14ac:dyDescent="0.2">
      <c r="B748" s="243" t="s">
        <v>306</v>
      </c>
      <c r="G748" s="243">
        <v>137</v>
      </c>
    </row>
    <row r="749" spans="1:7" x14ac:dyDescent="0.2">
      <c r="B749" s="243" t="s">
        <v>307</v>
      </c>
      <c r="C749" s="244" t="s">
        <v>302</v>
      </c>
      <c r="D749" s="243" t="s">
        <v>308</v>
      </c>
      <c r="G749" s="243">
        <v>13.7</v>
      </c>
    </row>
    <row r="751" spans="1:7" x14ac:dyDescent="0.2">
      <c r="A751" s="248"/>
      <c r="B751" s="248" t="s">
        <v>284</v>
      </c>
      <c r="C751" s="249"/>
      <c r="D751" s="248"/>
      <c r="E751" s="249"/>
      <c r="F751" s="248"/>
      <c r="G751" s="248">
        <v>150.69999999999999</v>
      </c>
    </row>
    <row r="753" spans="1:7" x14ac:dyDescent="0.2">
      <c r="A753" s="248" t="s">
        <v>107</v>
      </c>
      <c r="B753" s="248"/>
      <c r="C753" s="249"/>
      <c r="D753" s="248"/>
      <c r="E753" s="249"/>
      <c r="F753" s="248"/>
      <c r="G753" s="248"/>
    </row>
    <row r="754" spans="1:7" x14ac:dyDescent="0.2">
      <c r="A754" s="250" t="s">
        <v>378</v>
      </c>
      <c r="G754" s="251" t="s">
        <v>343</v>
      </c>
    </row>
    <row r="756" spans="1:7" x14ac:dyDescent="0.2">
      <c r="A756" s="250"/>
      <c r="B756" s="250" t="s">
        <v>324</v>
      </c>
      <c r="C756" s="252"/>
      <c r="D756" s="250"/>
      <c r="E756" s="252"/>
      <c r="F756" s="250"/>
      <c r="G756" s="250">
        <v>43</v>
      </c>
    </row>
    <row r="757" spans="1:7" x14ac:dyDescent="0.2">
      <c r="A757" s="243" t="s">
        <v>295</v>
      </c>
      <c r="B757" s="243" t="s">
        <v>379</v>
      </c>
      <c r="C757" s="244" t="s">
        <v>358</v>
      </c>
      <c r="D757" s="253">
        <v>1</v>
      </c>
      <c r="E757" s="254">
        <v>1</v>
      </c>
      <c r="F757" s="243">
        <v>43</v>
      </c>
      <c r="G757" s="243">
        <v>43</v>
      </c>
    </row>
    <row r="759" spans="1:7" x14ac:dyDescent="0.2">
      <c r="A759" s="250"/>
      <c r="B759" s="250" t="s">
        <v>294</v>
      </c>
      <c r="C759" s="252"/>
      <c r="D759" s="250"/>
      <c r="E759" s="252"/>
      <c r="F759" s="250"/>
      <c r="G759" s="250">
        <v>4.2</v>
      </c>
    </row>
    <row r="760" spans="1:7" x14ac:dyDescent="0.2">
      <c r="A760" s="243" t="s">
        <v>295</v>
      </c>
      <c r="B760" s="243" t="s">
        <v>380</v>
      </c>
      <c r="C760" s="244" t="s">
        <v>297</v>
      </c>
      <c r="D760" s="253">
        <v>0.14000000000000001</v>
      </c>
      <c r="E760" s="254">
        <v>1</v>
      </c>
      <c r="F760" s="243">
        <v>30</v>
      </c>
      <c r="G760" s="243">
        <v>4.2</v>
      </c>
    </row>
    <row r="762" spans="1:7" x14ac:dyDescent="0.2">
      <c r="A762" s="250"/>
      <c r="B762" s="250" t="s">
        <v>298</v>
      </c>
      <c r="C762" s="252"/>
      <c r="D762" s="255">
        <v>0.36</v>
      </c>
      <c r="E762" s="252"/>
      <c r="F762" s="250"/>
      <c r="G762" s="250">
        <v>3.6</v>
      </c>
    </row>
    <row r="763" spans="1:7" x14ac:dyDescent="0.2">
      <c r="A763" s="243" t="s">
        <v>295</v>
      </c>
      <c r="B763" s="243" t="s">
        <v>351</v>
      </c>
      <c r="C763" s="244" t="s">
        <v>299</v>
      </c>
      <c r="D763" s="253">
        <v>0.36</v>
      </c>
      <c r="E763" s="254">
        <v>1</v>
      </c>
      <c r="F763" s="243">
        <v>10</v>
      </c>
      <c r="G763" s="243">
        <v>3.6</v>
      </c>
    </row>
    <row r="765" spans="1:7" x14ac:dyDescent="0.2">
      <c r="A765" s="250"/>
      <c r="B765" s="250" t="s">
        <v>300</v>
      </c>
      <c r="C765" s="252"/>
      <c r="D765" s="250"/>
      <c r="E765" s="252"/>
      <c r="F765" s="250"/>
      <c r="G765" s="250">
        <v>8.65</v>
      </c>
    </row>
    <row r="766" spans="1:7" x14ac:dyDescent="0.2">
      <c r="B766" s="243" t="s">
        <v>301</v>
      </c>
      <c r="C766" s="244" t="s">
        <v>302</v>
      </c>
      <c r="D766" s="243">
        <v>80</v>
      </c>
      <c r="G766" s="243">
        <v>2.88</v>
      </c>
    </row>
    <row r="767" spans="1:7" x14ac:dyDescent="0.2">
      <c r="B767" s="243" t="s">
        <v>327</v>
      </c>
      <c r="C767" s="244" t="s">
        <v>302</v>
      </c>
      <c r="D767" s="243">
        <v>10</v>
      </c>
      <c r="G767" s="243">
        <v>4.3</v>
      </c>
    </row>
    <row r="768" spans="1:7" x14ac:dyDescent="0.2">
      <c r="B768" s="243" t="s">
        <v>303</v>
      </c>
      <c r="C768" s="244" t="s">
        <v>302</v>
      </c>
      <c r="D768" s="243">
        <v>35</v>
      </c>
      <c r="G768" s="243">
        <v>1.47</v>
      </c>
    </row>
    <row r="770" spans="1:7" x14ac:dyDescent="0.2">
      <c r="A770" s="250"/>
      <c r="B770" s="250" t="s">
        <v>284</v>
      </c>
      <c r="C770" s="252"/>
      <c r="D770" s="250"/>
      <c r="E770" s="252"/>
      <c r="F770" s="250"/>
      <c r="G770" s="250"/>
    </row>
    <row r="771" spans="1:7" x14ac:dyDescent="0.2">
      <c r="B771" s="243" t="s">
        <v>304</v>
      </c>
      <c r="G771" s="243">
        <v>50.8</v>
      </c>
    </row>
    <row r="772" spans="1:7" x14ac:dyDescent="0.2">
      <c r="B772" s="243" t="s">
        <v>305</v>
      </c>
      <c r="G772" s="243">
        <v>8.65</v>
      </c>
    </row>
    <row r="773" spans="1:7" x14ac:dyDescent="0.2">
      <c r="B773" s="243" t="s">
        <v>306</v>
      </c>
      <c r="G773" s="243">
        <v>59.45</v>
      </c>
    </row>
    <row r="774" spans="1:7" x14ac:dyDescent="0.2">
      <c r="B774" s="243" t="s">
        <v>307</v>
      </c>
      <c r="C774" s="244" t="s">
        <v>302</v>
      </c>
      <c r="D774" s="243" t="s">
        <v>308</v>
      </c>
      <c r="G774" s="243">
        <v>5.95</v>
      </c>
    </row>
    <row r="776" spans="1:7" x14ac:dyDescent="0.2">
      <c r="A776" s="248"/>
      <c r="B776" s="248" t="s">
        <v>284</v>
      </c>
      <c r="C776" s="249"/>
      <c r="D776" s="248"/>
      <c r="E776" s="249"/>
      <c r="F776" s="248"/>
      <c r="G776" s="248">
        <v>65.400000000000006</v>
      </c>
    </row>
    <row r="778" spans="1:7" x14ac:dyDescent="0.2">
      <c r="A778" s="248" t="s">
        <v>88</v>
      </c>
      <c r="B778" s="248"/>
      <c r="C778" s="249"/>
      <c r="D778" s="248"/>
      <c r="E778" s="249"/>
      <c r="F778" s="248"/>
      <c r="G778" s="248"/>
    </row>
    <row r="779" spans="1:7" x14ac:dyDescent="0.2">
      <c r="A779" s="250" t="s">
        <v>381</v>
      </c>
      <c r="G779" s="251" t="s">
        <v>343</v>
      </c>
    </row>
    <row r="781" spans="1:7" x14ac:dyDescent="0.2">
      <c r="A781" s="250"/>
      <c r="B781" s="250" t="s">
        <v>324</v>
      </c>
      <c r="C781" s="252"/>
      <c r="D781" s="250"/>
      <c r="E781" s="252"/>
      <c r="F781" s="250"/>
      <c r="G781" s="250">
        <v>105</v>
      </c>
    </row>
    <row r="782" spans="1:7" x14ac:dyDescent="0.2">
      <c r="A782" s="243" t="s">
        <v>295</v>
      </c>
      <c r="B782" s="243" t="s">
        <v>500</v>
      </c>
      <c r="C782" s="244" t="s">
        <v>358</v>
      </c>
      <c r="D782" s="253">
        <v>1</v>
      </c>
      <c r="E782" s="254">
        <v>1</v>
      </c>
      <c r="F782" s="243">
        <v>105</v>
      </c>
      <c r="G782" s="243">
        <v>105</v>
      </c>
    </row>
    <row r="784" spans="1:7" x14ac:dyDescent="0.2">
      <c r="A784" s="250"/>
      <c r="B784" s="250" t="s">
        <v>298</v>
      </c>
      <c r="C784" s="252"/>
      <c r="D784" s="255">
        <v>0.3</v>
      </c>
      <c r="E784" s="252"/>
      <c r="F784" s="250"/>
      <c r="G784" s="250">
        <v>3</v>
      </c>
    </row>
    <row r="785" spans="1:7" x14ac:dyDescent="0.2">
      <c r="A785" s="243" t="s">
        <v>295</v>
      </c>
      <c r="B785" s="243" t="s">
        <v>351</v>
      </c>
      <c r="C785" s="244" t="s">
        <v>299</v>
      </c>
      <c r="D785" s="253">
        <v>0.3</v>
      </c>
      <c r="E785" s="254">
        <v>1</v>
      </c>
      <c r="F785" s="243">
        <v>10</v>
      </c>
      <c r="G785" s="243">
        <v>3</v>
      </c>
    </row>
    <row r="787" spans="1:7" x14ac:dyDescent="0.2">
      <c r="A787" s="250"/>
      <c r="B787" s="250" t="s">
        <v>300</v>
      </c>
      <c r="C787" s="252"/>
      <c r="D787" s="250"/>
      <c r="E787" s="252"/>
      <c r="F787" s="250"/>
      <c r="G787" s="250">
        <v>12.9</v>
      </c>
    </row>
    <row r="788" spans="1:7" x14ac:dyDescent="0.2">
      <c r="B788" s="243" t="s">
        <v>301</v>
      </c>
      <c r="C788" s="244" t="s">
        <v>302</v>
      </c>
      <c r="D788" s="243">
        <v>80</v>
      </c>
      <c r="G788" s="243">
        <v>2.4</v>
      </c>
    </row>
    <row r="789" spans="1:7" x14ac:dyDescent="0.2">
      <c r="B789" s="243" t="s">
        <v>327</v>
      </c>
      <c r="C789" s="244" t="s">
        <v>302</v>
      </c>
      <c r="D789" s="243">
        <v>10</v>
      </c>
      <c r="G789" s="243">
        <v>10.5</v>
      </c>
    </row>
    <row r="791" spans="1:7" x14ac:dyDescent="0.2">
      <c r="A791" s="250"/>
      <c r="B791" s="250" t="s">
        <v>284</v>
      </c>
      <c r="C791" s="252"/>
      <c r="D791" s="250"/>
      <c r="E791" s="252"/>
      <c r="F791" s="250"/>
      <c r="G791" s="250"/>
    </row>
    <row r="792" spans="1:7" x14ac:dyDescent="0.2">
      <c r="B792" s="243" t="s">
        <v>304</v>
      </c>
      <c r="G792" s="243">
        <v>108</v>
      </c>
    </row>
    <row r="793" spans="1:7" x14ac:dyDescent="0.2">
      <c r="B793" s="243" t="s">
        <v>305</v>
      </c>
      <c r="G793" s="243">
        <v>12.9</v>
      </c>
    </row>
    <row r="794" spans="1:7" x14ac:dyDescent="0.2">
      <c r="B794" s="243" t="s">
        <v>306</v>
      </c>
      <c r="G794" s="243">
        <v>120.9</v>
      </c>
    </row>
    <row r="795" spans="1:7" x14ac:dyDescent="0.2">
      <c r="B795" s="243" t="s">
        <v>307</v>
      </c>
      <c r="C795" s="244" t="s">
        <v>302</v>
      </c>
      <c r="D795" s="243" t="s">
        <v>308</v>
      </c>
      <c r="G795" s="243">
        <v>12.09</v>
      </c>
    </row>
    <row r="797" spans="1:7" x14ac:dyDescent="0.2">
      <c r="A797" s="248"/>
      <c r="B797" s="248" t="s">
        <v>284</v>
      </c>
      <c r="C797" s="249"/>
      <c r="D797" s="248"/>
      <c r="E797" s="249"/>
      <c r="F797" s="248"/>
      <c r="G797" s="248">
        <v>132.99</v>
      </c>
    </row>
    <row r="799" spans="1:7" x14ac:dyDescent="0.2">
      <c r="A799" s="248" t="s">
        <v>55</v>
      </c>
      <c r="B799" s="248"/>
      <c r="C799" s="249"/>
      <c r="D799" s="248"/>
      <c r="E799" s="249"/>
      <c r="F799" s="248"/>
      <c r="G799" s="248"/>
    </row>
    <row r="800" spans="1:7" x14ac:dyDescent="0.2">
      <c r="A800" s="250" t="s">
        <v>382</v>
      </c>
      <c r="G800" s="251" t="s">
        <v>343</v>
      </c>
    </row>
    <row r="802" spans="1:7" x14ac:dyDescent="0.2">
      <c r="A802" s="250"/>
      <c r="B802" s="250" t="s">
        <v>324</v>
      </c>
      <c r="C802" s="252"/>
      <c r="D802" s="250"/>
      <c r="E802" s="252"/>
      <c r="F802" s="250"/>
      <c r="G802" s="250">
        <v>29</v>
      </c>
    </row>
    <row r="803" spans="1:7" x14ac:dyDescent="0.2">
      <c r="A803" s="243" t="s">
        <v>295</v>
      </c>
      <c r="B803" s="243" t="s">
        <v>383</v>
      </c>
      <c r="C803" s="244" t="s">
        <v>358</v>
      </c>
      <c r="D803" s="253">
        <v>1</v>
      </c>
      <c r="E803" s="254">
        <v>1</v>
      </c>
      <c r="F803" s="243">
        <v>21</v>
      </c>
      <c r="G803" s="243">
        <v>21</v>
      </c>
    </row>
    <row r="804" spans="1:7" x14ac:dyDescent="0.2">
      <c r="A804" s="243" t="s">
        <v>295</v>
      </c>
      <c r="B804" s="243" t="s">
        <v>375</v>
      </c>
      <c r="C804" s="244" t="s">
        <v>358</v>
      </c>
      <c r="D804" s="253">
        <v>8</v>
      </c>
      <c r="E804" s="254">
        <v>1</v>
      </c>
      <c r="F804" s="243">
        <v>1</v>
      </c>
      <c r="G804" s="243">
        <v>8</v>
      </c>
    </row>
    <row r="806" spans="1:7" x14ac:dyDescent="0.2">
      <c r="A806" s="250"/>
      <c r="B806" s="250" t="s">
        <v>298</v>
      </c>
      <c r="C806" s="252"/>
      <c r="D806" s="255">
        <v>0.22</v>
      </c>
      <c r="E806" s="252"/>
      <c r="F806" s="250"/>
      <c r="G806" s="250">
        <v>2.2000000000000002</v>
      </c>
    </row>
    <row r="807" spans="1:7" x14ac:dyDescent="0.2">
      <c r="A807" s="243" t="s">
        <v>295</v>
      </c>
      <c r="B807" s="243" t="s">
        <v>351</v>
      </c>
      <c r="C807" s="244" t="s">
        <v>299</v>
      </c>
      <c r="D807" s="253">
        <v>0.22</v>
      </c>
      <c r="E807" s="254">
        <v>1</v>
      </c>
      <c r="F807" s="243">
        <v>10</v>
      </c>
      <c r="G807" s="243">
        <v>2.2000000000000002</v>
      </c>
    </row>
    <row r="809" spans="1:7" x14ac:dyDescent="0.2">
      <c r="A809" s="250"/>
      <c r="B809" s="250" t="s">
        <v>300</v>
      </c>
      <c r="C809" s="252"/>
      <c r="D809" s="250"/>
      <c r="E809" s="252"/>
      <c r="F809" s="250"/>
      <c r="G809" s="250">
        <v>4.66</v>
      </c>
    </row>
    <row r="810" spans="1:7" x14ac:dyDescent="0.2">
      <c r="B810" s="243" t="s">
        <v>301</v>
      </c>
      <c r="C810" s="244" t="s">
        <v>302</v>
      </c>
      <c r="D810" s="243">
        <v>80</v>
      </c>
      <c r="G810" s="243">
        <v>1.76</v>
      </c>
    </row>
    <row r="811" spans="1:7" x14ac:dyDescent="0.2">
      <c r="B811" s="243" t="s">
        <v>327</v>
      </c>
      <c r="C811" s="244" t="s">
        <v>302</v>
      </c>
      <c r="D811" s="243">
        <v>10</v>
      </c>
      <c r="G811" s="243">
        <v>2.9</v>
      </c>
    </row>
    <row r="813" spans="1:7" x14ac:dyDescent="0.2">
      <c r="A813" s="250"/>
      <c r="B813" s="250" t="s">
        <v>284</v>
      </c>
      <c r="C813" s="252"/>
      <c r="D813" s="250"/>
      <c r="E813" s="252"/>
      <c r="F813" s="250"/>
      <c r="G813" s="250"/>
    </row>
    <row r="814" spans="1:7" x14ac:dyDescent="0.2">
      <c r="B814" s="243" t="s">
        <v>304</v>
      </c>
      <c r="G814" s="243">
        <v>31.2</v>
      </c>
    </row>
    <row r="815" spans="1:7" x14ac:dyDescent="0.2">
      <c r="B815" s="243" t="s">
        <v>305</v>
      </c>
      <c r="G815" s="243">
        <v>4.66</v>
      </c>
    </row>
    <row r="816" spans="1:7" x14ac:dyDescent="0.2">
      <c r="B816" s="243" t="s">
        <v>306</v>
      </c>
      <c r="G816" s="243">
        <v>35.86</v>
      </c>
    </row>
    <row r="817" spans="1:7" x14ac:dyDescent="0.2">
      <c r="B817" s="243" t="s">
        <v>307</v>
      </c>
      <c r="C817" s="244" t="s">
        <v>302</v>
      </c>
      <c r="D817" s="243" t="s">
        <v>308</v>
      </c>
      <c r="G817" s="243">
        <v>3.59</v>
      </c>
    </row>
    <row r="819" spans="1:7" x14ac:dyDescent="0.2">
      <c r="A819" s="248"/>
      <c r="B819" s="248" t="s">
        <v>284</v>
      </c>
      <c r="C819" s="249"/>
      <c r="D819" s="248"/>
      <c r="E819" s="249"/>
      <c r="F819" s="248"/>
      <c r="G819" s="248">
        <v>39.450000000000003</v>
      </c>
    </row>
    <row r="821" spans="1:7" x14ac:dyDescent="0.2">
      <c r="A821" s="248" t="s">
        <v>56</v>
      </c>
      <c r="B821" s="248"/>
      <c r="C821" s="249"/>
      <c r="D821" s="248"/>
      <c r="E821" s="249"/>
      <c r="F821" s="248"/>
      <c r="G821" s="248"/>
    </row>
    <row r="822" spans="1:7" x14ac:dyDescent="0.2">
      <c r="A822" s="250" t="s">
        <v>384</v>
      </c>
      <c r="G822" s="251" t="s">
        <v>293</v>
      </c>
    </row>
    <row r="824" spans="1:7" x14ac:dyDescent="0.2">
      <c r="A824" s="250"/>
      <c r="B824" s="250" t="s">
        <v>294</v>
      </c>
      <c r="C824" s="252"/>
      <c r="D824" s="250"/>
      <c r="E824" s="252"/>
      <c r="F824" s="250"/>
      <c r="G824" s="250">
        <v>1</v>
      </c>
    </row>
    <row r="825" spans="1:7" x14ac:dyDescent="0.2">
      <c r="A825" s="243" t="s">
        <v>295</v>
      </c>
      <c r="B825" s="243" t="s">
        <v>385</v>
      </c>
      <c r="C825" s="244" t="s">
        <v>297</v>
      </c>
      <c r="D825" s="253">
        <v>0.02</v>
      </c>
      <c r="E825" s="254">
        <v>1</v>
      </c>
      <c r="F825" s="243">
        <v>50</v>
      </c>
      <c r="G825" s="243">
        <v>1</v>
      </c>
    </row>
    <row r="827" spans="1:7" x14ac:dyDescent="0.2">
      <c r="A827" s="250"/>
      <c r="B827" s="250" t="s">
        <v>298</v>
      </c>
      <c r="C827" s="252"/>
      <c r="D827" s="255">
        <v>1.4999999999999999E-2</v>
      </c>
      <c r="E827" s="252"/>
      <c r="F827" s="250"/>
      <c r="G827" s="250">
        <v>0.15</v>
      </c>
    </row>
    <row r="828" spans="1:7" x14ac:dyDescent="0.2">
      <c r="A828" s="243" t="s">
        <v>295</v>
      </c>
      <c r="B828" s="243" t="s">
        <v>351</v>
      </c>
      <c r="C828" s="244" t="s">
        <v>299</v>
      </c>
      <c r="D828" s="253">
        <v>1.4999999999999999E-2</v>
      </c>
      <c r="E828" s="254">
        <v>1</v>
      </c>
      <c r="F828" s="243">
        <v>10</v>
      </c>
      <c r="G828" s="243">
        <v>0.15</v>
      </c>
    </row>
    <row r="830" spans="1:7" x14ac:dyDescent="0.2">
      <c r="A830" s="250"/>
      <c r="B830" s="250" t="s">
        <v>300</v>
      </c>
      <c r="C830" s="252"/>
      <c r="D830" s="250"/>
      <c r="E830" s="252"/>
      <c r="F830" s="250"/>
      <c r="G830" s="250">
        <v>0.47</v>
      </c>
    </row>
    <row r="831" spans="1:7" x14ac:dyDescent="0.2">
      <c r="B831" s="243" t="s">
        <v>301</v>
      </c>
      <c r="C831" s="244" t="s">
        <v>302</v>
      </c>
      <c r="D831" s="243">
        <v>80</v>
      </c>
      <c r="G831" s="243">
        <v>0.12</v>
      </c>
    </row>
    <row r="832" spans="1:7" x14ac:dyDescent="0.2">
      <c r="B832" s="243" t="s">
        <v>303</v>
      </c>
      <c r="C832" s="244" t="s">
        <v>302</v>
      </c>
      <c r="D832" s="243">
        <v>35</v>
      </c>
      <c r="G832" s="243">
        <v>0.35</v>
      </c>
    </row>
    <row r="834" spans="1:7" x14ac:dyDescent="0.2">
      <c r="A834" s="250"/>
      <c r="B834" s="250" t="s">
        <v>284</v>
      </c>
      <c r="C834" s="252"/>
      <c r="D834" s="250"/>
      <c r="E834" s="252"/>
      <c r="F834" s="250"/>
      <c r="G834" s="250"/>
    </row>
    <row r="835" spans="1:7" x14ac:dyDescent="0.2">
      <c r="B835" s="243" t="s">
        <v>304</v>
      </c>
      <c r="G835" s="243">
        <v>1.1499999999999999</v>
      </c>
    </row>
    <row r="836" spans="1:7" x14ac:dyDescent="0.2">
      <c r="B836" s="243" t="s">
        <v>305</v>
      </c>
      <c r="G836" s="243">
        <v>0.47</v>
      </c>
    </row>
    <row r="837" spans="1:7" x14ac:dyDescent="0.2">
      <c r="B837" s="243" t="s">
        <v>306</v>
      </c>
      <c r="G837" s="243">
        <v>1.62</v>
      </c>
    </row>
    <row r="838" spans="1:7" x14ac:dyDescent="0.2">
      <c r="B838" s="243" t="s">
        <v>307</v>
      </c>
      <c r="C838" s="244" t="s">
        <v>302</v>
      </c>
      <c r="D838" s="243" t="s">
        <v>308</v>
      </c>
      <c r="G838" s="243">
        <v>0.16</v>
      </c>
    </row>
    <row r="840" spans="1:7" x14ac:dyDescent="0.2">
      <c r="A840" s="248"/>
      <c r="B840" s="248" t="s">
        <v>284</v>
      </c>
      <c r="C840" s="249"/>
      <c r="D840" s="248"/>
      <c r="E840" s="249"/>
      <c r="F840" s="248"/>
      <c r="G840" s="248">
        <v>1.78</v>
      </c>
    </row>
    <row r="842" spans="1:7" x14ac:dyDescent="0.2">
      <c r="A842" s="248" t="s">
        <v>57</v>
      </c>
      <c r="B842" s="248"/>
      <c r="C842" s="249"/>
      <c r="D842" s="248"/>
      <c r="E842" s="249"/>
      <c r="F842" s="248"/>
      <c r="G842" s="248"/>
    </row>
    <row r="843" spans="1:7" x14ac:dyDescent="0.2">
      <c r="A843" s="250" t="s">
        <v>386</v>
      </c>
      <c r="G843" s="251" t="s">
        <v>293</v>
      </c>
    </row>
    <row r="845" spans="1:7" x14ac:dyDescent="0.2">
      <c r="A845" s="250"/>
      <c r="B845" s="250" t="s">
        <v>324</v>
      </c>
      <c r="C845" s="252"/>
      <c r="D845" s="250"/>
      <c r="E845" s="252"/>
      <c r="F845" s="250"/>
      <c r="G845" s="250">
        <v>0.16</v>
      </c>
    </row>
    <row r="846" spans="1:7" x14ac:dyDescent="0.2">
      <c r="A846" s="243" t="s">
        <v>295</v>
      </c>
      <c r="B846" s="243" t="s">
        <v>387</v>
      </c>
      <c r="C846" s="244" t="s">
        <v>330</v>
      </c>
      <c r="D846" s="253">
        <v>8.0000000000000002E-3</v>
      </c>
      <c r="E846" s="254">
        <v>1</v>
      </c>
      <c r="F846" s="243">
        <v>20</v>
      </c>
      <c r="G846" s="243">
        <v>0.16</v>
      </c>
    </row>
    <row r="848" spans="1:7" x14ac:dyDescent="0.2">
      <c r="A848" s="250"/>
      <c r="B848" s="250" t="s">
        <v>294</v>
      </c>
      <c r="C848" s="252"/>
      <c r="D848" s="250"/>
      <c r="E848" s="252"/>
      <c r="F848" s="250"/>
      <c r="G848" s="250">
        <v>0.75</v>
      </c>
    </row>
    <row r="849" spans="1:7" x14ac:dyDescent="0.2">
      <c r="A849" s="243" t="s">
        <v>295</v>
      </c>
      <c r="B849" s="243" t="s">
        <v>388</v>
      </c>
      <c r="C849" s="244" t="s">
        <v>297</v>
      </c>
      <c r="D849" s="253">
        <v>1.4999999999999999E-2</v>
      </c>
      <c r="E849" s="254">
        <v>1</v>
      </c>
      <c r="F849" s="243">
        <v>50</v>
      </c>
      <c r="G849" s="243">
        <v>0.75</v>
      </c>
    </row>
    <row r="851" spans="1:7" x14ac:dyDescent="0.2">
      <c r="A851" s="250"/>
      <c r="B851" s="250" t="s">
        <v>298</v>
      </c>
      <c r="C851" s="252"/>
      <c r="D851" s="255">
        <v>1.4999999999999999E-2</v>
      </c>
      <c r="E851" s="252"/>
      <c r="F851" s="250"/>
      <c r="G851" s="250">
        <v>0.15</v>
      </c>
    </row>
    <row r="852" spans="1:7" x14ac:dyDescent="0.2">
      <c r="A852" s="243" t="s">
        <v>295</v>
      </c>
      <c r="B852" s="243" t="s">
        <v>351</v>
      </c>
      <c r="C852" s="244" t="s">
        <v>299</v>
      </c>
      <c r="D852" s="253">
        <v>1.4999999999999999E-2</v>
      </c>
      <c r="E852" s="254">
        <v>1</v>
      </c>
      <c r="F852" s="243">
        <v>10</v>
      </c>
      <c r="G852" s="243">
        <v>0.15</v>
      </c>
    </row>
    <row r="854" spans="1:7" x14ac:dyDescent="0.2">
      <c r="A854" s="250"/>
      <c r="B854" s="250" t="s">
        <v>300</v>
      </c>
      <c r="C854" s="252"/>
      <c r="D854" s="250"/>
      <c r="E854" s="252"/>
      <c r="F854" s="250"/>
      <c r="G854" s="250">
        <v>0.4</v>
      </c>
    </row>
    <row r="855" spans="1:7" x14ac:dyDescent="0.2">
      <c r="B855" s="243" t="s">
        <v>301</v>
      </c>
      <c r="C855" s="244" t="s">
        <v>302</v>
      </c>
      <c r="D855" s="243">
        <v>80</v>
      </c>
      <c r="G855" s="243">
        <v>0.12</v>
      </c>
    </row>
    <row r="856" spans="1:7" x14ac:dyDescent="0.2">
      <c r="B856" s="243" t="s">
        <v>327</v>
      </c>
      <c r="C856" s="244" t="s">
        <v>302</v>
      </c>
      <c r="D856" s="243">
        <v>10</v>
      </c>
      <c r="G856" s="243">
        <v>0.02</v>
      </c>
    </row>
    <row r="857" spans="1:7" x14ac:dyDescent="0.2">
      <c r="B857" s="243" t="s">
        <v>303</v>
      </c>
      <c r="C857" s="244" t="s">
        <v>302</v>
      </c>
      <c r="D857" s="243">
        <v>35</v>
      </c>
      <c r="G857" s="243">
        <v>0.26</v>
      </c>
    </row>
    <row r="859" spans="1:7" x14ac:dyDescent="0.2">
      <c r="A859" s="250"/>
      <c r="B859" s="250" t="s">
        <v>284</v>
      </c>
      <c r="C859" s="252"/>
      <c r="D859" s="250"/>
      <c r="E859" s="252"/>
      <c r="F859" s="250"/>
      <c r="G859" s="250"/>
    </row>
    <row r="860" spans="1:7" x14ac:dyDescent="0.2">
      <c r="B860" s="243" t="s">
        <v>304</v>
      </c>
      <c r="G860" s="243">
        <v>1.06</v>
      </c>
    </row>
    <row r="861" spans="1:7" x14ac:dyDescent="0.2">
      <c r="B861" s="243" t="s">
        <v>305</v>
      </c>
      <c r="G861" s="243">
        <v>0.4</v>
      </c>
    </row>
    <row r="862" spans="1:7" x14ac:dyDescent="0.2">
      <c r="B862" s="243" t="s">
        <v>306</v>
      </c>
      <c r="G862" s="243">
        <v>1.46</v>
      </c>
    </row>
    <row r="863" spans="1:7" x14ac:dyDescent="0.2">
      <c r="B863" s="243" t="s">
        <v>307</v>
      </c>
      <c r="C863" s="244" t="s">
        <v>302</v>
      </c>
      <c r="D863" s="243" t="s">
        <v>308</v>
      </c>
      <c r="G863" s="243">
        <v>0.15</v>
      </c>
    </row>
    <row r="865" spans="1:7" x14ac:dyDescent="0.2">
      <c r="A865" s="248"/>
      <c r="B865" s="248" t="s">
        <v>284</v>
      </c>
      <c r="C865" s="249"/>
      <c r="D865" s="248"/>
      <c r="E865" s="249"/>
      <c r="F865" s="248"/>
      <c r="G865" s="248">
        <v>1.61</v>
      </c>
    </row>
    <row r="867" spans="1:7" x14ac:dyDescent="0.2">
      <c r="A867" s="248" t="s">
        <v>58</v>
      </c>
      <c r="B867" s="248"/>
      <c r="C867" s="249"/>
      <c r="D867" s="248"/>
      <c r="E867" s="249"/>
      <c r="F867" s="248"/>
      <c r="G867" s="248"/>
    </row>
    <row r="868" spans="1:7" x14ac:dyDescent="0.2">
      <c r="A868" s="250" t="s">
        <v>389</v>
      </c>
      <c r="G868" s="251" t="s">
        <v>343</v>
      </c>
    </row>
    <row r="870" spans="1:7" x14ac:dyDescent="0.2">
      <c r="A870" s="250"/>
      <c r="B870" s="250" t="s">
        <v>324</v>
      </c>
      <c r="C870" s="252"/>
      <c r="D870" s="250"/>
      <c r="E870" s="252"/>
      <c r="F870" s="250"/>
      <c r="G870" s="250">
        <v>7</v>
      </c>
    </row>
    <row r="871" spans="1:7" x14ac:dyDescent="0.2">
      <c r="A871" s="243" t="s">
        <v>295</v>
      </c>
      <c r="B871" s="243" t="s">
        <v>390</v>
      </c>
      <c r="C871" s="244" t="s">
        <v>358</v>
      </c>
      <c r="D871" s="253">
        <v>1</v>
      </c>
      <c r="E871" s="254">
        <v>1</v>
      </c>
      <c r="F871" s="243">
        <v>5</v>
      </c>
      <c r="G871" s="243">
        <v>5</v>
      </c>
    </row>
    <row r="872" spans="1:7" x14ac:dyDescent="0.2">
      <c r="A872" s="243" t="s">
        <v>295</v>
      </c>
      <c r="B872" s="243" t="s">
        <v>391</v>
      </c>
      <c r="C872" s="244" t="s">
        <v>358</v>
      </c>
      <c r="D872" s="253">
        <v>1</v>
      </c>
      <c r="E872" s="254">
        <v>1</v>
      </c>
      <c r="F872" s="243">
        <v>2</v>
      </c>
      <c r="G872" s="243">
        <v>2</v>
      </c>
    </row>
    <row r="874" spans="1:7" x14ac:dyDescent="0.2">
      <c r="A874" s="250"/>
      <c r="B874" s="250" t="s">
        <v>298</v>
      </c>
      <c r="C874" s="252"/>
      <c r="D874" s="255">
        <v>0.1</v>
      </c>
      <c r="E874" s="252"/>
      <c r="F874" s="250"/>
      <c r="G874" s="250">
        <v>1</v>
      </c>
    </row>
    <row r="875" spans="1:7" x14ac:dyDescent="0.2">
      <c r="A875" s="243" t="s">
        <v>295</v>
      </c>
      <c r="B875" s="243" t="s">
        <v>521</v>
      </c>
      <c r="C875" s="244" t="s">
        <v>299</v>
      </c>
      <c r="D875" s="253">
        <v>0.1</v>
      </c>
      <c r="E875" s="254">
        <v>1</v>
      </c>
      <c r="F875" s="243">
        <v>10</v>
      </c>
      <c r="G875" s="243">
        <v>1</v>
      </c>
    </row>
    <row r="877" spans="1:7" x14ac:dyDescent="0.2">
      <c r="A877" s="250"/>
      <c r="B877" s="250" t="s">
        <v>300</v>
      </c>
      <c r="C877" s="252"/>
      <c r="D877" s="250"/>
      <c r="E877" s="252"/>
      <c r="F877" s="250"/>
      <c r="G877" s="250">
        <v>1.5</v>
      </c>
    </row>
    <row r="878" spans="1:7" x14ac:dyDescent="0.2">
      <c r="B878" s="243" t="s">
        <v>301</v>
      </c>
      <c r="C878" s="244" t="s">
        <v>302</v>
      </c>
      <c r="D878" s="243">
        <v>80</v>
      </c>
      <c r="G878" s="243">
        <v>0.8</v>
      </c>
    </row>
    <row r="879" spans="1:7" x14ac:dyDescent="0.2">
      <c r="B879" s="243" t="s">
        <v>327</v>
      </c>
      <c r="C879" s="244" t="s">
        <v>302</v>
      </c>
      <c r="D879" s="243">
        <v>10</v>
      </c>
      <c r="G879" s="243">
        <v>0.7</v>
      </c>
    </row>
    <row r="881" spans="1:7" x14ac:dyDescent="0.2">
      <c r="A881" s="250"/>
      <c r="B881" s="250" t="s">
        <v>284</v>
      </c>
      <c r="C881" s="252"/>
      <c r="D881" s="250"/>
      <c r="E881" s="252"/>
      <c r="F881" s="250"/>
      <c r="G881" s="250"/>
    </row>
    <row r="882" spans="1:7" x14ac:dyDescent="0.2">
      <c r="B882" s="243" t="s">
        <v>304</v>
      </c>
      <c r="G882" s="243">
        <v>8</v>
      </c>
    </row>
    <row r="883" spans="1:7" x14ac:dyDescent="0.2">
      <c r="B883" s="243" t="s">
        <v>305</v>
      </c>
      <c r="G883" s="243">
        <v>1.5</v>
      </c>
    </row>
    <row r="884" spans="1:7" x14ac:dyDescent="0.2">
      <c r="B884" s="243" t="s">
        <v>306</v>
      </c>
      <c r="G884" s="243">
        <v>9.5</v>
      </c>
    </row>
    <row r="885" spans="1:7" x14ac:dyDescent="0.2">
      <c r="B885" s="243" t="s">
        <v>307</v>
      </c>
      <c r="C885" s="244" t="s">
        <v>302</v>
      </c>
      <c r="D885" s="243" t="s">
        <v>308</v>
      </c>
      <c r="G885" s="243">
        <v>0.95</v>
      </c>
    </row>
    <row r="887" spans="1:7" x14ac:dyDescent="0.2">
      <c r="A887" s="248"/>
      <c r="B887" s="248" t="s">
        <v>284</v>
      </c>
      <c r="C887" s="249"/>
      <c r="D887" s="248"/>
      <c r="E887" s="249"/>
      <c r="F887" s="248"/>
      <c r="G887" s="248">
        <v>10.45</v>
      </c>
    </row>
    <row r="889" spans="1:7" x14ac:dyDescent="0.2">
      <c r="A889" s="248" t="s">
        <v>59</v>
      </c>
      <c r="B889" s="248"/>
      <c r="C889" s="249"/>
      <c r="D889" s="248"/>
      <c r="E889" s="249"/>
      <c r="F889" s="248"/>
      <c r="G889" s="248"/>
    </row>
    <row r="890" spans="1:7" x14ac:dyDescent="0.2">
      <c r="A890" s="250" t="s">
        <v>392</v>
      </c>
      <c r="G890" s="251" t="s">
        <v>343</v>
      </c>
    </row>
    <row r="892" spans="1:7" x14ac:dyDescent="0.2">
      <c r="A892" s="250"/>
      <c r="B892" s="250" t="s">
        <v>324</v>
      </c>
      <c r="C892" s="252"/>
      <c r="D892" s="250"/>
      <c r="E892" s="252"/>
      <c r="F892" s="250"/>
      <c r="G892" s="250">
        <v>14</v>
      </c>
    </row>
    <row r="893" spans="1:7" x14ac:dyDescent="0.2">
      <c r="A893" s="243" t="s">
        <v>295</v>
      </c>
      <c r="B893" s="243" t="s">
        <v>393</v>
      </c>
      <c r="C893" s="244" t="s">
        <v>358</v>
      </c>
      <c r="D893" s="253">
        <v>1</v>
      </c>
      <c r="E893" s="254">
        <v>1</v>
      </c>
      <c r="F893" s="243">
        <v>12</v>
      </c>
      <c r="G893" s="243">
        <v>12</v>
      </c>
    </row>
    <row r="894" spans="1:7" x14ac:dyDescent="0.2">
      <c r="A894" s="243" t="s">
        <v>295</v>
      </c>
      <c r="B894" s="243" t="s">
        <v>394</v>
      </c>
      <c r="C894" s="244" t="s">
        <v>358</v>
      </c>
      <c r="D894" s="253">
        <v>1</v>
      </c>
      <c r="E894" s="254">
        <v>1</v>
      </c>
      <c r="F894" s="243">
        <v>2</v>
      </c>
      <c r="G894" s="243">
        <v>2</v>
      </c>
    </row>
    <row r="896" spans="1:7" x14ac:dyDescent="0.2">
      <c r="A896" s="250"/>
      <c r="B896" s="250" t="s">
        <v>298</v>
      </c>
      <c r="C896" s="252"/>
      <c r="D896" s="255">
        <v>0.08</v>
      </c>
      <c r="E896" s="252"/>
      <c r="F896" s="250"/>
      <c r="G896" s="250">
        <v>0.8</v>
      </c>
    </row>
    <row r="897" spans="1:7" x14ac:dyDescent="0.2">
      <c r="A897" s="243" t="s">
        <v>295</v>
      </c>
      <c r="B897" s="243" t="s">
        <v>521</v>
      </c>
      <c r="C897" s="244" t="s">
        <v>299</v>
      </c>
      <c r="D897" s="253">
        <v>0.08</v>
      </c>
      <c r="E897" s="254">
        <v>1</v>
      </c>
      <c r="F897" s="243">
        <v>10</v>
      </c>
      <c r="G897" s="243">
        <v>0.8</v>
      </c>
    </row>
    <row r="899" spans="1:7" x14ac:dyDescent="0.2">
      <c r="A899" s="250"/>
      <c r="B899" s="250" t="s">
        <v>300</v>
      </c>
      <c r="C899" s="252"/>
      <c r="D899" s="250"/>
      <c r="E899" s="252"/>
      <c r="F899" s="250"/>
      <c r="G899" s="250">
        <v>2.04</v>
      </c>
    </row>
    <row r="900" spans="1:7" x14ac:dyDescent="0.2">
      <c r="B900" s="243" t="s">
        <v>301</v>
      </c>
      <c r="C900" s="244" t="s">
        <v>302</v>
      </c>
      <c r="D900" s="243">
        <v>80</v>
      </c>
      <c r="G900" s="243">
        <v>0.64</v>
      </c>
    </row>
    <row r="901" spans="1:7" x14ac:dyDescent="0.2">
      <c r="B901" s="243" t="s">
        <v>327</v>
      </c>
      <c r="C901" s="244" t="s">
        <v>302</v>
      </c>
      <c r="D901" s="243">
        <v>10</v>
      </c>
      <c r="G901" s="243">
        <v>1.4</v>
      </c>
    </row>
    <row r="903" spans="1:7" x14ac:dyDescent="0.2">
      <c r="A903" s="250"/>
      <c r="B903" s="250" t="s">
        <v>284</v>
      </c>
      <c r="C903" s="252"/>
      <c r="D903" s="250"/>
      <c r="E903" s="252"/>
      <c r="F903" s="250"/>
      <c r="G903" s="250"/>
    </row>
    <row r="904" spans="1:7" x14ac:dyDescent="0.2">
      <c r="B904" s="243" t="s">
        <v>304</v>
      </c>
      <c r="G904" s="243">
        <v>14.8</v>
      </c>
    </row>
    <row r="905" spans="1:7" x14ac:dyDescent="0.2">
      <c r="B905" s="243" t="s">
        <v>305</v>
      </c>
      <c r="G905" s="243">
        <v>2.04</v>
      </c>
    </row>
    <row r="906" spans="1:7" x14ac:dyDescent="0.2">
      <c r="B906" s="243" t="s">
        <v>306</v>
      </c>
      <c r="G906" s="243">
        <v>16.84</v>
      </c>
    </row>
    <row r="907" spans="1:7" x14ac:dyDescent="0.2">
      <c r="B907" s="243" t="s">
        <v>307</v>
      </c>
      <c r="C907" s="244" t="s">
        <v>302</v>
      </c>
      <c r="D907" s="243" t="s">
        <v>308</v>
      </c>
      <c r="G907" s="243">
        <v>1.68</v>
      </c>
    </row>
    <row r="909" spans="1:7" x14ac:dyDescent="0.2">
      <c r="A909" s="248"/>
      <c r="B909" s="248" t="s">
        <v>284</v>
      </c>
      <c r="C909" s="249"/>
      <c r="D909" s="248"/>
      <c r="E909" s="249"/>
      <c r="F909" s="248"/>
      <c r="G909" s="248">
        <v>18.52</v>
      </c>
    </row>
    <row r="911" spans="1:7" x14ac:dyDescent="0.2">
      <c r="A911" s="248" t="s">
        <v>60</v>
      </c>
      <c r="B911" s="248"/>
      <c r="C911" s="249"/>
      <c r="D911" s="248"/>
      <c r="E911" s="249"/>
      <c r="F911" s="248"/>
      <c r="G911" s="248"/>
    </row>
    <row r="912" spans="1:7" x14ac:dyDescent="0.2">
      <c r="A912" s="250" t="s">
        <v>395</v>
      </c>
      <c r="G912" s="251" t="s">
        <v>343</v>
      </c>
    </row>
    <row r="914" spans="1:7" x14ac:dyDescent="0.2">
      <c r="A914" s="250"/>
      <c r="B914" s="250" t="s">
        <v>324</v>
      </c>
      <c r="C914" s="252"/>
      <c r="D914" s="250"/>
      <c r="E914" s="252"/>
      <c r="F914" s="250"/>
      <c r="G914" s="250">
        <v>14</v>
      </c>
    </row>
    <row r="915" spans="1:7" x14ac:dyDescent="0.2">
      <c r="A915" s="243" t="s">
        <v>295</v>
      </c>
      <c r="B915" s="243" t="s">
        <v>396</v>
      </c>
      <c r="C915" s="244" t="s">
        <v>358</v>
      </c>
      <c r="D915" s="253">
        <v>1</v>
      </c>
      <c r="E915" s="254">
        <v>1</v>
      </c>
      <c r="F915" s="243">
        <v>12</v>
      </c>
      <c r="G915" s="243">
        <v>12</v>
      </c>
    </row>
    <row r="916" spans="1:7" x14ac:dyDescent="0.2">
      <c r="A916" s="243" t="s">
        <v>295</v>
      </c>
      <c r="B916" s="243" t="s">
        <v>394</v>
      </c>
      <c r="C916" s="244" t="s">
        <v>358</v>
      </c>
      <c r="D916" s="253">
        <v>1</v>
      </c>
      <c r="E916" s="254">
        <v>1</v>
      </c>
      <c r="F916" s="243">
        <v>2</v>
      </c>
      <c r="G916" s="243">
        <v>2</v>
      </c>
    </row>
    <row r="918" spans="1:7" x14ac:dyDescent="0.2">
      <c r="A918" s="250"/>
      <c r="B918" s="250" t="s">
        <v>298</v>
      </c>
      <c r="C918" s="252"/>
      <c r="D918" s="255">
        <v>0.08</v>
      </c>
      <c r="E918" s="252"/>
      <c r="F918" s="250"/>
      <c r="G918" s="250">
        <v>0.8</v>
      </c>
    </row>
    <row r="919" spans="1:7" x14ac:dyDescent="0.2">
      <c r="A919" s="243" t="s">
        <v>295</v>
      </c>
      <c r="B919" s="243" t="s">
        <v>521</v>
      </c>
      <c r="C919" s="244" t="s">
        <v>299</v>
      </c>
      <c r="D919" s="253">
        <v>0.08</v>
      </c>
      <c r="E919" s="254">
        <v>1</v>
      </c>
      <c r="F919" s="243">
        <v>10</v>
      </c>
      <c r="G919" s="243">
        <v>0.8</v>
      </c>
    </row>
    <row r="921" spans="1:7" x14ac:dyDescent="0.2">
      <c r="A921" s="250"/>
      <c r="B921" s="250" t="s">
        <v>300</v>
      </c>
      <c r="C921" s="252"/>
      <c r="D921" s="250"/>
      <c r="E921" s="252"/>
      <c r="F921" s="250"/>
      <c r="G921" s="250">
        <v>2.04</v>
      </c>
    </row>
    <row r="922" spans="1:7" x14ac:dyDescent="0.2">
      <c r="B922" s="243" t="s">
        <v>301</v>
      </c>
      <c r="C922" s="244" t="s">
        <v>302</v>
      </c>
      <c r="D922" s="243">
        <v>80</v>
      </c>
      <c r="G922" s="243">
        <v>0.64</v>
      </c>
    </row>
    <row r="923" spans="1:7" x14ac:dyDescent="0.2">
      <c r="B923" s="243" t="s">
        <v>327</v>
      </c>
      <c r="C923" s="244" t="s">
        <v>302</v>
      </c>
      <c r="D923" s="243">
        <v>10</v>
      </c>
      <c r="G923" s="243">
        <v>1.4</v>
      </c>
    </row>
    <row r="925" spans="1:7" x14ac:dyDescent="0.2">
      <c r="A925" s="250"/>
      <c r="B925" s="250" t="s">
        <v>284</v>
      </c>
      <c r="C925" s="252"/>
      <c r="D925" s="250"/>
      <c r="E925" s="252"/>
      <c r="F925" s="250"/>
      <c r="G925" s="250"/>
    </row>
    <row r="926" spans="1:7" x14ac:dyDescent="0.2">
      <c r="B926" s="243" t="s">
        <v>304</v>
      </c>
      <c r="G926" s="243">
        <v>14.8</v>
      </c>
    </row>
    <row r="927" spans="1:7" x14ac:dyDescent="0.2">
      <c r="B927" s="243" t="s">
        <v>305</v>
      </c>
      <c r="G927" s="243">
        <v>2.04</v>
      </c>
    </row>
    <row r="928" spans="1:7" x14ac:dyDescent="0.2">
      <c r="B928" s="243" t="s">
        <v>306</v>
      </c>
      <c r="G928" s="243">
        <v>16.84</v>
      </c>
    </row>
    <row r="929" spans="1:7" x14ac:dyDescent="0.2">
      <c r="B929" s="243" t="s">
        <v>307</v>
      </c>
      <c r="C929" s="244" t="s">
        <v>302</v>
      </c>
      <c r="D929" s="243" t="s">
        <v>308</v>
      </c>
      <c r="G929" s="243">
        <v>1.68</v>
      </c>
    </row>
    <row r="931" spans="1:7" x14ac:dyDescent="0.2">
      <c r="A931" s="248"/>
      <c r="B931" s="248" t="s">
        <v>284</v>
      </c>
      <c r="C931" s="249"/>
      <c r="D931" s="248"/>
      <c r="E931" s="249"/>
      <c r="F931" s="248"/>
      <c r="G931" s="248">
        <v>18.52</v>
      </c>
    </row>
    <row r="933" spans="1:7" x14ac:dyDescent="0.2">
      <c r="A933" s="248" t="s">
        <v>61</v>
      </c>
      <c r="B933" s="248"/>
      <c r="C933" s="249"/>
      <c r="D933" s="248"/>
      <c r="E933" s="249"/>
      <c r="F933" s="248"/>
      <c r="G933" s="248"/>
    </row>
    <row r="934" spans="1:7" x14ac:dyDescent="0.2">
      <c r="A934" s="250" t="s">
        <v>397</v>
      </c>
      <c r="G934" s="251" t="s">
        <v>293</v>
      </c>
    </row>
    <row r="936" spans="1:7" x14ac:dyDescent="0.2">
      <c r="A936" s="250"/>
      <c r="B936" s="250" t="s">
        <v>324</v>
      </c>
      <c r="C936" s="252"/>
      <c r="D936" s="250"/>
      <c r="E936" s="252"/>
      <c r="F936" s="250"/>
      <c r="G936" s="250">
        <v>0.36</v>
      </c>
    </row>
    <row r="937" spans="1:7" x14ac:dyDescent="0.2">
      <c r="A937" s="243" t="s">
        <v>295</v>
      </c>
      <c r="B937" s="243" t="s">
        <v>501</v>
      </c>
      <c r="C937" s="244" t="s">
        <v>330</v>
      </c>
      <c r="D937" s="253">
        <v>3.3999999999999998E-3</v>
      </c>
      <c r="E937" s="254">
        <v>1</v>
      </c>
      <c r="F937" s="243">
        <v>105</v>
      </c>
      <c r="G937" s="243">
        <v>0.36</v>
      </c>
    </row>
    <row r="939" spans="1:7" x14ac:dyDescent="0.2">
      <c r="A939" s="250"/>
      <c r="B939" s="250" t="s">
        <v>294</v>
      </c>
      <c r="C939" s="252"/>
      <c r="D939" s="250"/>
      <c r="E939" s="252"/>
      <c r="F939" s="250"/>
      <c r="G939" s="250">
        <v>2</v>
      </c>
    </row>
    <row r="940" spans="1:7" x14ac:dyDescent="0.2">
      <c r="A940" s="243" t="s">
        <v>295</v>
      </c>
      <c r="B940" s="243" t="s">
        <v>318</v>
      </c>
      <c r="C940" s="244" t="s">
        <v>297</v>
      </c>
      <c r="D940" s="253">
        <v>8.0000000000000002E-3</v>
      </c>
      <c r="E940" s="254">
        <v>1</v>
      </c>
      <c r="F940" s="243">
        <v>250</v>
      </c>
      <c r="G940" s="243">
        <v>2</v>
      </c>
    </row>
    <row r="942" spans="1:7" x14ac:dyDescent="0.2">
      <c r="A942" s="250"/>
      <c r="B942" s="250" t="s">
        <v>298</v>
      </c>
      <c r="C942" s="252"/>
      <c r="D942" s="255">
        <v>0.28000000000000003</v>
      </c>
      <c r="E942" s="252"/>
      <c r="F942" s="250"/>
      <c r="G942" s="250">
        <v>2.8</v>
      </c>
    </row>
    <row r="943" spans="1:7" x14ac:dyDescent="0.2">
      <c r="A943" s="243" t="s">
        <v>295</v>
      </c>
      <c r="B943" s="243" t="s">
        <v>521</v>
      </c>
      <c r="C943" s="244" t="s">
        <v>299</v>
      </c>
      <c r="D943" s="253">
        <v>0.28000000000000003</v>
      </c>
      <c r="E943" s="254">
        <v>1</v>
      </c>
      <c r="F943" s="243">
        <v>10</v>
      </c>
      <c r="G943" s="243">
        <v>2.8</v>
      </c>
    </row>
    <row r="945" spans="1:7" x14ac:dyDescent="0.2">
      <c r="A945" s="250"/>
      <c r="B945" s="250" t="s">
        <v>300</v>
      </c>
      <c r="C945" s="252"/>
      <c r="D945" s="250"/>
      <c r="E945" s="252"/>
      <c r="F945" s="250"/>
      <c r="G945" s="250">
        <v>2.98</v>
      </c>
    </row>
    <row r="946" spans="1:7" x14ac:dyDescent="0.2">
      <c r="B946" s="243" t="s">
        <v>301</v>
      </c>
      <c r="C946" s="244" t="s">
        <v>302</v>
      </c>
      <c r="D946" s="243">
        <v>80</v>
      </c>
      <c r="G946" s="243">
        <v>2.2400000000000002</v>
      </c>
    </row>
    <row r="947" spans="1:7" x14ac:dyDescent="0.2">
      <c r="B947" s="243" t="s">
        <v>327</v>
      </c>
      <c r="C947" s="244" t="s">
        <v>302</v>
      </c>
      <c r="D947" s="243">
        <v>10</v>
      </c>
      <c r="G947" s="243">
        <v>0.04</v>
      </c>
    </row>
    <row r="948" spans="1:7" x14ac:dyDescent="0.2">
      <c r="B948" s="243" t="s">
        <v>303</v>
      </c>
      <c r="C948" s="244" t="s">
        <v>302</v>
      </c>
      <c r="D948" s="243">
        <v>35</v>
      </c>
      <c r="G948" s="243">
        <v>0.7</v>
      </c>
    </row>
    <row r="950" spans="1:7" x14ac:dyDescent="0.2">
      <c r="A950" s="250"/>
      <c r="B950" s="250" t="s">
        <v>284</v>
      </c>
      <c r="C950" s="252"/>
      <c r="D950" s="250"/>
      <c r="E950" s="252"/>
      <c r="F950" s="250"/>
      <c r="G950" s="250"/>
    </row>
    <row r="951" spans="1:7" x14ac:dyDescent="0.2">
      <c r="B951" s="243" t="s">
        <v>304</v>
      </c>
      <c r="G951" s="243">
        <v>5.16</v>
      </c>
    </row>
    <row r="952" spans="1:7" x14ac:dyDescent="0.2">
      <c r="B952" s="243" t="s">
        <v>305</v>
      </c>
      <c r="G952" s="243">
        <v>2.98</v>
      </c>
    </row>
    <row r="953" spans="1:7" x14ac:dyDescent="0.2">
      <c r="B953" s="243" t="s">
        <v>306</v>
      </c>
      <c r="G953" s="243">
        <v>8.14</v>
      </c>
    </row>
    <row r="954" spans="1:7" x14ac:dyDescent="0.2">
      <c r="B954" s="243" t="s">
        <v>307</v>
      </c>
      <c r="C954" s="244" t="s">
        <v>302</v>
      </c>
      <c r="D954" s="243" t="s">
        <v>308</v>
      </c>
      <c r="G954" s="243">
        <v>0.81</v>
      </c>
    </row>
    <row r="956" spans="1:7" x14ac:dyDescent="0.2">
      <c r="A956" s="248"/>
      <c r="B956" s="248" t="s">
        <v>284</v>
      </c>
      <c r="C956" s="249"/>
      <c r="D956" s="248"/>
      <c r="E956" s="249"/>
      <c r="F956" s="248"/>
      <c r="G956" s="248">
        <v>8.9499999999999993</v>
      </c>
    </row>
    <row r="958" spans="1:7" x14ac:dyDescent="0.2">
      <c r="A958" s="248" t="s">
        <v>62</v>
      </c>
      <c r="B958" s="248"/>
      <c r="C958" s="249"/>
      <c r="D958" s="248"/>
      <c r="E958" s="249"/>
      <c r="F958" s="248"/>
      <c r="G958" s="248"/>
    </row>
    <row r="959" spans="1:7" x14ac:dyDescent="0.2">
      <c r="A959" s="250" t="s">
        <v>398</v>
      </c>
      <c r="G959" s="251" t="s">
        <v>313</v>
      </c>
    </row>
    <row r="961" spans="1:7" x14ac:dyDescent="0.2">
      <c r="A961" s="250"/>
      <c r="B961" s="250" t="s">
        <v>324</v>
      </c>
      <c r="C961" s="252"/>
      <c r="D961" s="250"/>
      <c r="E961" s="252"/>
      <c r="F961" s="250"/>
      <c r="G961" s="250">
        <v>3.64</v>
      </c>
    </row>
    <row r="962" spans="1:7" x14ac:dyDescent="0.2">
      <c r="A962" s="243" t="s">
        <v>295</v>
      </c>
      <c r="B962" s="243" t="s">
        <v>399</v>
      </c>
      <c r="C962" s="244" t="s">
        <v>330</v>
      </c>
      <c r="D962" s="253">
        <v>0.4</v>
      </c>
      <c r="E962" s="254">
        <v>1</v>
      </c>
      <c r="F962" s="243">
        <v>9.1</v>
      </c>
      <c r="G962" s="243">
        <v>3.64</v>
      </c>
    </row>
    <row r="964" spans="1:7" x14ac:dyDescent="0.2">
      <c r="A964" s="250"/>
      <c r="B964" s="250" t="s">
        <v>294</v>
      </c>
      <c r="C964" s="252"/>
      <c r="D964" s="250"/>
      <c r="E964" s="252"/>
      <c r="F964" s="250"/>
      <c r="G964" s="250">
        <v>3.66</v>
      </c>
    </row>
    <row r="965" spans="1:7" x14ac:dyDescent="0.2">
      <c r="A965" s="243" t="s">
        <v>295</v>
      </c>
      <c r="B965" s="243" t="s">
        <v>400</v>
      </c>
      <c r="C965" s="244" t="s">
        <v>297</v>
      </c>
      <c r="D965" s="253">
        <v>1.2E-2</v>
      </c>
      <c r="E965" s="254">
        <v>1</v>
      </c>
      <c r="F965" s="243">
        <v>150</v>
      </c>
      <c r="G965" s="243">
        <v>1.8</v>
      </c>
    </row>
    <row r="966" spans="1:7" x14ac:dyDescent="0.2">
      <c r="A966" s="243" t="s">
        <v>295</v>
      </c>
      <c r="B966" s="243" t="s">
        <v>502</v>
      </c>
      <c r="C966" s="244" t="s">
        <v>297</v>
      </c>
      <c r="D966" s="253">
        <v>0.01</v>
      </c>
      <c r="E966" s="254">
        <v>1</v>
      </c>
      <c r="F966" s="243">
        <v>150</v>
      </c>
      <c r="G966" s="243">
        <v>1.5</v>
      </c>
    </row>
    <row r="967" spans="1:7" x14ac:dyDescent="0.2">
      <c r="A967" s="243" t="s">
        <v>295</v>
      </c>
      <c r="B967" s="243" t="s">
        <v>503</v>
      </c>
      <c r="C967" s="244" t="s">
        <v>297</v>
      </c>
      <c r="D967" s="253">
        <v>1.21E-2</v>
      </c>
      <c r="E967" s="254">
        <v>1</v>
      </c>
      <c r="F967" s="243">
        <v>30</v>
      </c>
      <c r="G967" s="243">
        <v>0.36</v>
      </c>
    </row>
    <row r="969" spans="1:7" x14ac:dyDescent="0.2">
      <c r="A969" s="250"/>
      <c r="B969" s="250" t="s">
        <v>298</v>
      </c>
      <c r="C969" s="252"/>
      <c r="D969" s="255">
        <v>0.46</v>
      </c>
      <c r="E969" s="252"/>
      <c r="F969" s="250"/>
      <c r="G969" s="250">
        <v>4.5999999999999996</v>
      </c>
    </row>
    <row r="970" spans="1:7" x14ac:dyDescent="0.2">
      <c r="A970" s="243" t="s">
        <v>295</v>
      </c>
      <c r="B970" s="243" t="s">
        <v>521</v>
      </c>
      <c r="C970" s="244" t="s">
        <v>299</v>
      </c>
      <c r="D970" s="253">
        <v>0.46</v>
      </c>
      <c r="E970" s="254">
        <v>1</v>
      </c>
      <c r="F970" s="243">
        <v>10</v>
      </c>
      <c r="G970" s="243">
        <v>4.5999999999999996</v>
      </c>
    </row>
    <row r="972" spans="1:7" x14ac:dyDescent="0.2">
      <c r="A972" s="250"/>
      <c r="B972" s="250" t="s">
        <v>300</v>
      </c>
      <c r="C972" s="252"/>
      <c r="D972" s="250"/>
      <c r="E972" s="252"/>
      <c r="F972" s="250"/>
      <c r="G972" s="250">
        <v>5.32</v>
      </c>
    </row>
    <row r="973" spans="1:7" x14ac:dyDescent="0.2">
      <c r="B973" s="243" t="s">
        <v>301</v>
      </c>
      <c r="C973" s="244" t="s">
        <v>302</v>
      </c>
      <c r="D973" s="243">
        <v>80</v>
      </c>
      <c r="G973" s="243">
        <v>3.68</v>
      </c>
    </row>
    <row r="974" spans="1:7" x14ac:dyDescent="0.2">
      <c r="B974" s="243" t="s">
        <v>327</v>
      </c>
      <c r="C974" s="244" t="s">
        <v>302</v>
      </c>
      <c r="D974" s="243">
        <v>10</v>
      </c>
      <c r="G974" s="243">
        <v>0.36</v>
      </c>
    </row>
    <row r="975" spans="1:7" x14ac:dyDescent="0.2">
      <c r="B975" s="243" t="s">
        <v>303</v>
      </c>
      <c r="C975" s="244" t="s">
        <v>302</v>
      </c>
      <c r="D975" s="243">
        <v>35</v>
      </c>
      <c r="G975" s="243">
        <v>1.28</v>
      </c>
    </row>
    <row r="977" spans="1:7" x14ac:dyDescent="0.2">
      <c r="A977" s="250"/>
      <c r="B977" s="250" t="s">
        <v>284</v>
      </c>
      <c r="C977" s="252"/>
      <c r="D977" s="250"/>
      <c r="E977" s="252"/>
      <c r="F977" s="250"/>
      <c r="G977" s="250"/>
    </row>
    <row r="978" spans="1:7" x14ac:dyDescent="0.2">
      <c r="B978" s="243" t="s">
        <v>304</v>
      </c>
      <c r="G978" s="243">
        <v>11.9</v>
      </c>
    </row>
    <row r="979" spans="1:7" x14ac:dyDescent="0.2">
      <c r="B979" s="243" t="s">
        <v>305</v>
      </c>
      <c r="G979" s="243">
        <v>5.32</v>
      </c>
    </row>
    <row r="980" spans="1:7" x14ac:dyDescent="0.2">
      <c r="B980" s="243" t="s">
        <v>306</v>
      </c>
      <c r="G980" s="243">
        <v>17.22</v>
      </c>
    </row>
    <row r="981" spans="1:7" x14ac:dyDescent="0.2">
      <c r="B981" s="243" t="s">
        <v>307</v>
      </c>
      <c r="C981" s="244" t="s">
        <v>302</v>
      </c>
      <c r="D981" s="243" t="s">
        <v>308</v>
      </c>
      <c r="G981" s="243">
        <v>1.72</v>
      </c>
    </row>
    <row r="983" spans="1:7" x14ac:dyDescent="0.2">
      <c r="A983" s="248"/>
      <c r="B983" s="248" t="s">
        <v>284</v>
      </c>
      <c r="C983" s="249"/>
      <c r="D983" s="248"/>
      <c r="E983" s="249"/>
      <c r="F983" s="248"/>
      <c r="G983" s="248">
        <v>18.940000000000001</v>
      </c>
    </row>
    <row r="985" spans="1:7" x14ac:dyDescent="0.2">
      <c r="A985" s="248" t="s">
        <v>63</v>
      </c>
      <c r="B985" s="248"/>
      <c r="C985" s="249"/>
      <c r="D985" s="248"/>
      <c r="E985" s="249"/>
      <c r="F985" s="248"/>
      <c r="G985" s="248"/>
    </row>
    <row r="986" spans="1:7" x14ac:dyDescent="0.2">
      <c r="A986" s="250" t="s">
        <v>401</v>
      </c>
      <c r="G986" s="251" t="s">
        <v>310</v>
      </c>
    </row>
    <row r="988" spans="1:7" x14ac:dyDescent="0.2">
      <c r="A988" s="250"/>
      <c r="B988" s="250" t="s">
        <v>324</v>
      </c>
      <c r="C988" s="252"/>
      <c r="D988" s="250"/>
      <c r="E988" s="252"/>
      <c r="F988" s="250"/>
      <c r="G988" s="250">
        <v>0.88</v>
      </c>
    </row>
    <row r="989" spans="1:7" x14ac:dyDescent="0.2">
      <c r="A989" s="243" t="s">
        <v>295</v>
      </c>
      <c r="B989" s="243" t="s">
        <v>504</v>
      </c>
      <c r="C989" s="244" t="s">
        <v>499</v>
      </c>
      <c r="D989" s="253">
        <v>8.0000000000000002E-3</v>
      </c>
      <c r="E989" s="254">
        <v>1</v>
      </c>
      <c r="F989" s="243">
        <v>110</v>
      </c>
      <c r="G989" s="243">
        <v>0.88</v>
      </c>
    </row>
    <row r="991" spans="1:7" x14ac:dyDescent="0.2">
      <c r="A991" s="250"/>
      <c r="B991" s="250" t="s">
        <v>294</v>
      </c>
      <c r="C991" s="252"/>
      <c r="D991" s="250"/>
      <c r="E991" s="252"/>
      <c r="F991" s="250"/>
      <c r="G991" s="250">
        <v>0.37</v>
      </c>
    </row>
    <row r="992" spans="1:7" x14ac:dyDescent="0.2">
      <c r="A992" s="243" t="s">
        <v>295</v>
      </c>
      <c r="B992" s="243" t="s">
        <v>402</v>
      </c>
      <c r="C992" s="244" t="s">
        <v>297</v>
      </c>
      <c r="D992" s="253">
        <v>6.9999999999999999E-4</v>
      </c>
      <c r="E992" s="254">
        <v>1</v>
      </c>
      <c r="F992" s="243">
        <v>100</v>
      </c>
      <c r="G992" s="243">
        <v>7.0000000000000007E-2</v>
      </c>
    </row>
    <row r="993" spans="1:7" x14ac:dyDescent="0.2">
      <c r="A993" s="243" t="s">
        <v>295</v>
      </c>
      <c r="B993" s="243" t="s">
        <v>505</v>
      </c>
      <c r="C993" s="244" t="s">
        <v>297</v>
      </c>
      <c r="D993" s="253">
        <v>5.0000000000000001E-3</v>
      </c>
      <c r="E993" s="254">
        <v>1</v>
      </c>
      <c r="F993" s="243">
        <v>50</v>
      </c>
      <c r="G993" s="243">
        <v>0.25</v>
      </c>
    </row>
    <row r="994" spans="1:7" x14ac:dyDescent="0.2">
      <c r="A994" s="243" t="s">
        <v>295</v>
      </c>
      <c r="B994" s="243" t="s">
        <v>506</v>
      </c>
      <c r="C994" s="244" t="s">
        <v>297</v>
      </c>
      <c r="D994" s="253">
        <v>1E-3</v>
      </c>
      <c r="E994" s="254">
        <v>1</v>
      </c>
      <c r="F994" s="243">
        <v>50</v>
      </c>
      <c r="G994" s="243">
        <v>0.05</v>
      </c>
    </row>
    <row r="996" spans="1:7" x14ac:dyDescent="0.2">
      <c r="A996" s="250"/>
      <c r="B996" s="250" t="s">
        <v>298</v>
      </c>
      <c r="C996" s="252"/>
      <c r="D996" s="255">
        <v>8.0000000000000002E-3</v>
      </c>
      <c r="E996" s="252"/>
      <c r="F996" s="250"/>
      <c r="G996" s="250">
        <v>0.08</v>
      </c>
    </row>
    <row r="997" spans="1:7" x14ac:dyDescent="0.2">
      <c r="A997" s="243" t="s">
        <v>295</v>
      </c>
      <c r="B997" s="243" t="s">
        <v>521</v>
      </c>
      <c r="C997" s="244" t="s">
        <v>299</v>
      </c>
      <c r="D997" s="253">
        <v>8.0000000000000002E-3</v>
      </c>
      <c r="E997" s="254">
        <v>1</v>
      </c>
      <c r="F997" s="243">
        <v>10</v>
      </c>
      <c r="G997" s="243">
        <v>0.08</v>
      </c>
    </row>
    <row r="999" spans="1:7" x14ac:dyDescent="0.2">
      <c r="A999" s="250"/>
      <c r="B999" s="250" t="s">
        <v>300</v>
      </c>
      <c r="C999" s="252"/>
      <c r="D999" s="250"/>
      <c r="E999" s="252"/>
      <c r="F999" s="250"/>
      <c r="G999" s="250">
        <v>0.28000000000000003</v>
      </c>
    </row>
    <row r="1000" spans="1:7" x14ac:dyDescent="0.2">
      <c r="B1000" s="243" t="s">
        <v>301</v>
      </c>
      <c r="C1000" s="244" t="s">
        <v>302</v>
      </c>
      <c r="D1000" s="243">
        <v>80</v>
      </c>
      <c r="G1000" s="243">
        <v>0.06</v>
      </c>
    </row>
    <row r="1001" spans="1:7" x14ac:dyDescent="0.2">
      <c r="B1001" s="243" t="s">
        <v>327</v>
      </c>
      <c r="C1001" s="244" t="s">
        <v>302</v>
      </c>
      <c r="D1001" s="243">
        <v>10</v>
      </c>
      <c r="G1001" s="243">
        <v>0.09</v>
      </c>
    </row>
    <row r="1002" spans="1:7" x14ac:dyDescent="0.2">
      <c r="B1002" s="243" t="s">
        <v>303</v>
      </c>
      <c r="C1002" s="244" t="s">
        <v>302</v>
      </c>
      <c r="D1002" s="243">
        <v>35</v>
      </c>
      <c r="G1002" s="243">
        <v>0.13</v>
      </c>
    </row>
    <row r="1004" spans="1:7" x14ac:dyDescent="0.2">
      <c r="A1004" s="250"/>
      <c r="B1004" s="250" t="s">
        <v>284</v>
      </c>
      <c r="C1004" s="252"/>
      <c r="D1004" s="250"/>
      <c r="E1004" s="252"/>
      <c r="F1004" s="250"/>
      <c r="G1004" s="250"/>
    </row>
    <row r="1005" spans="1:7" x14ac:dyDescent="0.2">
      <c r="B1005" s="243" t="s">
        <v>304</v>
      </c>
      <c r="G1005" s="243">
        <v>1.33</v>
      </c>
    </row>
    <row r="1006" spans="1:7" x14ac:dyDescent="0.2">
      <c r="B1006" s="243" t="s">
        <v>305</v>
      </c>
      <c r="G1006" s="243">
        <v>0.28000000000000003</v>
      </c>
    </row>
    <row r="1007" spans="1:7" x14ac:dyDescent="0.2">
      <c r="B1007" s="243" t="s">
        <v>306</v>
      </c>
      <c r="G1007" s="243">
        <v>1.61</v>
      </c>
    </row>
    <row r="1008" spans="1:7" x14ac:dyDescent="0.2">
      <c r="B1008" s="243" t="s">
        <v>307</v>
      </c>
      <c r="C1008" s="244" t="s">
        <v>302</v>
      </c>
      <c r="D1008" s="243" t="s">
        <v>308</v>
      </c>
      <c r="G1008" s="243">
        <v>0.16</v>
      </c>
    </row>
    <row r="1010" spans="1:7" x14ac:dyDescent="0.2">
      <c r="A1010" s="248"/>
      <c r="B1010" s="248" t="s">
        <v>284</v>
      </c>
      <c r="C1010" s="249"/>
      <c r="D1010" s="248"/>
      <c r="E1010" s="249"/>
      <c r="F1010" s="248"/>
      <c r="G1010" s="248">
        <v>1.77</v>
      </c>
    </row>
    <row r="1012" spans="1:7" x14ac:dyDescent="0.2">
      <c r="A1012" s="248" t="s">
        <v>134</v>
      </c>
      <c r="B1012" s="248"/>
      <c r="C1012" s="249"/>
      <c r="D1012" s="248"/>
      <c r="E1012" s="249"/>
      <c r="F1012" s="248"/>
      <c r="G1012" s="248"/>
    </row>
    <row r="1013" spans="1:7" x14ac:dyDescent="0.2">
      <c r="A1013" s="250" t="s">
        <v>403</v>
      </c>
      <c r="G1013" s="251" t="s">
        <v>404</v>
      </c>
    </row>
    <row r="1015" spans="1:7" x14ac:dyDescent="0.2">
      <c r="A1015" s="250"/>
      <c r="B1015" s="250" t="s">
        <v>324</v>
      </c>
      <c r="C1015" s="252"/>
      <c r="D1015" s="250"/>
      <c r="E1015" s="252"/>
      <c r="F1015" s="250"/>
      <c r="G1015" s="250">
        <v>82.1</v>
      </c>
    </row>
    <row r="1016" spans="1:7" x14ac:dyDescent="0.2">
      <c r="A1016" s="243" t="s">
        <v>295</v>
      </c>
      <c r="B1016" s="243" t="s">
        <v>507</v>
      </c>
      <c r="C1016" s="244" t="s">
        <v>405</v>
      </c>
      <c r="D1016" s="253">
        <v>1.0009999999999999</v>
      </c>
      <c r="E1016" s="254">
        <v>1</v>
      </c>
      <c r="F1016" s="243">
        <v>82</v>
      </c>
      <c r="G1016" s="243">
        <v>82.08</v>
      </c>
    </row>
    <row r="1017" spans="1:7" x14ac:dyDescent="0.2">
      <c r="A1017" s="243" t="s">
        <v>295</v>
      </c>
      <c r="B1017" s="243" t="s">
        <v>508</v>
      </c>
      <c r="C1017" s="244" t="s">
        <v>330</v>
      </c>
      <c r="D1017" s="253">
        <v>0.01</v>
      </c>
      <c r="E1017" s="254">
        <v>1</v>
      </c>
      <c r="F1017" s="243">
        <v>1.83</v>
      </c>
      <c r="G1017" s="243">
        <v>0.02</v>
      </c>
    </row>
    <row r="1019" spans="1:7" x14ac:dyDescent="0.2">
      <c r="A1019" s="250"/>
      <c r="B1019" s="250" t="s">
        <v>294</v>
      </c>
      <c r="C1019" s="252"/>
      <c r="D1019" s="250"/>
      <c r="E1019" s="252"/>
      <c r="F1019" s="250"/>
      <c r="G1019" s="250">
        <v>7.18</v>
      </c>
    </row>
    <row r="1020" spans="1:7" x14ac:dyDescent="0.2">
      <c r="A1020" s="243" t="s">
        <v>295</v>
      </c>
      <c r="B1020" s="243" t="s">
        <v>406</v>
      </c>
      <c r="C1020" s="244" t="s">
        <v>297</v>
      </c>
      <c r="D1020" s="253">
        <v>1.0999999999999999E-2</v>
      </c>
      <c r="E1020" s="254">
        <v>1</v>
      </c>
      <c r="F1020" s="243">
        <v>300</v>
      </c>
      <c r="G1020" s="243">
        <v>3.3</v>
      </c>
    </row>
    <row r="1021" spans="1:7" x14ac:dyDescent="0.2">
      <c r="A1021" s="243" t="s">
        <v>295</v>
      </c>
      <c r="B1021" s="243" t="s">
        <v>509</v>
      </c>
      <c r="C1021" s="244" t="s">
        <v>297</v>
      </c>
      <c r="D1021" s="253">
        <v>1.29E-2</v>
      </c>
      <c r="E1021" s="254">
        <v>1</v>
      </c>
      <c r="F1021" s="243">
        <v>150</v>
      </c>
      <c r="G1021" s="243">
        <v>1.94</v>
      </c>
    </row>
    <row r="1022" spans="1:7" x14ac:dyDescent="0.2">
      <c r="A1022" s="243" t="s">
        <v>295</v>
      </c>
      <c r="B1022" s="243" t="s">
        <v>510</v>
      </c>
      <c r="C1022" s="244" t="s">
        <v>297</v>
      </c>
      <c r="D1022" s="253">
        <v>1.29E-2</v>
      </c>
      <c r="E1022" s="254">
        <v>1</v>
      </c>
      <c r="F1022" s="243">
        <v>150</v>
      </c>
      <c r="G1022" s="243">
        <v>1.94</v>
      </c>
    </row>
    <row r="1024" spans="1:7" x14ac:dyDescent="0.2">
      <c r="A1024" s="250"/>
      <c r="B1024" s="250" t="s">
        <v>298</v>
      </c>
      <c r="C1024" s="252"/>
      <c r="D1024" s="255">
        <v>0.77600000000000002</v>
      </c>
      <c r="E1024" s="252"/>
      <c r="F1024" s="250"/>
      <c r="G1024" s="250">
        <v>7.76</v>
      </c>
    </row>
    <row r="1025" spans="1:7" x14ac:dyDescent="0.2">
      <c r="A1025" s="243" t="s">
        <v>295</v>
      </c>
      <c r="B1025" s="243" t="s">
        <v>521</v>
      </c>
      <c r="C1025" s="244" t="s">
        <v>299</v>
      </c>
      <c r="D1025" s="253">
        <v>0.27500000000000002</v>
      </c>
      <c r="E1025" s="254">
        <v>1</v>
      </c>
      <c r="F1025" s="243">
        <v>10</v>
      </c>
      <c r="G1025" s="243">
        <v>2.75</v>
      </c>
    </row>
    <row r="1026" spans="1:7" x14ac:dyDescent="0.2">
      <c r="A1026" s="243" t="s">
        <v>295</v>
      </c>
      <c r="B1026" s="243" t="s">
        <v>521</v>
      </c>
      <c r="C1026" s="244" t="s">
        <v>299</v>
      </c>
      <c r="D1026" s="253">
        <v>0.501</v>
      </c>
      <c r="E1026" s="254">
        <v>1</v>
      </c>
      <c r="F1026" s="243">
        <v>10</v>
      </c>
      <c r="G1026" s="243">
        <v>5.01</v>
      </c>
    </row>
    <row r="1028" spans="1:7" x14ac:dyDescent="0.2">
      <c r="A1028" s="250"/>
      <c r="B1028" s="250" t="s">
        <v>300</v>
      </c>
      <c r="C1028" s="252"/>
      <c r="D1028" s="250"/>
      <c r="E1028" s="252"/>
      <c r="F1028" s="250"/>
      <c r="G1028" s="250">
        <v>16.93</v>
      </c>
    </row>
    <row r="1029" spans="1:7" x14ac:dyDescent="0.2">
      <c r="B1029" s="243" t="s">
        <v>301</v>
      </c>
      <c r="C1029" s="244" t="s">
        <v>302</v>
      </c>
      <c r="D1029" s="243">
        <v>80</v>
      </c>
      <c r="G1029" s="243">
        <v>6.21</v>
      </c>
    </row>
    <row r="1030" spans="1:7" x14ac:dyDescent="0.2">
      <c r="B1030" s="243" t="s">
        <v>327</v>
      </c>
      <c r="C1030" s="244" t="s">
        <v>302</v>
      </c>
      <c r="D1030" s="243">
        <v>10</v>
      </c>
      <c r="G1030" s="243">
        <v>8.2100000000000009</v>
      </c>
    </row>
    <row r="1031" spans="1:7" x14ac:dyDescent="0.2">
      <c r="B1031" s="243" t="s">
        <v>303</v>
      </c>
      <c r="C1031" s="244" t="s">
        <v>302</v>
      </c>
      <c r="D1031" s="243">
        <v>35</v>
      </c>
      <c r="G1031" s="243">
        <v>2.5099999999999998</v>
      </c>
    </row>
    <row r="1033" spans="1:7" x14ac:dyDescent="0.2">
      <c r="A1033" s="250"/>
      <c r="B1033" s="250" t="s">
        <v>284</v>
      </c>
      <c r="C1033" s="252"/>
      <c r="D1033" s="250"/>
      <c r="E1033" s="252"/>
      <c r="F1033" s="250"/>
      <c r="G1033" s="250"/>
    </row>
    <row r="1034" spans="1:7" x14ac:dyDescent="0.2">
      <c r="B1034" s="243" t="s">
        <v>304</v>
      </c>
      <c r="G1034" s="243">
        <v>97.04</v>
      </c>
    </row>
    <row r="1035" spans="1:7" x14ac:dyDescent="0.2">
      <c r="B1035" s="243" t="s">
        <v>305</v>
      </c>
      <c r="G1035" s="243">
        <v>16.93</v>
      </c>
    </row>
    <row r="1036" spans="1:7" x14ac:dyDescent="0.2">
      <c r="B1036" s="243" t="s">
        <v>306</v>
      </c>
      <c r="G1036" s="243">
        <v>113.97</v>
      </c>
    </row>
    <row r="1037" spans="1:7" x14ac:dyDescent="0.2">
      <c r="B1037" s="243" t="s">
        <v>307</v>
      </c>
      <c r="C1037" s="244" t="s">
        <v>302</v>
      </c>
      <c r="D1037" s="243" t="s">
        <v>308</v>
      </c>
      <c r="G1037" s="243">
        <v>11.4</v>
      </c>
    </row>
    <row r="1039" spans="1:7" x14ac:dyDescent="0.2">
      <c r="A1039" s="248"/>
      <c r="B1039" s="248" t="s">
        <v>284</v>
      </c>
      <c r="C1039" s="249"/>
      <c r="D1039" s="248"/>
      <c r="E1039" s="249"/>
      <c r="F1039" s="248"/>
      <c r="G1039" s="248">
        <v>125.37</v>
      </c>
    </row>
    <row r="1041" spans="1:7" x14ac:dyDescent="0.2">
      <c r="A1041" s="248" t="s">
        <v>65</v>
      </c>
      <c r="B1041" s="248"/>
      <c r="C1041" s="249"/>
      <c r="D1041" s="248"/>
      <c r="E1041" s="249"/>
      <c r="F1041" s="248"/>
      <c r="G1041" s="248"/>
    </row>
    <row r="1042" spans="1:7" x14ac:dyDescent="0.2">
      <c r="A1042" s="250" t="s">
        <v>407</v>
      </c>
      <c r="G1042" s="251" t="s">
        <v>293</v>
      </c>
    </row>
    <row r="1044" spans="1:7" x14ac:dyDescent="0.2">
      <c r="A1044" s="250"/>
      <c r="B1044" s="250" t="s">
        <v>324</v>
      </c>
      <c r="C1044" s="252"/>
      <c r="D1044" s="250"/>
      <c r="E1044" s="252"/>
      <c r="F1044" s="250"/>
      <c r="G1044" s="250">
        <v>0.6</v>
      </c>
    </row>
    <row r="1045" spans="1:7" x14ac:dyDescent="0.2">
      <c r="A1045" s="243" t="s">
        <v>295</v>
      </c>
      <c r="B1045" s="243" t="s">
        <v>408</v>
      </c>
      <c r="C1045" s="244" t="s">
        <v>345</v>
      </c>
      <c r="D1045" s="253">
        <v>1</v>
      </c>
      <c r="E1045" s="254">
        <v>1</v>
      </c>
      <c r="F1045" s="243">
        <v>0.6</v>
      </c>
      <c r="G1045" s="243">
        <v>0.6</v>
      </c>
    </row>
    <row r="1047" spans="1:7" x14ac:dyDescent="0.2">
      <c r="A1047" s="250"/>
      <c r="B1047" s="250" t="s">
        <v>298</v>
      </c>
      <c r="C1047" s="252"/>
      <c r="D1047" s="255">
        <v>0.01</v>
      </c>
      <c r="E1047" s="252"/>
      <c r="F1047" s="250"/>
      <c r="G1047" s="250">
        <v>0.1</v>
      </c>
    </row>
    <row r="1048" spans="1:7" x14ac:dyDescent="0.2">
      <c r="A1048" s="243" t="s">
        <v>295</v>
      </c>
      <c r="B1048" s="243" t="s">
        <v>521</v>
      </c>
      <c r="C1048" s="244" t="s">
        <v>299</v>
      </c>
      <c r="D1048" s="253">
        <v>0.01</v>
      </c>
      <c r="E1048" s="254">
        <v>1</v>
      </c>
      <c r="F1048" s="243">
        <v>10</v>
      </c>
      <c r="G1048" s="243">
        <v>0.1</v>
      </c>
    </row>
    <row r="1050" spans="1:7" x14ac:dyDescent="0.2">
      <c r="A1050" s="250"/>
      <c r="B1050" s="250" t="s">
        <v>300</v>
      </c>
      <c r="C1050" s="252"/>
      <c r="D1050" s="250"/>
      <c r="E1050" s="252"/>
      <c r="F1050" s="250"/>
      <c r="G1050" s="250">
        <v>0.14000000000000001</v>
      </c>
    </row>
    <row r="1051" spans="1:7" x14ac:dyDescent="0.2">
      <c r="B1051" s="243" t="s">
        <v>301</v>
      </c>
      <c r="C1051" s="244" t="s">
        <v>302</v>
      </c>
      <c r="D1051" s="243">
        <v>80</v>
      </c>
      <c r="G1051" s="243">
        <v>0.08</v>
      </c>
    </row>
    <row r="1052" spans="1:7" x14ac:dyDescent="0.2">
      <c r="B1052" s="243" t="s">
        <v>327</v>
      </c>
      <c r="C1052" s="244" t="s">
        <v>302</v>
      </c>
      <c r="D1052" s="243">
        <v>10</v>
      </c>
      <c r="G1052" s="243">
        <v>0.06</v>
      </c>
    </row>
    <row r="1054" spans="1:7" x14ac:dyDescent="0.2">
      <c r="A1054" s="250"/>
      <c r="B1054" s="250" t="s">
        <v>284</v>
      </c>
      <c r="C1054" s="252"/>
      <c r="D1054" s="250"/>
      <c r="E1054" s="252"/>
      <c r="F1054" s="250"/>
      <c r="G1054" s="250"/>
    </row>
    <row r="1055" spans="1:7" x14ac:dyDescent="0.2">
      <c r="B1055" s="243" t="s">
        <v>304</v>
      </c>
      <c r="G1055" s="243">
        <v>0.7</v>
      </c>
    </row>
    <row r="1056" spans="1:7" x14ac:dyDescent="0.2">
      <c r="B1056" s="243" t="s">
        <v>305</v>
      </c>
      <c r="G1056" s="243">
        <v>0.14000000000000001</v>
      </c>
    </row>
    <row r="1057" spans="1:7" x14ac:dyDescent="0.2">
      <c r="B1057" s="243" t="s">
        <v>306</v>
      </c>
      <c r="G1057" s="243">
        <v>0.84</v>
      </c>
    </row>
    <row r="1058" spans="1:7" x14ac:dyDescent="0.2">
      <c r="B1058" s="243" t="s">
        <v>307</v>
      </c>
      <c r="C1058" s="244" t="s">
        <v>302</v>
      </c>
      <c r="D1058" s="243" t="s">
        <v>308</v>
      </c>
      <c r="G1058" s="243">
        <v>0.08</v>
      </c>
    </row>
    <row r="1060" spans="1:7" x14ac:dyDescent="0.2">
      <c r="A1060" s="248"/>
      <c r="B1060" s="248" t="s">
        <v>284</v>
      </c>
      <c r="C1060" s="249"/>
      <c r="D1060" s="248"/>
      <c r="E1060" s="249"/>
      <c r="F1060" s="248"/>
      <c r="G1060" s="248">
        <v>0.92</v>
      </c>
    </row>
    <row r="1062" spans="1:7" x14ac:dyDescent="0.2">
      <c r="A1062" s="248" t="s">
        <v>66</v>
      </c>
      <c r="B1062" s="248"/>
      <c r="C1062" s="249"/>
      <c r="D1062" s="248"/>
      <c r="E1062" s="249"/>
      <c r="F1062" s="248"/>
      <c r="G1062" s="248"/>
    </row>
    <row r="1063" spans="1:7" x14ac:dyDescent="0.2">
      <c r="A1063" s="250" t="s">
        <v>409</v>
      </c>
      <c r="G1063" s="251" t="s">
        <v>293</v>
      </c>
    </row>
    <row r="1065" spans="1:7" x14ac:dyDescent="0.2">
      <c r="A1065" s="250"/>
      <c r="B1065" s="250" t="s">
        <v>324</v>
      </c>
      <c r="C1065" s="252"/>
      <c r="D1065" s="250"/>
      <c r="E1065" s="252"/>
      <c r="F1065" s="250"/>
      <c r="G1065" s="250">
        <v>1</v>
      </c>
    </row>
    <row r="1066" spans="1:7" x14ac:dyDescent="0.2">
      <c r="A1066" s="243" t="s">
        <v>295</v>
      </c>
      <c r="B1066" s="243" t="s">
        <v>410</v>
      </c>
      <c r="C1066" s="244" t="s">
        <v>345</v>
      </c>
      <c r="D1066" s="253">
        <v>1</v>
      </c>
      <c r="E1066" s="254">
        <v>1</v>
      </c>
      <c r="F1066" s="243">
        <v>1</v>
      </c>
      <c r="G1066" s="243">
        <v>1</v>
      </c>
    </row>
    <row r="1068" spans="1:7" x14ac:dyDescent="0.2">
      <c r="A1068" s="250"/>
      <c r="B1068" s="250" t="s">
        <v>298</v>
      </c>
      <c r="C1068" s="252"/>
      <c r="D1068" s="255">
        <v>0.01</v>
      </c>
      <c r="E1068" s="252"/>
      <c r="F1068" s="250"/>
      <c r="G1068" s="250">
        <v>0.1</v>
      </c>
    </row>
    <row r="1069" spans="1:7" x14ac:dyDescent="0.2">
      <c r="A1069" s="243" t="s">
        <v>295</v>
      </c>
      <c r="B1069" s="243" t="s">
        <v>521</v>
      </c>
      <c r="C1069" s="244" t="s">
        <v>299</v>
      </c>
      <c r="D1069" s="253">
        <v>0.01</v>
      </c>
      <c r="E1069" s="254">
        <v>1</v>
      </c>
      <c r="F1069" s="243">
        <v>10</v>
      </c>
      <c r="G1069" s="243">
        <v>0.1</v>
      </c>
    </row>
    <row r="1071" spans="1:7" x14ac:dyDescent="0.2">
      <c r="A1071" s="250"/>
      <c r="B1071" s="250" t="s">
        <v>300</v>
      </c>
      <c r="C1071" s="252"/>
      <c r="D1071" s="250"/>
      <c r="E1071" s="252"/>
      <c r="F1071" s="250"/>
      <c r="G1071" s="250">
        <v>0.18</v>
      </c>
    </row>
    <row r="1072" spans="1:7" x14ac:dyDescent="0.2">
      <c r="B1072" s="243" t="s">
        <v>301</v>
      </c>
      <c r="C1072" s="244" t="s">
        <v>302</v>
      </c>
      <c r="D1072" s="243">
        <v>80</v>
      </c>
      <c r="G1072" s="243">
        <v>0.08</v>
      </c>
    </row>
    <row r="1073" spans="1:7" x14ac:dyDescent="0.2">
      <c r="B1073" s="243" t="s">
        <v>327</v>
      </c>
      <c r="C1073" s="244" t="s">
        <v>302</v>
      </c>
      <c r="D1073" s="243">
        <v>10</v>
      </c>
      <c r="G1073" s="243">
        <v>0.1</v>
      </c>
    </row>
    <row r="1075" spans="1:7" x14ac:dyDescent="0.2">
      <c r="A1075" s="250"/>
      <c r="B1075" s="250" t="s">
        <v>284</v>
      </c>
      <c r="C1075" s="252"/>
      <c r="D1075" s="250"/>
      <c r="E1075" s="252"/>
      <c r="F1075" s="250"/>
      <c r="G1075" s="250"/>
    </row>
    <row r="1076" spans="1:7" x14ac:dyDescent="0.2">
      <c r="B1076" s="243" t="s">
        <v>304</v>
      </c>
      <c r="G1076" s="243">
        <v>1.1000000000000001</v>
      </c>
    </row>
    <row r="1077" spans="1:7" x14ac:dyDescent="0.2">
      <c r="B1077" s="243" t="s">
        <v>305</v>
      </c>
      <c r="G1077" s="243">
        <v>0.18</v>
      </c>
    </row>
    <row r="1078" spans="1:7" x14ac:dyDescent="0.2">
      <c r="B1078" s="243" t="s">
        <v>306</v>
      </c>
      <c r="G1078" s="243">
        <v>1.28</v>
      </c>
    </row>
    <row r="1079" spans="1:7" x14ac:dyDescent="0.2">
      <c r="B1079" s="243" t="s">
        <v>307</v>
      </c>
      <c r="C1079" s="244" t="s">
        <v>302</v>
      </c>
      <c r="D1079" s="243" t="s">
        <v>308</v>
      </c>
      <c r="G1079" s="243">
        <v>0.13</v>
      </c>
    </row>
    <row r="1081" spans="1:7" x14ac:dyDescent="0.2">
      <c r="A1081" s="248"/>
      <c r="B1081" s="248" t="s">
        <v>284</v>
      </c>
      <c r="C1081" s="249"/>
      <c r="D1081" s="248"/>
      <c r="E1081" s="249"/>
      <c r="F1081" s="248"/>
      <c r="G1081" s="248">
        <v>1.41</v>
      </c>
    </row>
    <row r="1083" spans="1:7" x14ac:dyDescent="0.2">
      <c r="A1083" s="248" t="s">
        <v>69</v>
      </c>
      <c r="B1083" s="248"/>
      <c r="C1083" s="249"/>
      <c r="D1083" s="248"/>
      <c r="E1083" s="249"/>
      <c r="F1083" s="248"/>
      <c r="G1083" s="248"/>
    </row>
    <row r="1084" spans="1:7" x14ac:dyDescent="0.2">
      <c r="A1084" s="250" t="s">
        <v>411</v>
      </c>
      <c r="G1084" s="251" t="s">
        <v>313</v>
      </c>
    </row>
    <row r="1086" spans="1:7" x14ac:dyDescent="0.2">
      <c r="A1086" s="250"/>
      <c r="B1086" s="250" t="s">
        <v>294</v>
      </c>
      <c r="C1086" s="252"/>
      <c r="D1086" s="250"/>
      <c r="E1086" s="252"/>
      <c r="F1086" s="250"/>
      <c r="G1086" s="250">
        <v>5.25</v>
      </c>
    </row>
    <row r="1087" spans="1:7" x14ac:dyDescent="0.2">
      <c r="A1087" s="243" t="s">
        <v>295</v>
      </c>
      <c r="B1087" s="243" t="s">
        <v>314</v>
      </c>
      <c r="C1087" s="244" t="s">
        <v>297</v>
      </c>
      <c r="D1087" s="253">
        <v>2.1000000000000001E-2</v>
      </c>
      <c r="E1087" s="254">
        <v>1</v>
      </c>
      <c r="F1087" s="243">
        <v>250</v>
      </c>
      <c r="G1087" s="243">
        <v>5.25</v>
      </c>
    </row>
    <row r="1089" spans="1:7" x14ac:dyDescent="0.2">
      <c r="A1089" s="250"/>
      <c r="B1089" s="250" t="s">
        <v>300</v>
      </c>
      <c r="C1089" s="252"/>
      <c r="D1089" s="250"/>
      <c r="E1089" s="252"/>
      <c r="F1089" s="250"/>
      <c r="G1089" s="250">
        <v>1.84</v>
      </c>
    </row>
    <row r="1090" spans="1:7" x14ac:dyDescent="0.2">
      <c r="B1090" s="243" t="s">
        <v>303</v>
      </c>
      <c r="C1090" s="244" t="s">
        <v>302</v>
      </c>
      <c r="D1090" s="243">
        <v>35</v>
      </c>
      <c r="G1090" s="243">
        <v>1.84</v>
      </c>
    </row>
    <row r="1092" spans="1:7" x14ac:dyDescent="0.2">
      <c r="A1092" s="250"/>
      <c r="B1092" s="250" t="s">
        <v>284</v>
      </c>
      <c r="C1092" s="252"/>
      <c r="D1092" s="250"/>
      <c r="E1092" s="252"/>
      <c r="F1092" s="250"/>
      <c r="G1092" s="250"/>
    </row>
    <row r="1093" spans="1:7" x14ac:dyDescent="0.2">
      <c r="B1093" s="243" t="s">
        <v>304</v>
      </c>
      <c r="G1093" s="243">
        <v>5.25</v>
      </c>
    </row>
    <row r="1094" spans="1:7" x14ac:dyDescent="0.2">
      <c r="B1094" s="243" t="s">
        <v>305</v>
      </c>
      <c r="G1094" s="243">
        <v>1.84</v>
      </c>
    </row>
    <row r="1095" spans="1:7" x14ac:dyDescent="0.2">
      <c r="B1095" s="243" t="s">
        <v>306</v>
      </c>
      <c r="G1095" s="243">
        <v>7.09</v>
      </c>
    </row>
    <row r="1096" spans="1:7" x14ac:dyDescent="0.2">
      <c r="B1096" s="243" t="s">
        <v>307</v>
      </c>
      <c r="C1096" s="244" t="s">
        <v>302</v>
      </c>
      <c r="D1096" s="243" t="s">
        <v>308</v>
      </c>
      <c r="G1096" s="243">
        <v>0.71</v>
      </c>
    </row>
    <row r="1098" spans="1:7" x14ac:dyDescent="0.2">
      <c r="A1098" s="248"/>
      <c r="B1098" s="248" t="s">
        <v>284</v>
      </c>
      <c r="C1098" s="249"/>
      <c r="D1098" s="248"/>
      <c r="E1098" s="249"/>
      <c r="F1098" s="248"/>
      <c r="G1098" s="248">
        <v>7.8</v>
      </c>
    </row>
    <row r="1100" spans="1:7" x14ac:dyDescent="0.2">
      <c r="A1100" s="248" t="s">
        <v>70</v>
      </c>
      <c r="B1100" s="248"/>
      <c r="C1100" s="249"/>
      <c r="D1100" s="248"/>
      <c r="E1100" s="249"/>
      <c r="F1100" s="248"/>
      <c r="G1100" s="248"/>
    </row>
    <row r="1101" spans="1:7" x14ac:dyDescent="0.2">
      <c r="A1101" s="250" t="s">
        <v>412</v>
      </c>
      <c r="G1101" s="251" t="s">
        <v>313</v>
      </c>
    </row>
    <row r="1103" spans="1:7" x14ac:dyDescent="0.2">
      <c r="A1103" s="250"/>
      <c r="B1103" s="250" t="s">
        <v>298</v>
      </c>
      <c r="C1103" s="252"/>
      <c r="D1103" s="255">
        <v>0.84</v>
      </c>
      <c r="E1103" s="252"/>
      <c r="F1103" s="250"/>
      <c r="G1103" s="250">
        <v>8.4</v>
      </c>
    </row>
    <row r="1104" spans="1:7" x14ac:dyDescent="0.2">
      <c r="A1104" s="243" t="s">
        <v>295</v>
      </c>
      <c r="B1104" s="243" t="s">
        <v>521</v>
      </c>
      <c r="C1104" s="244" t="s">
        <v>299</v>
      </c>
      <c r="D1104" s="253">
        <v>0.42</v>
      </c>
      <c r="E1104" s="254">
        <v>1</v>
      </c>
      <c r="F1104" s="243">
        <v>10</v>
      </c>
      <c r="G1104" s="243">
        <v>4.2</v>
      </c>
    </row>
    <row r="1105" spans="1:7" x14ac:dyDescent="0.2">
      <c r="A1105" s="243" t="s">
        <v>295</v>
      </c>
      <c r="B1105" s="243" t="s">
        <v>521</v>
      </c>
      <c r="C1105" s="244" t="s">
        <v>299</v>
      </c>
      <c r="D1105" s="253">
        <v>0.42</v>
      </c>
      <c r="E1105" s="254">
        <v>1</v>
      </c>
      <c r="F1105" s="243">
        <v>10</v>
      </c>
      <c r="G1105" s="243">
        <v>4.2</v>
      </c>
    </row>
    <row r="1107" spans="1:7" x14ac:dyDescent="0.2">
      <c r="A1107" s="250"/>
      <c r="B1107" s="250" t="s">
        <v>300</v>
      </c>
      <c r="C1107" s="252"/>
      <c r="D1107" s="250"/>
      <c r="E1107" s="252"/>
      <c r="F1107" s="250"/>
      <c r="G1107" s="250">
        <v>6.72</v>
      </c>
    </row>
    <row r="1108" spans="1:7" x14ac:dyDescent="0.2">
      <c r="B1108" s="243" t="s">
        <v>301</v>
      </c>
      <c r="C1108" s="244" t="s">
        <v>302</v>
      </c>
      <c r="D1108" s="243">
        <v>80</v>
      </c>
      <c r="G1108" s="243">
        <v>6.72</v>
      </c>
    </row>
    <row r="1110" spans="1:7" x14ac:dyDescent="0.2">
      <c r="A1110" s="250"/>
      <c r="B1110" s="250" t="s">
        <v>284</v>
      </c>
      <c r="C1110" s="252"/>
      <c r="D1110" s="250"/>
      <c r="E1110" s="252"/>
      <c r="F1110" s="250"/>
      <c r="G1110" s="250"/>
    </row>
    <row r="1111" spans="1:7" x14ac:dyDescent="0.2">
      <c r="B1111" s="243" t="s">
        <v>304</v>
      </c>
      <c r="G1111" s="243">
        <v>8.4</v>
      </c>
    </row>
    <row r="1112" spans="1:7" x14ac:dyDescent="0.2">
      <c r="B1112" s="243" t="s">
        <v>305</v>
      </c>
      <c r="G1112" s="243">
        <v>6.72</v>
      </c>
    </row>
    <row r="1113" spans="1:7" x14ac:dyDescent="0.2">
      <c r="B1113" s="243" t="s">
        <v>306</v>
      </c>
      <c r="G1113" s="243">
        <v>15.12</v>
      </c>
    </row>
    <row r="1114" spans="1:7" x14ac:dyDescent="0.2">
      <c r="B1114" s="243" t="s">
        <v>307</v>
      </c>
      <c r="C1114" s="244" t="s">
        <v>302</v>
      </c>
      <c r="D1114" s="243" t="s">
        <v>308</v>
      </c>
      <c r="G1114" s="243">
        <v>1.51</v>
      </c>
    </row>
    <row r="1116" spans="1:7" x14ac:dyDescent="0.2">
      <c r="A1116" s="248"/>
      <c r="B1116" s="248" t="s">
        <v>284</v>
      </c>
      <c r="C1116" s="249"/>
      <c r="D1116" s="248"/>
      <c r="E1116" s="249"/>
      <c r="F1116" s="248"/>
      <c r="G1116" s="248">
        <v>16.63</v>
      </c>
    </row>
    <row r="1118" spans="1:7" x14ac:dyDescent="0.2">
      <c r="A1118" s="248" t="s">
        <v>71</v>
      </c>
      <c r="B1118" s="248"/>
      <c r="C1118" s="249"/>
      <c r="D1118" s="248"/>
      <c r="E1118" s="249"/>
      <c r="F1118" s="248"/>
      <c r="G1118" s="248"/>
    </row>
    <row r="1119" spans="1:7" x14ac:dyDescent="0.2">
      <c r="A1119" s="250" t="s">
        <v>413</v>
      </c>
      <c r="G1119" s="251" t="s">
        <v>310</v>
      </c>
    </row>
    <row r="1121" spans="1:7" x14ac:dyDescent="0.2">
      <c r="A1121" s="250"/>
      <c r="B1121" s="250" t="s">
        <v>294</v>
      </c>
      <c r="C1121" s="252"/>
      <c r="D1121" s="250"/>
      <c r="E1121" s="252"/>
      <c r="F1121" s="250"/>
      <c r="G1121" s="250">
        <v>2.5</v>
      </c>
    </row>
    <row r="1122" spans="1:7" x14ac:dyDescent="0.2">
      <c r="A1122" s="243" t="s">
        <v>295</v>
      </c>
      <c r="B1122" s="243" t="s">
        <v>318</v>
      </c>
      <c r="C1122" s="244" t="s">
        <v>297</v>
      </c>
      <c r="D1122" s="253">
        <v>0.01</v>
      </c>
      <c r="E1122" s="254">
        <v>1</v>
      </c>
      <c r="F1122" s="243">
        <v>250</v>
      </c>
      <c r="G1122" s="243">
        <v>2.5</v>
      </c>
    </row>
    <row r="1124" spans="1:7" x14ac:dyDescent="0.2">
      <c r="A1124" s="250"/>
      <c r="B1124" s="250" t="s">
        <v>298</v>
      </c>
      <c r="C1124" s="252"/>
      <c r="D1124" s="255">
        <v>0.12</v>
      </c>
      <c r="E1124" s="252"/>
      <c r="F1124" s="250"/>
      <c r="G1124" s="250">
        <v>1.2</v>
      </c>
    </row>
    <row r="1125" spans="1:7" x14ac:dyDescent="0.2">
      <c r="A1125" s="243" t="s">
        <v>295</v>
      </c>
      <c r="B1125" s="243" t="s">
        <v>521</v>
      </c>
      <c r="C1125" s="244" t="s">
        <v>299</v>
      </c>
      <c r="D1125" s="253">
        <v>0.12</v>
      </c>
      <c r="E1125" s="254">
        <v>1</v>
      </c>
      <c r="F1125" s="243">
        <v>10</v>
      </c>
      <c r="G1125" s="243">
        <v>1.2</v>
      </c>
    </row>
    <row r="1127" spans="1:7" x14ac:dyDescent="0.2">
      <c r="A1127" s="250"/>
      <c r="B1127" s="250" t="s">
        <v>300</v>
      </c>
      <c r="C1127" s="252"/>
      <c r="D1127" s="250"/>
      <c r="E1127" s="252"/>
      <c r="F1127" s="250"/>
      <c r="G1127" s="250">
        <v>1.84</v>
      </c>
    </row>
    <row r="1128" spans="1:7" x14ac:dyDescent="0.2">
      <c r="B1128" s="243" t="s">
        <v>301</v>
      </c>
      <c r="C1128" s="244" t="s">
        <v>302</v>
      </c>
      <c r="D1128" s="243">
        <v>80</v>
      </c>
      <c r="G1128" s="243">
        <v>0.96</v>
      </c>
    </row>
    <row r="1129" spans="1:7" x14ac:dyDescent="0.2">
      <c r="B1129" s="243" t="s">
        <v>303</v>
      </c>
      <c r="C1129" s="244" t="s">
        <v>302</v>
      </c>
      <c r="D1129" s="243">
        <v>35</v>
      </c>
      <c r="G1129" s="243">
        <v>0.88</v>
      </c>
    </row>
    <row r="1131" spans="1:7" x14ac:dyDescent="0.2">
      <c r="A1131" s="250"/>
      <c r="B1131" s="250" t="s">
        <v>284</v>
      </c>
      <c r="C1131" s="252"/>
      <c r="D1131" s="250"/>
      <c r="E1131" s="252"/>
      <c r="F1131" s="250"/>
      <c r="G1131" s="250"/>
    </row>
    <row r="1132" spans="1:7" x14ac:dyDescent="0.2">
      <c r="B1132" s="243" t="s">
        <v>304</v>
      </c>
      <c r="G1132" s="243">
        <v>3.7</v>
      </c>
    </row>
    <row r="1133" spans="1:7" x14ac:dyDescent="0.2">
      <c r="B1133" s="243" t="s">
        <v>305</v>
      </c>
      <c r="G1133" s="243">
        <v>1.84</v>
      </c>
    </row>
    <row r="1134" spans="1:7" x14ac:dyDescent="0.2">
      <c r="B1134" s="243" t="s">
        <v>306</v>
      </c>
      <c r="G1134" s="243">
        <v>5.54</v>
      </c>
    </row>
    <row r="1135" spans="1:7" x14ac:dyDescent="0.2">
      <c r="B1135" s="243" t="s">
        <v>307</v>
      </c>
      <c r="C1135" s="244" t="s">
        <v>302</v>
      </c>
      <c r="D1135" s="243" t="s">
        <v>308</v>
      </c>
      <c r="G1135" s="243">
        <v>0.55000000000000004</v>
      </c>
    </row>
    <row r="1137" spans="1:7" x14ac:dyDescent="0.2">
      <c r="A1137" s="248"/>
      <c r="B1137" s="248" t="s">
        <v>284</v>
      </c>
      <c r="C1137" s="249"/>
      <c r="D1137" s="248"/>
      <c r="E1137" s="249"/>
      <c r="F1137" s="248"/>
      <c r="G1137" s="248">
        <v>6.09</v>
      </c>
    </row>
    <row r="1139" spans="1:7" x14ac:dyDescent="0.2">
      <c r="A1139" s="248" t="s">
        <v>72</v>
      </c>
      <c r="B1139" s="248"/>
      <c r="C1139" s="249"/>
      <c r="D1139" s="248"/>
      <c r="E1139" s="249"/>
      <c r="F1139" s="248"/>
      <c r="G1139" s="248"/>
    </row>
    <row r="1140" spans="1:7" x14ac:dyDescent="0.2">
      <c r="A1140" s="250" t="s">
        <v>414</v>
      </c>
      <c r="G1140" s="251" t="s">
        <v>313</v>
      </c>
    </row>
    <row r="1142" spans="1:7" x14ac:dyDescent="0.2">
      <c r="A1142" s="250"/>
      <c r="B1142" s="250" t="s">
        <v>294</v>
      </c>
      <c r="C1142" s="252"/>
      <c r="D1142" s="250"/>
      <c r="E1142" s="252"/>
      <c r="F1142" s="250"/>
      <c r="G1142" s="250">
        <v>1.1000000000000001</v>
      </c>
    </row>
    <row r="1143" spans="1:7" x14ac:dyDescent="0.2">
      <c r="A1143" s="243" t="s">
        <v>295</v>
      </c>
      <c r="B1143" s="243" t="s">
        <v>318</v>
      </c>
      <c r="C1143" s="244" t="s">
        <v>297</v>
      </c>
      <c r="D1143" s="253">
        <v>4.4000000000000003E-3</v>
      </c>
      <c r="E1143" s="254">
        <v>1</v>
      </c>
      <c r="F1143" s="243">
        <v>250</v>
      </c>
      <c r="G1143" s="243">
        <v>1.1000000000000001</v>
      </c>
    </row>
    <row r="1145" spans="1:7" x14ac:dyDescent="0.2">
      <c r="A1145" s="250"/>
      <c r="B1145" s="250" t="s">
        <v>300</v>
      </c>
      <c r="C1145" s="252"/>
      <c r="D1145" s="250"/>
      <c r="E1145" s="252"/>
      <c r="F1145" s="250"/>
      <c r="G1145" s="250">
        <v>0.39</v>
      </c>
    </row>
    <row r="1146" spans="1:7" x14ac:dyDescent="0.2">
      <c r="B1146" s="243" t="s">
        <v>303</v>
      </c>
      <c r="C1146" s="244" t="s">
        <v>302</v>
      </c>
      <c r="D1146" s="243">
        <v>35</v>
      </c>
      <c r="G1146" s="243">
        <v>0.39</v>
      </c>
    </row>
    <row r="1148" spans="1:7" x14ac:dyDescent="0.2">
      <c r="A1148" s="250"/>
      <c r="B1148" s="250" t="s">
        <v>284</v>
      </c>
      <c r="C1148" s="252"/>
      <c r="D1148" s="250"/>
      <c r="E1148" s="252"/>
      <c r="F1148" s="250"/>
      <c r="G1148" s="250"/>
    </row>
    <row r="1149" spans="1:7" x14ac:dyDescent="0.2">
      <c r="B1149" s="243" t="s">
        <v>304</v>
      </c>
      <c r="G1149" s="243">
        <v>1.1000000000000001</v>
      </c>
    </row>
    <row r="1150" spans="1:7" x14ac:dyDescent="0.2">
      <c r="B1150" s="243" t="s">
        <v>305</v>
      </c>
      <c r="G1150" s="243">
        <v>0.39</v>
      </c>
    </row>
    <row r="1151" spans="1:7" x14ac:dyDescent="0.2">
      <c r="B1151" s="243" t="s">
        <v>306</v>
      </c>
      <c r="G1151" s="243">
        <v>1.49</v>
      </c>
    </row>
    <row r="1152" spans="1:7" x14ac:dyDescent="0.2">
      <c r="B1152" s="243" t="s">
        <v>307</v>
      </c>
      <c r="C1152" s="244" t="s">
        <v>302</v>
      </c>
      <c r="D1152" s="243" t="s">
        <v>308</v>
      </c>
      <c r="G1152" s="243">
        <v>0.15</v>
      </c>
    </row>
    <row r="1154" spans="1:7" x14ac:dyDescent="0.2">
      <c r="A1154" s="248"/>
      <c r="B1154" s="248" t="s">
        <v>284</v>
      </c>
      <c r="C1154" s="249"/>
      <c r="D1154" s="248"/>
      <c r="E1154" s="249"/>
      <c r="F1154" s="248"/>
      <c r="G1154" s="248">
        <v>1.64</v>
      </c>
    </row>
    <row r="1156" spans="1:7" x14ac:dyDescent="0.2">
      <c r="A1156" s="248" t="s">
        <v>73</v>
      </c>
      <c r="B1156" s="248"/>
      <c r="C1156" s="249"/>
      <c r="D1156" s="248"/>
      <c r="E1156" s="249"/>
      <c r="F1156" s="248"/>
      <c r="G1156" s="248"/>
    </row>
    <row r="1157" spans="1:7" x14ac:dyDescent="0.2">
      <c r="A1157" s="250" t="s">
        <v>415</v>
      </c>
      <c r="G1157" s="251" t="s">
        <v>313</v>
      </c>
    </row>
    <row r="1159" spans="1:7" x14ac:dyDescent="0.2">
      <c r="A1159" s="250"/>
      <c r="B1159" s="250" t="s">
        <v>294</v>
      </c>
      <c r="C1159" s="252"/>
      <c r="D1159" s="250"/>
      <c r="E1159" s="252"/>
      <c r="F1159" s="250"/>
      <c r="G1159" s="250">
        <v>5.75</v>
      </c>
    </row>
    <row r="1160" spans="1:7" x14ac:dyDescent="0.2">
      <c r="A1160" s="243" t="s">
        <v>295</v>
      </c>
      <c r="B1160" s="243" t="s">
        <v>322</v>
      </c>
      <c r="C1160" s="244" t="s">
        <v>297</v>
      </c>
      <c r="D1160" s="253">
        <v>2.3E-2</v>
      </c>
      <c r="E1160" s="254">
        <v>1</v>
      </c>
      <c r="F1160" s="243">
        <v>250</v>
      </c>
      <c r="G1160" s="243">
        <v>5.75</v>
      </c>
    </row>
    <row r="1162" spans="1:7" x14ac:dyDescent="0.2">
      <c r="A1162" s="250"/>
      <c r="B1162" s="250" t="s">
        <v>300</v>
      </c>
      <c r="C1162" s="252"/>
      <c r="D1162" s="250"/>
      <c r="E1162" s="252"/>
      <c r="F1162" s="250"/>
      <c r="G1162" s="250">
        <v>2.0099999999999998</v>
      </c>
    </row>
    <row r="1163" spans="1:7" x14ac:dyDescent="0.2">
      <c r="B1163" s="243" t="s">
        <v>303</v>
      </c>
      <c r="C1163" s="244" t="s">
        <v>302</v>
      </c>
      <c r="D1163" s="243">
        <v>35</v>
      </c>
      <c r="G1163" s="243">
        <v>2.0099999999999998</v>
      </c>
    </row>
    <row r="1165" spans="1:7" x14ac:dyDescent="0.2">
      <c r="A1165" s="250"/>
      <c r="B1165" s="250" t="s">
        <v>284</v>
      </c>
      <c r="C1165" s="252"/>
      <c r="D1165" s="250"/>
      <c r="E1165" s="252"/>
      <c r="F1165" s="250"/>
      <c r="G1165" s="250"/>
    </row>
    <row r="1166" spans="1:7" x14ac:dyDescent="0.2">
      <c r="B1166" s="243" t="s">
        <v>304</v>
      </c>
      <c r="G1166" s="243">
        <v>5.75</v>
      </c>
    </row>
    <row r="1167" spans="1:7" x14ac:dyDescent="0.2">
      <c r="B1167" s="243" t="s">
        <v>305</v>
      </c>
      <c r="G1167" s="243">
        <v>2.0099999999999998</v>
      </c>
    </row>
    <row r="1168" spans="1:7" x14ac:dyDescent="0.2">
      <c r="B1168" s="243" t="s">
        <v>306</v>
      </c>
      <c r="G1168" s="243">
        <v>7.76</v>
      </c>
    </row>
    <row r="1169" spans="1:7" x14ac:dyDescent="0.2">
      <c r="B1169" s="243" t="s">
        <v>307</v>
      </c>
      <c r="C1169" s="244" t="s">
        <v>302</v>
      </c>
      <c r="D1169" s="243" t="s">
        <v>308</v>
      </c>
      <c r="G1169" s="243">
        <v>0.78</v>
      </c>
    </row>
    <row r="1171" spans="1:7" x14ac:dyDescent="0.2">
      <c r="A1171" s="248"/>
      <c r="B1171" s="248" t="s">
        <v>284</v>
      </c>
      <c r="C1171" s="249"/>
      <c r="D1171" s="248"/>
      <c r="E1171" s="249"/>
      <c r="F1171" s="248"/>
      <c r="G1171" s="248">
        <v>8.5399999999999991</v>
      </c>
    </row>
    <row r="1173" spans="1:7" x14ac:dyDescent="0.2">
      <c r="A1173" s="248" t="s">
        <v>74</v>
      </c>
      <c r="B1173" s="248"/>
      <c r="C1173" s="249"/>
      <c r="D1173" s="248"/>
      <c r="E1173" s="249"/>
      <c r="F1173" s="248"/>
      <c r="G1173" s="248"/>
    </row>
    <row r="1174" spans="1:7" x14ac:dyDescent="0.2">
      <c r="A1174" s="250" t="s">
        <v>416</v>
      </c>
      <c r="G1174" s="251" t="s">
        <v>310</v>
      </c>
    </row>
    <row r="1176" spans="1:7" x14ac:dyDescent="0.2">
      <c r="A1176" s="250"/>
      <c r="B1176" s="250" t="s">
        <v>294</v>
      </c>
      <c r="C1176" s="252"/>
      <c r="D1176" s="250"/>
      <c r="E1176" s="252"/>
      <c r="F1176" s="250"/>
      <c r="G1176" s="250">
        <v>1.2</v>
      </c>
    </row>
    <row r="1177" spans="1:7" x14ac:dyDescent="0.2">
      <c r="A1177" s="243" t="s">
        <v>295</v>
      </c>
      <c r="B1177" s="243" t="s">
        <v>417</v>
      </c>
      <c r="C1177" s="244" t="s">
        <v>297</v>
      </c>
      <c r="D1177" s="253">
        <v>3.0000000000000001E-3</v>
      </c>
      <c r="E1177" s="254">
        <v>1</v>
      </c>
      <c r="F1177" s="243">
        <v>400</v>
      </c>
      <c r="G1177" s="243">
        <v>1.2</v>
      </c>
    </row>
    <row r="1179" spans="1:7" x14ac:dyDescent="0.2">
      <c r="A1179" s="250"/>
      <c r="B1179" s="250" t="s">
        <v>300</v>
      </c>
      <c r="C1179" s="252"/>
      <c r="D1179" s="250"/>
      <c r="E1179" s="252"/>
      <c r="F1179" s="250"/>
      <c r="G1179" s="250">
        <v>0.42</v>
      </c>
    </row>
    <row r="1180" spans="1:7" x14ac:dyDescent="0.2">
      <c r="B1180" s="243" t="s">
        <v>303</v>
      </c>
      <c r="C1180" s="244" t="s">
        <v>302</v>
      </c>
      <c r="D1180" s="243">
        <v>35</v>
      </c>
      <c r="G1180" s="243">
        <v>0.42</v>
      </c>
    </row>
    <row r="1182" spans="1:7" x14ac:dyDescent="0.2">
      <c r="A1182" s="250"/>
      <c r="B1182" s="250" t="s">
        <v>284</v>
      </c>
      <c r="C1182" s="252"/>
      <c r="D1182" s="250"/>
      <c r="E1182" s="252"/>
      <c r="F1182" s="250"/>
      <c r="G1182" s="250"/>
    </row>
    <row r="1183" spans="1:7" x14ac:dyDescent="0.2">
      <c r="B1183" s="243" t="s">
        <v>304</v>
      </c>
      <c r="G1183" s="243">
        <v>1.2</v>
      </c>
    </row>
    <row r="1184" spans="1:7" x14ac:dyDescent="0.2">
      <c r="B1184" s="243" t="s">
        <v>305</v>
      </c>
      <c r="G1184" s="243">
        <v>0.42</v>
      </c>
    </row>
    <row r="1185" spans="1:7" x14ac:dyDescent="0.2">
      <c r="B1185" s="243" t="s">
        <v>306</v>
      </c>
      <c r="G1185" s="243">
        <v>1.62</v>
      </c>
    </row>
    <row r="1186" spans="1:7" x14ac:dyDescent="0.2">
      <c r="B1186" s="243" t="s">
        <v>307</v>
      </c>
      <c r="C1186" s="244" t="s">
        <v>302</v>
      </c>
      <c r="D1186" s="243" t="s">
        <v>308</v>
      </c>
      <c r="G1186" s="243">
        <v>0.16</v>
      </c>
    </row>
    <row r="1188" spans="1:7" x14ac:dyDescent="0.2">
      <c r="A1188" s="248"/>
      <c r="B1188" s="248" t="s">
        <v>284</v>
      </c>
      <c r="C1188" s="249"/>
      <c r="D1188" s="248"/>
      <c r="E1188" s="249"/>
      <c r="F1188" s="248"/>
      <c r="G1188" s="248">
        <v>1.78</v>
      </c>
    </row>
    <row r="1190" spans="1:7" x14ac:dyDescent="0.2">
      <c r="A1190" s="248" t="s">
        <v>75</v>
      </c>
      <c r="B1190" s="248"/>
      <c r="C1190" s="249"/>
      <c r="D1190" s="248"/>
      <c r="E1190" s="249"/>
      <c r="F1190" s="248"/>
      <c r="G1190" s="248"/>
    </row>
    <row r="1191" spans="1:7" x14ac:dyDescent="0.2">
      <c r="A1191" s="250" t="s">
        <v>418</v>
      </c>
      <c r="G1191" s="251" t="s">
        <v>313</v>
      </c>
    </row>
    <row r="1193" spans="1:7" x14ac:dyDescent="0.2">
      <c r="A1193" s="250"/>
      <c r="B1193" s="250" t="s">
        <v>294</v>
      </c>
      <c r="C1193" s="252"/>
      <c r="D1193" s="250"/>
      <c r="E1193" s="252"/>
      <c r="F1193" s="250"/>
      <c r="G1193" s="250">
        <v>1.2</v>
      </c>
    </row>
    <row r="1194" spans="1:7" x14ac:dyDescent="0.2">
      <c r="A1194" s="243" t="s">
        <v>295</v>
      </c>
      <c r="B1194" s="243" t="s">
        <v>318</v>
      </c>
      <c r="C1194" s="244" t="s">
        <v>297</v>
      </c>
      <c r="D1194" s="253">
        <v>4.7999999999999996E-3</v>
      </c>
      <c r="E1194" s="254">
        <v>1</v>
      </c>
      <c r="F1194" s="243">
        <v>250</v>
      </c>
      <c r="G1194" s="243">
        <v>1.2</v>
      </c>
    </row>
    <row r="1196" spans="1:7" x14ac:dyDescent="0.2">
      <c r="A1196" s="250"/>
      <c r="B1196" s="250" t="s">
        <v>300</v>
      </c>
      <c r="C1196" s="252"/>
      <c r="D1196" s="250"/>
      <c r="E1196" s="252"/>
      <c r="F1196" s="250"/>
      <c r="G1196" s="250">
        <v>0.42</v>
      </c>
    </row>
    <row r="1197" spans="1:7" x14ac:dyDescent="0.2">
      <c r="B1197" s="243" t="s">
        <v>303</v>
      </c>
      <c r="C1197" s="244" t="s">
        <v>302</v>
      </c>
      <c r="D1197" s="243">
        <v>35</v>
      </c>
      <c r="G1197" s="243">
        <v>0.42</v>
      </c>
    </row>
    <row r="1199" spans="1:7" x14ac:dyDescent="0.2">
      <c r="A1199" s="250"/>
      <c r="B1199" s="250" t="s">
        <v>284</v>
      </c>
      <c r="C1199" s="252"/>
      <c r="D1199" s="250"/>
      <c r="E1199" s="252"/>
      <c r="F1199" s="250"/>
      <c r="G1199" s="250"/>
    </row>
    <row r="1200" spans="1:7" x14ac:dyDescent="0.2">
      <c r="B1200" s="243" t="s">
        <v>304</v>
      </c>
      <c r="G1200" s="243">
        <v>1.2</v>
      </c>
    </row>
    <row r="1201" spans="1:7" x14ac:dyDescent="0.2">
      <c r="B1201" s="243" t="s">
        <v>305</v>
      </c>
      <c r="G1201" s="243">
        <v>0.42</v>
      </c>
    </row>
    <row r="1202" spans="1:7" x14ac:dyDescent="0.2">
      <c r="B1202" s="243" t="s">
        <v>306</v>
      </c>
      <c r="G1202" s="243">
        <v>1.62</v>
      </c>
    </row>
    <row r="1203" spans="1:7" x14ac:dyDescent="0.2">
      <c r="B1203" s="243" t="s">
        <v>307</v>
      </c>
      <c r="C1203" s="244" t="s">
        <v>302</v>
      </c>
      <c r="D1203" s="243" t="s">
        <v>308</v>
      </c>
      <c r="G1203" s="243">
        <v>0.16</v>
      </c>
    </row>
    <row r="1205" spans="1:7" x14ac:dyDescent="0.2">
      <c r="A1205" s="248"/>
      <c r="B1205" s="248" t="s">
        <v>284</v>
      </c>
      <c r="C1205" s="249"/>
      <c r="D1205" s="248"/>
      <c r="E1205" s="249"/>
      <c r="F1205" s="248"/>
      <c r="G1205" s="248">
        <v>1.78</v>
      </c>
    </row>
    <row r="1207" spans="1:7" x14ac:dyDescent="0.2">
      <c r="A1207" s="248" t="s">
        <v>76</v>
      </c>
      <c r="B1207" s="248"/>
      <c r="C1207" s="249"/>
      <c r="D1207" s="248"/>
      <c r="E1207" s="249"/>
      <c r="F1207" s="248"/>
      <c r="G1207" s="248"/>
    </row>
    <row r="1208" spans="1:7" x14ac:dyDescent="0.2">
      <c r="A1208" s="250" t="s">
        <v>419</v>
      </c>
      <c r="G1208" s="251" t="s">
        <v>420</v>
      </c>
    </row>
    <row r="1210" spans="1:7" x14ac:dyDescent="0.2">
      <c r="A1210" s="250"/>
      <c r="B1210" s="250" t="s">
        <v>294</v>
      </c>
      <c r="C1210" s="252"/>
      <c r="D1210" s="250"/>
      <c r="E1210" s="252"/>
      <c r="F1210" s="250"/>
      <c r="G1210" s="250">
        <v>14.5</v>
      </c>
    </row>
    <row r="1211" spans="1:7" x14ac:dyDescent="0.2">
      <c r="A1211" s="243" t="s">
        <v>295</v>
      </c>
      <c r="B1211" s="243" t="s">
        <v>322</v>
      </c>
      <c r="C1211" s="244" t="s">
        <v>297</v>
      </c>
      <c r="D1211" s="253">
        <v>5.8000000000000003E-2</v>
      </c>
      <c r="E1211" s="254">
        <v>1</v>
      </c>
      <c r="F1211" s="243">
        <v>250</v>
      </c>
      <c r="G1211" s="243">
        <v>14.5</v>
      </c>
    </row>
    <row r="1213" spans="1:7" x14ac:dyDescent="0.2">
      <c r="A1213" s="250"/>
      <c r="B1213" s="250" t="s">
        <v>300</v>
      </c>
      <c r="C1213" s="252"/>
      <c r="D1213" s="250"/>
      <c r="E1213" s="252"/>
      <c r="F1213" s="250"/>
      <c r="G1213" s="250">
        <v>5.08</v>
      </c>
    </row>
    <row r="1214" spans="1:7" x14ac:dyDescent="0.2">
      <c r="B1214" s="243" t="s">
        <v>303</v>
      </c>
      <c r="C1214" s="244" t="s">
        <v>302</v>
      </c>
      <c r="D1214" s="243">
        <v>35</v>
      </c>
      <c r="G1214" s="243">
        <v>5.08</v>
      </c>
    </row>
    <row r="1216" spans="1:7" x14ac:dyDescent="0.2">
      <c r="A1216" s="250"/>
      <c r="B1216" s="250" t="s">
        <v>284</v>
      </c>
      <c r="C1216" s="252"/>
      <c r="D1216" s="250"/>
      <c r="E1216" s="252"/>
      <c r="F1216" s="250"/>
      <c r="G1216" s="250"/>
    </row>
    <row r="1217" spans="1:7" x14ac:dyDescent="0.2">
      <c r="B1217" s="243" t="s">
        <v>304</v>
      </c>
      <c r="G1217" s="243">
        <v>14.5</v>
      </c>
    </row>
    <row r="1218" spans="1:7" x14ac:dyDescent="0.2">
      <c r="B1218" s="243" t="s">
        <v>305</v>
      </c>
      <c r="G1218" s="243">
        <v>5.08</v>
      </c>
    </row>
    <row r="1219" spans="1:7" x14ac:dyDescent="0.2">
      <c r="B1219" s="243" t="s">
        <v>306</v>
      </c>
      <c r="G1219" s="243">
        <v>19.579999999999998</v>
      </c>
    </row>
    <row r="1220" spans="1:7" x14ac:dyDescent="0.2">
      <c r="B1220" s="243" t="s">
        <v>307</v>
      </c>
      <c r="C1220" s="244" t="s">
        <v>302</v>
      </c>
      <c r="D1220" s="243" t="s">
        <v>308</v>
      </c>
      <c r="G1220" s="243">
        <v>1.96</v>
      </c>
    </row>
    <row r="1222" spans="1:7" x14ac:dyDescent="0.2">
      <c r="A1222" s="248"/>
      <c r="B1222" s="248" t="s">
        <v>284</v>
      </c>
      <c r="C1222" s="249"/>
      <c r="D1222" s="248"/>
      <c r="E1222" s="249"/>
      <c r="F1222" s="248"/>
      <c r="G1222" s="248">
        <v>21.54</v>
      </c>
    </row>
    <row r="1224" spans="1:7" x14ac:dyDescent="0.2">
      <c r="A1224" s="248" t="s">
        <v>78</v>
      </c>
      <c r="B1224" s="248"/>
      <c r="C1224" s="249"/>
      <c r="D1224" s="248"/>
      <c r="E1224" s="249"/>
      <c r="F1224" s="248"/>
      <c r="G1224" s="248"/>
    </row>
    <row r="1225" spans="1:7" x14ac:dyDescent="0.2">
      <c r="A1225" s="250" t="s">
        <v>421</v>
      </c>
      <c r="G1225" s="251" t="s">
        <v>422</v>
      </c>
    </row>
    <row r="1227" spans="1:7" x14ac:dyDescent="0.2">
      <c r="A1227" s="250"/>
      <c r="B1227" s="250" t="s">
        <v>294</v>
      </c>
      <c r="C1227" s="252"/>
      <c r="D1227" s="250"/>
      <c r="E1227" s="252"/>
      <c r="F1227" s="250"/>
      <c r="G1227" s="250">
        <v>2</v>
      </c>
    </row>
    <row r="1228" spans="1:7" x14ac:dyDescent="0.2">
      <c r="A1228" s="243" t="s">
        <v>295</v>
      </c>
      <c r="B1228" s="243" t="s">
        <v>318</v>
      </c>
      <c r="C1228" s="244" t="s">
        <v>297</v>
      </c>
      <c r="D1228" s="253">
        <v>8.0000000000000002E-3</v>
      </c>
      <c r="E1228" s="254">
        <v>1</v>
      </c>
      <c r="F1228" s="243">
        <v>250</v>
      </c>
      <c r="G1228" s="243">
        <v>2</v>
      </c>
    </row>
    <row r="1230" spans="1:7" x14ac:dyDescent="0.2">
      <c r="A1230" s="250"/>
      <c r="B1230" s="250" t="s">
        <v>298</v>
      </c>
      <c r="C1230" s="252"/>
      <c r="D1230" s="255">
        <v>0.2</v>
      </c>
      <c r="E1230" s="252"/>
      <c r="F1230" s="250"/>
      <c r="G1230" s="250">
        <v>2</v>
      </c>
    </row>
    <row r="1231" spans="1:7" x14ac:dyDescent="0.2">
      <c r="A1231" s="243" t="s">
        <v>295</v>
      </c>
      <c r="B1231" s="243" t="s">
        <v>521</v>
      </c>
      <c r="C1231" s="244" t="s">
        <v>299</v>
      </c>
      <c r="D1231" s="253">
        <v>0.2</v>
      </c>
      <c r="E1231" s="254">
        <v>1</v>
      </c>
      <c r="F1231" s="243">
        <v>10</v>
      </c>
      <c r="G1231" s="243">
        <v>2</v>
      </c>
    </row>
    <row r="1233" spans="1:7" x14ac:dyDescent="0.2">
      <c r="A1233" s="250"/>
      <c r="B1233" s="250" t="s">
        <v>300</v>
      </c>
      <c r="C1233" s="252"/>
      <c r="D1233" s="250"/>
      <c r="E1233" s="252"/>
      <c r="F1233" s="250"/>
      <c r="G1233" s="250">
        <v>2.2999999999999998</v>
      </c>
    </row>
    <row r="1234" spans="1:7" x14ac:dyDescent="0.2">
      <c r="B1234" s="243" t="s">
        <v>301</v>
      </c>
      <c r="C1234" s="244" t="s">
        <v>302</v>
      </c>
      <c r="D1234" s="243">
        <v>80</v>
      </c>
      <c r="G1234" s="243">
        <v>1.6</v>
      </c>
    </row>
    <row r="1235" spans="1:7" x14ac:dyDescent="0.2">
      <c r="B1235" s="243" t="s">
        <v>303</v>
      </c>
      <c r="C1235" s="244" t="s">
        <v>302</v>
      </c>
      <c r="D1235" s="243">
        <v>35</v>
      </c>
      <c r="G1235" s="243">
        <v>0.7</v>
      </c>
    </row>
    <row r="1237" spans="1:7" x14ac:dyDescent="0.2">
      <c r="A1237" s="250"/>
      <c r="B1237" s="250" t="s">
        <v>284</v>
      </c>
      <c r="C1237" s="252"/>
      <c r="D1237" s="250"/>
      <c r="E1237" s="252"/>
      <c r="F1237" s="250"/>
      <c r="G1237" s="250"/>
    </row>
    <row r="1238" spans="1:7" x14ac:dyDescent="0.2">
      <c r="B1238" s="243" t="s">
        <v>304</v>
      </c>
      <c r="G1238" s="243">
        <v>4</v>
      </c>
    </row>
    <row r="1239" spans="1:7" x14ac:dyDescent="0.2">
      <c r="B1239" s="243" t="s">
        <v>305</v>
      </c>
      <c r="G1239" s="243">
        <v>2.2999999999999998</v>
      </c>
    </row>
    <row r="1240" spans="1:7" x14ac:dyDescent="0.2">
      <c r="B1240" s="243" t="s">
        <v>306</v>
      </c>
      <c r="G1240" s="243">
        <v>6.3</v>
      </c>
    </row>
    <row r="1241" spans="1:7" x14ac:dyDescent="0.2">
      <c r="B1241" s="243" t="s">
        <v>307</v>
      </c>
      <c r="C1241" s="244" t="s">
        <v>302</v>
      </c>
      <c r="D1241" s="243" t="s">
        <v>308</v>
      </c>
      <c r="G1241" s="243">
        <v>0.63</v>
      </c>
    </row>
    <row r="1243" spans="1:7" x14ac:dyDescent="0.2">
      <c r="A1243" s="248"/>
      <c r="B1243" s="248" t="s">
        <v>284</v>
      </c>
      <c r="C1243" s="249"/>
      <c r="D1243" s="248"/>
      <c r="E1243" s="249"/>
      <c r="F1243" s="248"/>
      <c r="G1243" s="248">
        <v>6.93</v>
      </c>
    </row>
    <row r="1245" spans="1:7" x14ac:dyDescent="0.2">
      <c r="A1245" s="248" t="s">
        <v>80</v>
      </c>
      <c r="B1245" s="248"/>
      <c r="C1245" s="249"/>
      <c r="D1245" s="248"/>
      <c r="E1245" s="249"/>
      <c r="F1245" s="248"/>
      <c r="G1245" s="248"/>
    </row>
    <row r="1246" spans="1:7" x14ac:dyDescent="0.2">
      <c r="A1246" s="250" t="s">
        <v>423</v>
      </c>
      <c r="G1246" s="251" t="s">
        <v>422</v>
      </c>
    </row>
    <row r="1248" spans="1:7" x14ac:dyDescent="0.2">
      <c r="A1248" s="250"/>
      <c r="B1248" s="250" t="s">
        <v>324</v>
      </c>
      <c r="C1248" s="252"/>
      <c r="D1248" s="250"/>
      <c r="E1248" s="252"/>
      <c r="F1248" s="250"/>
      <c r="G1248" s="250">
        <v>14.15</v>
      </c>
    </row>
    <row r="1249" spans="1:7" x14ac:dyDescent="0.2">
      <c r="A1249" s="243" t="s">
        <v>295</v>
      </c>
      <c r="B1249" s="243" t="s">
        <v>511</v>
      </c>
      <c r="C1249" s="244" t="s">
        <v>330</v>
      </c>
      <c r="D1249" s="253">
        <v>3.3E-3</v>
      </c>
      <c r="E1249" s="254">
        <v>1</v>
      </c>
      <c r="F1249" s="243">
        <v>105</v>
      </c>
      <c r="G1249" s="243">
        <v>0.35</v>
      </c>
    </row>
    <row r="1250" spans="1:7" x14ac:dyDescent="0.2">
      <c r="A1250" s="243" t="s">
        <v>295</v>
      </c>
      <c r="B1250" s="243" t="s">
        <v>512</v>
      </c>
      <c r="C1250" s="244" t="s">
        <v>350</v>
      </c>
      <c r="D1250" s="253">
        <v>1</v>
      </c>
      <c r="E1250" s="254">
        <v>1</v>
      </c>
      <c r="F1250" s="243">
        <v>13.8</v>
      </c>
      <c r="G1250" s="243">
        <v>13.8</v>
      </c>
    </row>
    <row r="1252" spans="1:7" x14ac:dyDescent="0.2">
      <c r="A1252" s="250"/>
      <c r="B1252" s="250" t="s">
        <v>294</v>
      </c>
      <c r="C1252" s="252"/>
      <c r="D1252" s="250"/>
      <c r="E1252" s="252"/>
      <c r="F1252" s="250"/>
      <c r="G1252" s="250">
        <v>2</v>
      </c>
    </row>
    <row r="1253" spans="1:7" x14ac:dyDescent="0.2">
      <c r="A1253" s="243" t="s">
        <v>295</v>
      </c>
      <c r="B1253" s="243" t="s">
        <v>318</v>
      </c>
      <c r="C1253" s="244" t="s">
        <v>297</v>
      </c>
      <c r="D1253" s="253">
        <v>8.0000000000000002E-3</v>
      </c>
      <c r="E1253" s="254">
        <v>1</v>
      </c>
      <c r="F1253" s="243">
        <v>250</v>
      </c>
      <c r="G1253" s="243">
        <v>2</v>
      </c>
    </row>
    <row r="1255" spans="1:7" x14ac:dyDescent="0.2">
      <c r="A1255" s="250"/>
      <c r="B1255" s="250" t="s">
        <v>298</v>
      </c>
      <c r="C1255" s="252"/>
      <c r="D1255" s="255">
        <v>0.376</v>
      </c>
      <c r="E1255" s="252"/>
      <c r="F1255" s="250"/>
      <c r="G1255" s="250">
        <v>3.76</v>
      </c>
    </row>
    <row r="1256" spans="1:7" x14ac:dyDescent="0.2">
      <c r="A1256" s="243" t="s">
        <v>295</v>
      </c>
      <c r="B1256" s="243" t="s">
        <v>521</v>
      </c>
      <c r="C1256" s="244" t="s">
        <v>299</v>
      </c>
      <c r="D1256" s="253">
        <v>0.20100000000000001</v>
      </c>
      <c r="E1256" s="254">
        <v>1</v>
      </c>
      <c r="F1256" s="243">
        <v>10</v>
      </c>
      <c r="G1256" s="243">
        <v>2.0099999999999998</v>
      </c>
    </row>
    <row r="1257" spans="1:7" x14ac:dyDescent="0.2">
      <c r="A1257" s="243" t="s">
        <v>295</v>
      </c>
      <c r="B1257" s="243" t="s">
        <v>521</v>
      </c>
      <c r="C1257" s="244" t="s">
        <v>299</v>
      </c>
      <c r="D1257" s="253">
        <v>0.17499999999999999</v>
      </c>
      <c r="E1257" s="254">
        <v>1</v>
      </c>
      <c r="F1257" s="243">
        <v>10</v>
      </c>
      <c r="G1257" s="243">
        <v>1.75</v>
      </c>
    </row>
    <row r="1259" spans="1:7" x14ac:dyDescent="0.2">
      <c r="A1259" s="250"/>
      <c r="B1259" s="250" t="s">
        <v>300</v>
      </c>
      <c r="C1259" s="252"/>
      <c r="D1259" s="250"/>
      <c r="E1259" s="252"/>
      <c r="F1259" s="250"/>
      <c r="G1259" s="250">
        <v>5.13</v>
      </c>
    </row>
    <row r="1260" spans="1:7" x14ac:dyDescent="0.2">
      <c r="B1260" s="243" t="s">
        <v>301</v>
      </c>
      <c r="C1260" s="244" t="s">
        <v>302</v>
      </c>
      <c r="D1260" s="243">
        <v>80</v>
      </c>
      <c r="G1260" s="243">
        <v>3.01</v>
      </c>
    </row>
    <row r="1261" spans="1:7" x14ac:dyDescent="0.2">
      <c r="B1261" s="243" t="s">
        <v>327</v>
      </c>
      <c r="C1261" s="244" t="s">
        <v>302</v>
      </c>
      <c r="D1261" s="243">
        <v>10</v>
      </c>
      <c r="G1261" s="243">
        <v>1.42</v>
      </c>
    </row>
    <row r="1262" spans="1:7" x14ac:dyDescent="0.2">
      <c r="B1262" s="243" t="s">
        <v>303</v>
      </c>
      <c r="C1262" s="244" t="s">
        <v>302</v>
      </c>
      <c r="D1262" s="243">
        <v>35</v>
      </c>
      <c r="G1262" s="243">
        <v>0.7</v>
      </c>
    </row>
    <row r="1264" spans="1:7" x14ac:dyDescent="0.2">
      <c r="A1264" s="250"/>
      <c r="B1264" s="250" t="s">
        <v>284</v>
      </c>
      <c r="C1264" s="252"/>
      <c r="D1264" s="250"/>
      <c r="E1264" s="252"/>
      <c r="F1264" s="250"/>
      <c r="G1264" s="250"/>
    </row>
    <row r="1265" spans="1:7" x14ac:dyDescent="0.2">
      <c r="B1265" s="243" t="s">
        <v>304</v>
      </c>
      <c r="G1265" s="243">
        <v>19.91</v>
      </c>
    </row>
    <row r="1266" spans="1:7" x14ac:dyDescent="0.2">
      <c r="B1266" s="243" t="s">
        <v>305</v>
      </c>
      <c r="G1266" s="243">
        <v>5.13</v>
      </c>
    </row>
    <row r="1267" spans="1:7" x14ac:dyDescent="0.2">
      <c r="B1267" s="243" t="s">
        <v>306</v>
      </c>
      <c r="G1267" s="243">
        <v>25.04</v>
      </c>
    </row>
    <row r="1268" spans="1:7" x14ac:dyDescent="0.2">
      <c r="B1268" s="243" t="s">
        <v>307</v>
      </c>
      <c r="C1268" s="244" t="s">
        <v>302</v>
      </c>
      <c r="D1268" s="243" t="s">
        <v>308</v>
      </c>
      <c r="G1268" s="243">
        <v>2.5</v>
      </c>
    </row>
    <row r="1270" spans="1:7" x14ac:dyDescent="0.2">
      <c r="A1270" s="248"/>
      <c r="B1270" s="248" t="s">
        <v>284</v>
      </c>
      <c r="C1270" s="249"/>
      <c r="D1270" s="248"/>
      <c r="E1270" s="249"/>
      <c r="F1270" s="248"/>
      <c r="G1270" s="248">
        <v>27.54</v>
      </c>
    </row>
    <row r="1272" spans="1:7" x14ac:dyDescent="0.2">
      <c r="A1272" s="248" t="s">
        <v>81</v>
      </c>
      <c r="B1272" s="248"/>
      <c r="C1272" s="249"/>
      <c r="D1272" s="248"/>
      <c r="E1272" s="249"/>
      <c r="F1272" s="248"/>
      <c r="G1272" s="248"/>
    </row>
    <row r="1273" spans="1:7" x14ac:dyDescent="0.2">
      <c r="A1273" s="250" t="s">
        <v>424</v>
      </c>
      <c r="G1273" s="251" t="s">
        <v>310</v>
      </c>
    </row>
    <row r="1275" spans="1:7" x14ac:dyDescent="0.2">
      <c r="A1275" s="250"/>
      <c r="B1275" s="250" t="s">
        <v>294</v>
      </c>
      <c r="C1275" s="252"/>
      <c r="D1275" s="250"/>
      <c r="E1275" s="252"/>
      <c r="F1275" s="250"/>
      <c r="G1275" s="250">
        <v>3.84</v>
      </c>
    </row>
    <row r="1276" spans="1:7" x14ac:dyDescent="0.2">
      <c r="A1276" s="243" t="s">
        <v>295</v>
      </c>
      <c r="B1276" s="243" t="s">
        <v>311</v>
      </c>
      <c r="C1276" s="244" t="s">
        <v>297</v>
      </c>
      <c r="D1276" s="253">
        <v>1.37E-2</v>
      </c>
      <c r="E1276" s="254">
        <v>1</v>
      </c>
      <c r="F1276" s="243">
        <v>280</v>
      </c>
      <c r="G1276" s="243">
        <v>3.84</v>
      </c>
    </row>
    <row r="1278" spans="1:7" x14ac:dyDescent="0.2">
      <c r="A1278" s="250"/>
      <c r="B1278" s="250" t="s">
        <v>298</v>
      </c>
      <c r="C1278" s="252"/>
      <c r="D1278" s="255">
        <v>0.11</v>
      </c>
      <c r="E1278" s="252"/>
      <c r="F1278" s="250"/>
      <c r="G1278" s="250">
        <v>1.1000000000000001</v>
      </c>
    </row>
    <row r="1279" spans="1:7" x14ac:dyDescent="0.2">
      <c r="A1279" s="243" t="s">
        <v>295</v>
      </c>
      <c r="B1279" s="243" t="s">
        <v>521</v>
      </c>
      <c r="C1279" s="244" t="s">
        <v>299</v>
      </c>
      <c r="D1279" s="253">
        <v>0.11</v>
      </c>
      <c r="E1279" s="254">
        <v>1</v>
      </c>
      <c r="F1279" s="243">
        <v>10</v>
      </c>
      <c r="G1279" s="243">
        <v>1.1000000000000001</v>
      </c>
    </row>
    <row r="1281" spans="1:7" x14ac:dyDescent="0.2">
      <c r="A1281" s="250"/>
      <c r="B1281" s="250" t="s">
        <v>300</v>
      </c>
      <c r="C1281" s="252"/>
      <c r="D1281" s="250"/>
      <c r="E1281" s="252"/>
      <c r="F1281" s="250"/>
      <c r="G1281" s="250">
        <v>2.2200000000000002</v>
      </c>
    </row>
    <row r="1282" spans="1:7" x14ac:dyDescent="0.2">
      <c r="B1282" s="243" t="s">
        <v>301</v>
      </c>
      <c r="C1282" s="244" t="s">
        <v>302</v>
      </c>
      <c r="D1282" s="243">
        <v>80</v>
      </c>
      <c r="G1282" s="243">
        <v>0.88</v>
      </c>
    </row>
    <row r="1283" spans="1:7" x14ac:dyDescent="0.2">
      <c r="B1283" s="243" t="s">
        <v>303</v>
      </c>
      <c r="C1283" s="244" t="s">
        <v>302</v>
      </c>
      <c r="D1283" s="243">
        <v>35</v>
      </c>
      <c r="G1283" s="243">
        <v>1.34</v>
      </c>
    </row>
    <row r="1285" spans="1:7" x14ac:dyDescent="0.2">
      <c r="A1285" s="250"/>
      <c r="B1285" s="250" t="s">
        <v>284</v>
      </c>
      <c r="C1285" s="252"/>
      <c r="D1285" s="250"/>
      <c r="E1285" s="252"/>
      <c r="F1285" s="250"/>
      <c r="G1285" s="250"/>
    </row>
    <row r="1286" spans="1:7" x14ac:dyDescent="0.2">
      <c r="B1286" s="243" t="s">
        <v>304</v>
      </c>
      <c r="G1286" s="243">
        <v>4.9400000000000004</v>
      </c>
    </row>
    <row r="1287" spans="1:7" x14ac:dyDescent="0.2">
      <c r="B1287" s="243" t="s">
        <v>305</v>
      </c>
      <c r="G1287" s="243">
        <v>2.2200000000000002</v>
      </c>
    </row>
    <row r="1288" spans="1:7" x14ac:dyDescent="0.2">
      <c r="B1288" s="243" t="s">
        <v>306</v>
      </c>
      <c r="G1288" s="243">
        <v>7.16</v>
      </c>
    </row>
    <row r="1289" spans="1:7" x14ac:dyDescent="0.2">
      <c r="B1289" s="243" t="s">
        <v>307</v>
      </c>
      <c r="C1289" s="244" t="s">
        <v>302</v>
      </c>
      <c r="D1289" s="243" t="s">
        <v>308</v>
      </c>
      <c r="G1289" s="243">
        <v>0.72</v>
      </c>
    </row>
    <row r="1291" spans="1:7" x14ac:dyDescent="0.2">
      <c r="A1291" s="248"/>
      <c r="B1291" s="248" t="s">
        <v>284</v>
      </c>
      <c r="C1291" s="249"/>
      <c r="D1291" s="248"/>
      <c r="E1291" s="249"/>
      <c r="F1291" s="248"/>
      <c r="G1291" s="248">
        <v>7.88</v>
      </c>
    </row>
    <row r="1293" spans="1:7" x14ac:dyDescent="0.2">
      <c r="A1293" s="248" t="s">
        <v>82</v>
      </c>
      <c r="B1293" s="248"/>
      <c r="C1293" s="249"/>
      <c r="D1293" s="248"/>
      <c r="E1293" s="249"/>
      <c r="F1293" s="248"/>
      <c r="G1293" s="248"/>
    </row>
    <row r="1294" spans="1:7" x14ac:dyDescent="0.2">
      <c r="A1294" s="250" t="s">
        <v>425</v>
      </c>
      <c r="G1294" s="251" t="s">
        <v>310</v>
      </c>
    </row>
    <row r="1296" spans="1:7" x14ac:dyDescent="0.2">
      <c r="A1296" s="250"/>
      <c r="B1296" s="250" t="s">
        <v>324</v>
      </c>
      <c r="C1296" s="252"/>
      <c r="D1296" s="250"/>
      <c r="E1296" s="252"/>
      <c r="F1296" s="250"/>
      <c r="G1296" s="250">
        <v>3.19</v>
      </c>
    </row>
    <row r="1297" spans="1:7" x14ac:dyDescent="0.2">
      <c r="A1297" s="243" t="s">
        <v>295</v>
      </c>
      <c r="B1297" s="243" t="s">
        <v>513</v>
      </c>
      <c r="C1297" s="244" t="s">
        <v>330</v>
      </c>
      <c r="D1297" s="253">
        <v>0.35</v>
      </c>
      <c r="E1297" s="254">
        <v>1</v>
      </c>
      <c r="F1297" s="243">
        <v>9.1</v>
      </c>
      <c r="G1297" s="243">
        <v>3.19</v>
      </c>
    </row>
    <row r="1299" spans="1:7" x14ac:dyDescent="0.2">
      <c r="A1299" s="250"/>
      <c r="B1299" s="250" t="s">
        <v>294</v>
      </c>
      <c r="C1299" s="252"/>
      <c r="D1299" s="250"/>
      <c r="E1299" s="252"/>
      <c r="F1299" s="250"/>
      <c r="G1299" s="250">
        <v>0.98</v>
      </c>
    </row>
    <row r="1300" spans="1:7" x14ac:dyDescent="0.2">
      <c r="A1300" s="243" t="s">
        <v>295</v>
      </c>
      <c r="B1300" s="243" t="s">
        <v>514</v>
      </c>
      <c r="C1300" s="244" t="s">
        <v>297</v>
      </c>
      <c r="D1300" s="253">
        <v>2.5000000000000001E-3</v>
      </c>
      <c r="E1300" s="254">
        <v>1</v>
      </c>
      <c r="F1300" s="243">
        <v>150</v>
      </c>
      <c r="G1300" s="243">
        <v>0.38</v>
      </c>
    </row>
    <row r="1301" spans="1:7" x14ac:dyDescent="0.2">
      <c r="A1301" s="243" t="s">
        <v>295</v>
      </c>
      <c r="B1301" s="243" t="s">
        <v>503</v>
      </c>
      <c r="C1301" s="244" t="s">
        <v>297</v>
      </c>
      <c r="D1301" s="253">
        <v>1.2E-2</v>
      </c>
      <c r="E1301" s="254">
        <v>1</v>
      </c>
      <c r="F1301" s="243">
        <v>50</v>
      </c>
      <c r="G1301" s="243">
        <v>0.6</v>
      </c>
    </row>
    <row r="1303" spans="1:7" x14ac:dyDescent="0.2">
      <c r="A1303" s="250"/>
      <c r="B1303" s="250" t="s">
        <v>298</v>
      </c>
      <c r="C1303" s="252"/>
      <c r="D1303" s="255">
        <v>0.46300000000000002</v>
      </c>
      <c r="E1303" s="252"/>
      <c r="F1303" s="250"/>
      <c r="G1303" s="250">
        <v>4.63</v>
      </c>
    </row>
    <row r="1304" spans="1:7" x14ac:dyDescent="0.2">
      <c r="A1304" s="243" t="s">
        <v>295</v>
      </c>
      <c r="B1304" s="243" t="s">
        <v>521</v>
      </c>
      <c r="C1304" s="244" t="s">
        <v>299</v>
      </c>
      <c r="D1304" s="253">
        <v>0.46300000000000002</v>
      </c>
      <c r="E1304" s="254">
        <v>1</v>
      </c>
      <c r="F1304" s="243">
        <v>10</v>
      </c>
      <c r="G1304" s="243">
        <v>4.63</v>
      </c>
    </row>
    <row r="1306" spans="1:7" x14ac:dyDescent="0.2">
      <c r="A1306" s="250"/>
      <c r="B1306" s="250" t="s">
        <v>300</v>
      </c>
      <c r="C1306" s="252"/>
      <c r="D1306" s="250"/>
      <c r="E1306" s="252"/>
      <c r="F1306" s="250"/>
      <c r="G1306" s="250">
        <v>4.3600000000000003</v>
      </c>
    </row>
    <row r="1307" spans="1:7" x14ac:dyDescent="0.2">
      <c r="B1307" s="243" t="s">
        <v>301</v>
      </c>
      <c r="C1307" s="244" t="s">
        <v>302</v>
      </c>
      <c r="D1307" s="243">
        <v>80</v>
      </c>
      <c r="G1307" s="243">
        <v>3.7</v>
      </c>
    </row>
    <row r="1308" spans="1:7" x14ac:dyDescent="0.2">
      <c r="B1308" s="243" t="s">
        <v>327</v>
      </c>
      <c r="C1308" s="244" t="s">
        <v>302</v>
      </c>
      <c r="D1308" s="243">
        <v>10</v>
      </c>
      <c r="G1308" s="243">
        <v>0.32</v>
      </c>
    </row>
    <row r="1309" spans="1:7" x14ac:dyDescent="0.2">
      <c r="B1309" s="243" t="s">
        <v>303</v>
      </c>
      <c r="C1309" s="244" t="s">
        <v>302</v>
      </c>
      <c r="D1309" s="243">
        <v>35</v>
      </c>
      <c r="G1309" s="243">
        <v>0.34</v>
      </c>
    </row>
    <row r="1311" spans="1:7" x14ac:dyDescent="0.2">
      <c r="A1311" s="250"/>
      <c r="B1311" s="250" t="s">
        <v>284</v>
      </c>
      <c r="C1311" s="252"/>
      <c r="D1311" s="250"/>
      <c r="E1311" s="252"/>
      <c r="F1311" s="250"/>
      <c r="G1311" s="250"/>
    </row>
    <row r="1312" spans="1:7" x14ac:dyDescent="0.2">
      <c r="B1312" s="243" t="s">
        <v>304</v>
      </c>
      <c r="G1312" s="243">
        <v>8.8000000000000007</v>
      </c>
    </row>
    <row r="1313" spans="1:7" x14ac:dyDescent="0.2">
      <c r="B1313" s="243" t="s">
        <v>305</v>
      </c>
      <c r="G1313" s="243">
        <v>4.3600000000000003</v>
      </c>
    </row>
    <row r="1314" spans="1:7" x14ac:dyDescent="0.2">
      <c r="B1314" s="243" t="s">
        <v>306</v>
      </c>
      <c r="G1314" s="243">
        <v>13.16</v>
      </c>
    </row>
    <row r="1315" spans="1:7" x14ac:dyDescent="0.2">
      <c r="B1315" s="243" t="s">
        <v>307</v>
      </c>
      <c r="C1315" s="244" t="s">
        <v>302</v>
      </c>
      <c r="D1315" s="243" t="s">
        <v>308</v>
      </c>
      <c r="G1315" s="243">
        <v>1.32</v>
      </c>
    </row>
    <row r="1317" spans="1:7" x14ac:dyDescent="0.2">
      <c r="A1317" s="248"/>
      <c r="B1317" s="248" t="s">
        <v>284</v>
      </c>
      <c r="C1317" s="249"/>
      <c r="D1317" s="248"/>
      <c r="E1317" s="249"/>
      <c r="F1317" s="248"/>
      <c r="G1317" s="248">
        <v>14.48</v>
      </c>
    </row>
    <row r="1319" spans="1:7" x14ac:dyDescent="0.2">
      <c r="A1319" s="248" t="s">
        <v>83</v>
      </c>
      <c r="B1319" s="248"/>
      <c r="C1319" s="249"/>
      <c r="D1319" s="248"/>
      <c r="E1319" s="249"/>
      <c r="F1319" s="248"/>
      <c r="G1319" s="248"/>
    </row>
    <row r="1320" spans="1:7" x14ac:dyDescent="0.2">
      <c r="A1320" s="250" t="s">
        <v>426</v>
      </c>
      <c r="G1320" s="251" t="s">
        <v>310</v>
      </c>
    </row>
    <row r="1322" spans="1:7" x14ac:dyDescent="0.2">
      <c r="A1322" s="250"/>
      <c r="B1322" s="250" t="s">
        <v>324</v>
      </c>
      <c r="C1322" s="252"/>
      <c r="D1322" s="250"/>
      <c r="E1322" s="252"/>
      <c r="F1322" s="250"/>
      <c r="G1322" s="250">
        <v>0.91</v>
      </c>
    </row>
    <row r="1323" spans="1:7" x14ac:dyDescent="0.2">
      <c r="A1323" s="243" t="s">
        <v>295</v>
      </c>
      <c r="B1323" s="243" t="s">
        <v>513</v>
      </c>
      <c r="C1323" s="244" t="s">
        <v>330</v>
      </c>
      <c r="D1323" s="253">
        <v>0.1</v>
      </c>
      <c r="E1323" s="254">
        <v>1</v>
      </c>
      <c r="F1323" s="243">
        <v>9.1</v>
      </c>
      <c r="G1323" s="243">
        <v>0.91</v>
      </c>
    </row>
    <row r="1325" spans="1:7" x14ac:dyDescent="0.2">
      <c r="A1325" s="250"/>
      <c r="B1325" s="250" t="s">
        <v>294</v>
      </c>
      <c r="C1325" s="252"/>
      <c r="D1325" s="250"/>
      <c r="E1325" s="252"/>
      <c r="F1325" s="250"/>
      <c r="G1325" s="250">
        <v>0.98</v>
      </c>
    </row>
    <row r="1326" spans="1:7" x14ac:dyDescent="0.2">
      <c r="A1326" s="243" t="s">
        <v>295</v>
      </c>
      <c r="B1326" s="243" t="s">
        <v>514</v>
      </c>
      <c r="C1326" s="244" t="s">
        <v>297</v>
      </c>
      <c r="D1326" s="253">
        <v>2.5000000000000001E-3</v>
      </c>
      <c r="E1326" s="254">
        <v>1</v>
      </c>
      <c r="F1326" s="243">
        <v>150</v>
      </c>
      <c r="G1326" s="243">
        <v>0.38</v>
      </c>
    </row>
    <row r="1327" spans="1:7" x14ac:dyDescent="0.2">
      <c r="A1327" s="243" t="s">
        <v>295</v>
      </c>
      <c r="B1327" s="243" t="s">
        <v>503</v>
      </c>
      <c r="C1327" s="244" t="s">
        <v>297</v>
      </c>
      <c r="D1327" s="253">
        <v>1.2E-2</v>
      </c>
      <c r="E1327" s="254">
        <v>1</v>
      </c>
      <c r="F1327" s="243">
        <v>50</v>
      </c>
      <c r="G1327" s="243">
        <v>0.6</v>
      </c>
    </row>
    <row r="1329" spans="1:7" x14ac:dyDescent="0.2">
      <c r="A1329" s="250"/>
      <c r="B1329" s="250" t="s">
        <v>298</v>
      </c>
      <c r="C1329" s="252"/>
      <c r="D1329" s="255">
        <v>0.46300000000000002</v>
      </c>
      <c r="E1329" s="252"/>
      <c r="F1329" s="250"/>
      <c r="G1329" s="250">
        <v>4.63</v>
      </c>
    </row>
    <row r="1330" spans="1:7" x14ac:dyDescent="0.2">
      <c r="A1330" s="243" t="s">
        <v>295</v>
      </c>
      <c r="B1330" s="243" t="s">
        <v>521</v>
      </c>
      <c r="C1330" s="244" t="s">
        <v>299</v>
      </c>
      <c r="D1330" s="253">
        <v>0.46300000000000002</v>
      </c>
      <c r="E1330" s="254">
        <v>1</v>
      </c>
      <c r="F1330" s="243">
        <v>10</v>
      </c>
      <c r="G1330" s="243">
        <v>4.63</v>
      </c>
    </row>
    <row r="1332" spans="1:7" x14ac:dyDescent="0.2">
      <c r="A1332" s="250"/>
      <c r="B1332" s="250" t="s">
        <v>300</v>
      </c>
      <c r="C1332" s="252"/>
      <c r="D1332" s="250"/>
      <c r="E1332" s="252"/>
      <c r="F1332" s="250"/>
      <c r="G1332" s="250">
        <v>4.13</v>
      </c>
    </row>
    <row r="1333" spans="1:7" x14ac:dyDescent="0.2">
      <c r="B1333" s="243" t="s">
        <v>301</v>
      </c>
      <c r="C1333" s="244" t="s">
        <v>302</v>
      </c>
      <c r="D1333" s="243">
        <v>80</v>
      </c>
      <c r="G1333" s="243">
        <v>3.7</v>
      </c>
    </row>
    <row r="1334" spans="1:7" x14ac:dyDescent="0.2">
      <c r="B1334" s="243" t="s">
        <v>327</v>
      </c>
      <c r="C1334" s="244" t="s">
        <v>302</v>
      </c>
      <c r="D1334" s="243">
        <v>10</v>
      </c>
      <c r="G1334" s="243">
        <v>0.09</v>
      </c>
    </row>
    <row r="1335" spans="1:7" x14ac:dyDescent="0.2">
      <c r="B1335" s="243" t="s">
        <v>303</v>
      </c>
      <c r="C1335" s="244" t="s">
        <v>302</v>
      </c>
      <c r="D1335" s="243">
        <v>35</v>
      </c>
      <c r="G1335" s="243">
        <v>0.34</v>
      </c>
    </row>
    <row r="1337" spans="1:7" x14ac:dyDescent="0.2">
      <c r="A1337" s="250"/>
      <c r="B1337" s="250" t="s">
        <v>284</v>
      </c>
      <c r="C1337" s="252"/>
      <c r="D1337" s="250"/>
      <c r="E1337" s="252"/>
      <c r="F1337" s="250"/>
      <c r="G1337" s="250"/>
    </row>
    <row r="1338" spans="1:7" x14ac:dyDescent="0.2">
      <c r="B1338" s="243" t="s">
        <v>304</v>
      </c>
      <c r="G1338" s="243">
        <v>6.52</v>
      </c>
    </row>
    <row r="1339" spans="1:7" x14ac:dyDescent="0.2">
      <c r="B1339" s="243" t="s">
        <v>305</v>
      </c>
      <c r="G1339" s="243">
        <v>4.13</v>
      </c>
    </row>
    <row r="1340" spans="1:7" x14ac:dyDescent="0.2">
      <c r="B1340" s="243" t="s">
        <v>306</v>
      </c>
      <c r="G1340" s="243">
        <v>10.65</v>
      </c>
    </row>
    <row r="1341" spans="1:7" x14ac:dyDescent="0.2">
      <c r="B1341" s="243" t="s">
        <v>307</v>
      </c>
      <c r="C1341" s="244" t="s">
        <v>302</v>
      </c>
      <c r="D1341" s="243" t="s">
        <v>308</v>
      </c>
      <c r="G1341" s="243">
        <v>1.07</v>
      </c>
    </row>
    <row r="1343" spans="1:7" x14ac:dyDescent="0.2">
      <c r="A1343" s="248"/>
      <c r="B1343" s="248" t="s">
        <v>284</v>
      </c>
      <c r="C1343" s="249"/>
      <c r="D1343" s="248"/>
      <c r="E1343" s="249"/>
      <c r="F1343" s="248"/>
      <c r="G1343" s="248">
        <v>11.72</v>
      </c>
    </row>
    <row r="1345" spans="1:7" x14ac:dyDescent="0.2">
      <c r="A1345" s="248" t="s">
        <v>84</v>
      </c>
      <c r="B1345" s="248"/>
      <c r="C1345" s="249"/>
      <c r="D1345" s="248"/>
      <c r="E1345" s="249"/>
      <c r="F1345" s="248"/>
      <c r="G1345" s="248"/>
    </row>
    <row r="1346" spans="1:7" x14ac:dyDescent="0.2">
      <c r="A1346" s="250" t="s">
        <v>427</v>
      </c>
      <c r="G1346" s="251" t="s">
        <v>310</v>
      </c>
    </row>
    <row r="1348" spans="1:7" x14ac:dyDescent="0.2">
      <c r="A1348" s="250"/>
      <c r="B1348" s="250" t="s">
        <v>324</v>
      </c>
      <c r="C1348" s="252"/>
      <c r="D1348" s="250"/>
      <c r="E1348" s="252"/>
      <c r="F1348" s="250"/>
      <c r="G1348" s="250">
        <v>7.0000000000000007E-2</v>
      </c>
    </row>
    <row r="1349" spans="1:7" x14ac:dyDescent="0.2">
      <c r="A1349" s="243" t="s">
        <v>295</v>
      </c>
      <c r="B1349" s="243" t="s">
        <v>515</v>
      </c>
      <c r="C1349" s="244" t="s">
        <v>325</v>
      </c>
      <c r="D1349" s="253">
        <v>6.9999999999999999E-4</v>
      </c>
      <c r="E1349" s="254">
        <v>1</v>
      </c>
      <c r="F1349" s="243">
        <v>100</v>
      </c>
      <c r="G1349" s="243">
        <v>7.0000000000000007E-2</v>
      </c>
    </row>
    <row r="1351" spans="1:7" x14ac:dyDescent="0.2">
      <c r="A1351" s="250"/>
      <c r="B1351" s="250" t="s">
        <v>294</v>
      </c>
      <c r="C1351" s="252"/>
      <c r="D1351" s="250"/>
      <c r="E1351" s="252"/>
      <c r="F1351" s="250"/>
      <c r="G1351" s="250">
        <v>1.05</v>
      </c>
    </row>
    <row r="1352" spans="1:7" x14ac:dyDescent="0.2">
      <c r="A1352" s="243" t="s">
        <v>295</v>
      </c>
      <c r="B1352" s="243" t="s">
        <v>428</v>
      </c>
      <c r="C1352" s="244" t="s">
        <v>297</v>
      </c>
      <c r="D1352" s="253">
        <v>1E-3</v>
      </c>
      <c r="E1352" s="254">
        <v>1</v>
      </c>
      <c r="F1352" s="243">
        <v>150</v>
      </c>
      <c r="G1352" s="243">
        <v>0.15</v>
      </c>
    </row>
    <row r="1353" spans="1:7" x14ac:dyDescent="0.2">
      <c r="A1353" s="243" t="s">
        <v>295</v>
      </c>
      <c r="B1353" s="243" t="s">
        <v>516</v>
      </c>
      <c r="C1353" s="244" t="s">
        <v>297</v>
      </c>
      <c r="D1353" s="253">
        <v>0.03</v>
      </c>
      <c r="E1353" s="254">
        <v>1</v>
      </c>
      <c r="F1353" s="243">
        <v>30</v>
      </c>
      <c r="G1353" s="243">
        <v>0.9</v>
      </c>
    </row>
    <row r="1355" spans="1:7" x14ac:dyDescent="0.2">
      <c r="A1355" s="250"/>
      <c r="B1355" s="250" t="s">
        <v>298</v>
      </c>
      <c r="C1355" s="252"/>
      <c r="D1355" s="255">
        <v>1.2E-2</v>
      </c>
      <c r="E1355" s="252"/>
      <c r="F1355" s="250"/>
      <c r="G1355" s="250">
        <v>0.12</v>
      </c>
    </row>
    <row r="1356" spans="1:7" x14ac:dyDescent="0.2">
      <c r="A1356" s="243" t="s">
        <v>295</v>
      </c>
      <c r="B1356" s="243" t="s">
        <v>521</v>
      </c>
      <c r="C1356" s="244" t="s">
        <v>299</v>
      </c>
      <c r="D1356" s="253">
        <v>1.2E-2</v>
      </c>
      <c r="E1356" s="254">
        <v>1</v>
      </c>
      <c r="F1356" s="243">
        <v>10</v>
      </c>
      <c r="G1356" s="243">
        <v>0.12</v>
      </c>
    </row>
    <row r="1358" spans="1:7" x14ac:dyDescent="0.2">
      <c r="A1358" s="250"/>
      <c r="B1358" s="250" t="s">
        <v>300</v>
      </c>
      <c r="C1358" s="252"/>
      <c r="D1358" s="250"/>
      <c r="E1358" s="252"/>
      <c r="F1358" s="250"/>
      <c r="G1358" s="250">
        <v>0.48</v>
      </c>
    </row>
    <row r="1359" spans="1:7" x14ac:dyDescent="0.2">
      <c r="B1359" s="243" t="s">
        <v>301</v>
      </c>
      <c r="C1359" s="244" t="s">
        <v>302</v>
      </c>
      <c r="D1359" s="243">
        <v>80</v>
      </c>
      <c r="G1359" s="243">
        <v>0.1</v>
      </c>
    </row>
    <row r="1360" spans="1:7" x14ac:dyDescent="0.2">
      <c r="B1360" s="243" t="s">
        <v>327</v>
      </c>
      <c r="C1360" s="244" t="s">
        <v>302</v>
      </c>
      <c r="D1360" s="243">
        <v>10</v>
      </c>
      <c r="G1360" s="243">
        <v>0.01</v>
      </c>
    </row>
    <row r="1361" spans="1:7" x14ac:dyDescent="0.2">
      <c r="B1361" s="243" t="s">
        <v>303</v>
      </c>
      <c r="C1361" s="244" t="s">
        <v>302</v>
      </c>
      <c r="D1361" s="243">
        <v>35</v>
      </c>
      <c r="G1361" s="243">
        <v>0.37</v>
      </c>
    </row>
    <row r="1363" spans="1:7" x14ac:dyDescent="0.2">
      <c r="A1363" s="250"/>
      <c r="B1363" s="250" t="s">
        <v>284</v>
      </c>
      <c r="C1363" s="252"/>
      <c r="D1363" s="250"/>
      <c r="E1363" s="252"/>
      <c r="F1363" s="250"/>
      <c r="G1363" s="250"/>
    </row>
    <row r="1364" spans="1:7" x14ac:dyDescent="0.2">
      <c r="B1364" s="243" t="s">
        <v>304</v>
      </c>
      <c r="G1364" s="243">
        <v>1.24</v>
      </c>
    </row>
    <row r="1365" spans="1:7" x14ac:dyDescent="0.2">
      <c r="B1365" s="243" t="s">
        <v>305</v>
      </c>
      <c r="G1365" s="243">
        <v>0.48</v>
      </c>
    </row>
    <row r="1366" spans="1:7" x14ac:dyDescent="0.2">
      <c r="B1366" s="243" t="s">
        <v>306</v>
      </c>
      <c r="G1366" s="243">
        <v>1.72</v>
      </c>
    </row>
    <row r="1367" spans="1:7" x14ac:dyDescent="0.2">
      <c r="B1367" s="243" t="s">
        <v>307</v>
      </c>
      <c r="C1367" s="244" t="s">
        <v>302</v>
      </c>
      <c r="D1367" s="243" t="s">
        <v>308</v>
      </c>
      <c r="G1367" s="243">
        <v>0.17</v>
      </c>
    </row>
    <row r="1369" spans="1:7" x14ac:dyDescent="0.2">
      <c r="A1369" s="248"/>
      <c r="B1369" s="248" t="s">
        <v>284</v>
      </c>
      <c r="C1369" s="249"/>
      <c r="D1369" s="248"/>
      <c r="E1369" s="249"/>
      <c r="F1369" s="248"/>
      <c r="G1369" s="248">
        <v>1.89</v>
      </c>
    </row>
    <row r="1371" spans="1:7" x14ac:dyDescent="0.2">
      <c r="A1371" s="248" t="s">
        <v>85</v>
      </c>
      <c r="B1371" s="248"/>
      <c r="C1371" s="249"/>
      <c r="D1371" s="248"/>
      <c r="E1371" s="249"/>
      <c r="F1371" s="248"/>
      <c r="G1371" s="248"/>
    </row>
    <row r="1372" spans="1:7" x14ac:dyDescent="0.2">
      <c r="A1372" s="250" t="s">
        <v>429</v>
      </c>
      <c r="G1372" s="251" t="s">
        <v>420</v>
      </c>
    </row>
    <row r="1374" spans="1:7" x14ac:dyDescent="0.2">
      <c r="A1374" s="250"/>
      <c r="B1374" s="250" t="s">
        <v>324</v>
      </c>
      <c r="C1374" s="252"/>
      <c r="D1374" s="250"/>
      <c r="E1374" s="252"/>
      <c r="F1374" s="250"/>
      <c r="G1374" s="250">
        <v>82.1</v>
      </c>
    </row>
    <row r="1375" spans="1:7" x14ac:dyDescent="0.2">
      <c r="A1375" s="243" t="s">
        <v>295</v>
      </c>
      <c r="B1375" s="243" t="s">
        <v>430</v>
      </c>
      <c r="C1375" s="244" t="s">
        <v>405</v>
      </c>
      <c r="D1375" s="253">
        <v>1.0009999999999999</v>
      </c>
      <c r="E1375" s="254">
        <v>1</v>
      </c>
      <c r="F1375" s="243">
        <v>82</v>
      </c>
      <c r="G1375" s="243">
        <v>82.08</v>
      </c>
    </row>
    <row r="1376" spans="1:7" x14ac:dyDescent="0.2">
      <c r="A1376" s="243" t="s">
        <v>295</v>
      </c>
      <c r="B1376" s="243" t="s">
        <v>517</v>
      </c>
      <c r="C1376" s="244" t="s">
        <v>330</v>
      </c>
      <c r="D1376" s="253">
        <v>0.01</v>
      </c>
      <c r="E1376" s="254">
        <v>1</v>
      </c>
      <c r="F1376" s="243">
        <v>1.83</v>
      </c>
      <c r="G1376" s="243">
        <v>0.02</v>
      </c>
    </row>
    <row r="1378" spans="1:7" x14ac:dyDescent="0.2">
      <c r="A1378" s="250"/>
      <c r="B1378" s="250" t="s">
        <v>294</v>
      </c>
      <c r="C1378" s="252"/>
      <c r="D1378" s="250"/>
      <c r="E1378" s="252"/>
      <c r="F1378" s="250"/>
      <c r="G1378" s="250">
        <v>9.9</v>
      </c>
    </row>
    <row r="1379" spans="1:7" x14ac:dyDescent="0.2">
      <c r="A1379" s="243" t="s">
        <v>295</v>
      </c>
      <c r="B1379" s="243" t="s">
        <v>406</v>
      </c>
      <c r="C1379" s="244" t="s">
        <v>297</v>
      </c>
      <c r="D1379" s="253">
        <v>1.0999999999999999E-2</v>
      </c>
      <c r="E1379" s="254">
        <v>1</v>
      </c>
      <c r="F1379" s="243">
        <v>300</v>
      </c>
      <c r="G1379" s="243">
        <v>3.3</v>
      </c>
    </row>
    <row r="1380" spans="1:7" x14ac:dyDescent="0.2">
      <c r="A1380" s="243" t="s">
        <v>295</v>
      </c>
      <c r="B1380" s="243" t="s">
        <v>509</v>
      </c>
      <c r="C1380" s="244" t="s">
        <v>297</v>
      </c>
      <c r="D1380" s="253">
        <v>2.1999999999999999E-2</v>
      </c>
      <c r="E1380" s="254">
        <v>1</v>
      </c>
      <c r="F1380" s="243">
        <v>150</v>
      </c>
      <c r="G1380" s="243">
        <v>3.3</v>
      </c>
    </row>
    <row r="1381" spans="1:7" x14ac:dyDescent="0.2">
      <c r="A1381" s="243" t="s">
        <v>295</v>
      </c>
      <c r="B1381" s="243" t="s">
        <v>510</v>
      </c>
      <c r="C1381" s="244" t="s">
        <v>297</v>
      </c>
      <c r="D1381" s="253">
        <v>1.0999999999999999E-2</v>
      </c>
      <c r="E1381" s="254">
        <v>1</v>
      </c>
      <c r="F1381" s="243">
        <v>150</v>
      </c>
      <c r="G1381" s="243">
        <v>1.65</v>
      </c>
    </row>
    <row r="1382" spans="1:7" x14ac:dyDescent="0.2">
      <c r="A1382" s="243" t="s">
        <v>295</v>
      </c>
      <c r="B1382" s="243" t="s">
        <v>518</v>
      </c>
      <c r="C1382" s="244" t="s">
        <v>297</v>
      </c>
      <c r="D1382" s="253">
        <v>1.0999999999999999E-2</v>
      </c>
      <c r="E1382" s="254">
        <v>1</v>
      </c>
      <c r="F1382" s="243">
        <v>150</v>
      </c>
      <c r="G1382" s="243">
        <v>1.65</v>
      </c>
    </row>
    <row r="1384" spans="1:7" x14ac:dyDescent="0.2">
      <c r="A1384" s="250"/>
      <c r="B1384" s="250" t="s">
        <v>298</v>
      </c>
      <c r="C1384" s="252"/>
      <c r="D1384" s="255">
        <v>1.014</v>
      </c>
      <c r="E1384" s="252"/>
      <c r="F1384" s="250"/>
      <c r="G1384" s="250">
        <v>10.14</v>
      </c>
    </row>
    <row r="1385" spans="1:7" x14ac:dyDescent="0.2">
      <c r="A1385" s="243" t="s">
        <v>295</v>
      </c>
      <c r="B1385" s="243" t="s">
        <v>521</v>
      </c>
      <c r="C1385" s="244" t="s">
        <v>299</v>
      </c>
      <c r="D1385" s="253">
        <v>0.57999999999999996</v>
      </c>
      <c r="E1385" s="254">
        <v>1</v>
      </c>
      <c r="F1385" s="243">
        <v>10</v>
      </c>
      <c r="G1385" s="243">
        <v>5.8</v>
      </c>
    </row>
    <row r="1386" spans="1:7" x14ac:dyDescent="0.2">
      <c r="A1386" s="243" t="s">
        <v>295</v>
      </c>
      <c r="B1386" s="243" t="s">
        <v>521</v>
      </c>
      <c r="C1386" s="244" t="s">
        <v>299</v>
      </c>
      <c r="D1386" s="253">
        <v>0.434</v>
      </c>
      <c r="E1386" s="254">
        <v>1</v>
      </c>
      <c r="F1386" s="243">
        <v>10</v>
      </c>
      <c r="G1386" s="243">
        <v>4.34</v>
      </c>
    </row>
    <row r="1388" spans="1:7" x14ac:dyDescent="0.2">
      <c r="A1388" s="250"/>
      <c r="B1388" s="250" t="s">
        <v>300</v>
      </c>
      <c r="C1388" s="252"/>
      <c r="D1388" s="250"/>
      <c r="E1388" s="252"/>
      <c r="F1388" s="250"/>
      <c r="G1388" s="250">
        <v>19.79</v>
      </c>
    </row>
    <row r="1389" spans="1:7" x14ac:dyDescent="0.2">
      <c r="B1389" s="243" t="s">
        <v>301</v>
      </c>
      <c r="C1389" s="244" t="s">
        <v>302</v>
      </c>
      <c r="D1389" s="243">
        <v>80</v>
      </c>
      <c r="G1389" s="243">
        <v>8.11</v>
      </c>
    </row>
    <row r="1390" spans="1:7" x14ac:dyDescent="0.2">
      <c r="B1390" s="243" t="s">
        <v>327</v>
      </c>
      <c r="C1390" s="244" t="s">
        <v>302</v>
      </c>
      <c r="D1390" s="243">
        <v>10</v>
      </c>
      <c r="G1390" s="243">
        <v>8.2100000000000009</v>
      </c>
    </row>
    <row r="1391" spans="1:7" x14ac:dyDescent="0.2">
      <c r="B1391" s="243" t="s">
        <v>303</v>
      </c>
      <c r="C1391" s="244" t="s">
        <v>302</v>
      </c>
      <c r="D1391" s="243">
        <v>35</v>
      </c>
      <c r="G1391" s="243">
        <v>3.47</v>
      </c>
    </row>
    <row r="1393" spans="1:7" x14ac:dyDescent="0.2">
      <c r="A1393" s="250"/>
      <c r="B1393" s="250" t="s">
        <v>284</v>
      </c>
      <c r="C1393" s="252"/>
      <c r="D1393" s="250"/>
      <c r="E1393" s="252"/>
      <c r="F1393" s="250"/>
      <c r="G1393" s="250"/>
    </row>
    <row r="1394" spans="1:7" x14ac:dyDescent="0.2">
      <c r="B1394" s="243" t="s">
        <v>304</v>
      </c>
      <c r="G1394" s="243">
        <v>102.14</v>
      </c>
    </row>
    <row r="1395" spans="1:7" x14ac:dyDescent="0.2">
      <c r="B1395" s="243" t="s">
        <v>305</v>
      </c>
      <c r="G1395" s="243">
        <v>19.79</v>
      </c>
    </row>
    <row r="1396" spans="1:7" x14ac:dyDescent="0.2">
      <c r="B1396" s="243" t="s">
        <v>306</v>
      </c>
      <c r="G1396" s="243">
        <v>121.93</v>
      </c>
    </row>
    <row r="1397" spans="1:7" x14ac:dyDescent="0.2">
      <c r="B1397" s="243" t="s">
        <v>307</v>
      </c>
      <c r="C1397" s="244" t="s">
        <v>302</v>
      </c>
      <c r="D1397" s="243" t="s">
        <v>308</v>
      </c>
      <c r="G1397" s="243">
        <v>12.19</v>
      </c>
    </row>
    <row r="1399" spans="1:7" x14ac:dyDescent="0.2">
      <c r="A1399" s="248"/>
      <c r="B1399" s="248" t="s">
        <v>284</v>
      </c>
      <c r="C1399" s="249"/>
      <c r="D1399" s="248"/>
      <c r="E1399" s="249"/>
      <c r="F1399" s="248"/>
      <c r="G1399" s="248">
        <v>134.12</v>
      </c>
    </row>
    <row r="1401" spans="1:7" x14ac:dyDescent="0.2">
      <c r="A1401" s="248" t="s">
        <v>22</v>
      </c>
      <c r="B1401" s="248"/>
      <c r="C1401" s="249"/>
      <c r="D1401" s="248"/>
      <c r="E1401" s="249"/>
      <c r="F1401" s="248"/>
      <c r="G1401" s="248"/>
    </row>
    <row r="1402" spans="1:7" x14ac:dyDescent="0.2">
      <c r="A1402" s="250" t="s">
        <v>431</v>
      </c>
      <c r="G1402" s="251" t="s">
        <v>313</v>
      </c>
    </row>
    <row r="1404" spans="1:7" x14ac:dyDescent="0.2">
      <c r="A1404" s="250"/>
      <c r="B1404" s="250" t="s">
        <v>298</v>
      </c>
      <c r="C1404" s="252"/>
      <c r="D1404" s="255">
        <v>1.23</v>
      </c>
      <c r="E1404" s="252"/>
      <c r="F1404" s="250"/>
      <c r="G1404" s="250">
        <v>12.3</v>
      </c>
    </row>
    <row r="1405" spans="1:7" x14ac:dyDescent="0.2">
      <c r="A1405" s="243" t="s">
        <v>295</v>
      </c>
      <c r="B1405" s="243" t="s">
        <v>521</v>
      </c>
      <c r="C1405" s="244" t="s">
        <v>299</v>
      </c>
      <c r="D1405" s="253">
        <v>0.82</v>
      </c>
      <c r="E1405" s="254">
        <v>1</v>
      </c>
      <c r="F1405" s="243">
        <v>10</v>
      </c>
      <c r="G1405" s="243">
        <v>8.1999999999999993</v>
      </c>
    </row>
    <row r="1406" spans="1:7" x14ac:dyDescent="0.2">
      <c r="A1406" s="243" t="s">
        <v>295</v>
      </c>
      <c r="B1406" s="243" t="s">
        <v>521</v>
      </c>
      <c r="C1406" s="244" t="s">
        <v>299</v>
      </c>
      <c r="D1406" s="253">
        <v>0.41</v>
      </c>
      <c r="E1406" s="254">
        <v>1</v>
      </c>
      <c r="F1406" s="243">
        <v>10</v>
      </c>
      <c r="G1406" s="243">
        <v>4.0999999999999996</v>
      </c>
    </row>
    <row r="1408" spans="1:7" x14ac:dyDescent="0.2">
      <c r="A1408" s="250"/>
      <c r="B1408" s="250" t="s">
        <v>300</v>
      </c>
      <c r="C1408" s="252"/>
      <c r="D1408" s="250"/>
      <c r="E1408" s="252"/>
      <c r="F1408" s="250"/>
      <c r="G1408" s="250">
        <v>9.84</v>
      </c>
    </row>
    <row r="1409" spans="1:7" x14ac:dyDescent="0.2">
      <c r="B1409" s="243" t="s">
        <v>301</v>
      </c>
      <c r="C1409" s="244" t="s">
        <v>302</v>
      </c>
      <c r="D1409" s="243">
        <v>80</v>
      </c>
      <c r="G1409" s="243">
        <v>9.84</v>
      </c>
    </row>
    <row r="1411" spans="1:7" x14ac:dyDescent="0.2">
      <c r="A1411" s="250"/>
      <c r="B1411" s="250" t="s">
        <v>284</v>
      </c>
      <c r="C1411" s="252"/>
      <c r="D1411" s="250"/>
      <c r="E1411" s="252"/>
      <c r="F1411" s="250"/>
      <c r="G1411" s="250"/>
    </row>
    <row r="1412" spans="1:7" x14ac:dyDescent="0.2">
      <c r="B1412" s="243" t="s">
        <v>304</v>
      </c>
      <c r="G1412" s="243">
        <v>12.3</v>
      </c>
    </row>
    <row r="1413" spans="1:7" x14ac:dyDescent="0.2">
      <c r="B1413" s="243" t="s">
        <v>305</v>
      </c>
      <c r="G1413" s="243">
        <v>9.84</v>
      </c>
    </row>
    <row r="1414" spans="1:7" x14ac:dyDescent="0.2">
      <c r="B1414" s="243" t="s">
        <v>306</v>
      </c>
      <c r="G1414" s="243">
        <v>22.14</v>
      </c>
    </row>
    <row r="1415" spans="1:7" x14ac:dyDescent="0.2">
      <c r="B1415" s="243" t="s">
        <v>307</v>
      </c>
      <c r="C1415" s="244" t="s">
        <v>302</v>
      </c>
      <c r="D1415" s="243" t="s">
        <v>308</v>
      </c>
      <c r="G1415" s="243">
        <v>2.21</v>
      </c>
    </row>
    <row r="1417" spans="1:7" x14ac:dyDescent="0.2">
      <c r="A1417" s="248"/>
      <c r="B1417" s="248" t="s">
        <v>284</v>
      </c>
      <c r="C1417" s="249"/>
      <c r="D1417" s="248"/>
      <c r="E1417" s="249"/>
      <c r="F1417" s="248"/>
      <c r="G1417" s="248">
        <v>24.35</v>
      </c>
    </row>
    <row r="1419" spans="1:7" x14ac:dyDescent="0.2">
      <c r="A1419" s="248" t="s">
        <v>108</v>
      </c>
      <c r="B1419" s="248"/>
      <c r="C1419" s="249"/>
      <c r="D1419" s="248"/>
      <c r="E1419" s="249"/>
      <c r="F1419" s="248"/>
      <c r="G1419" s="248"/>
    </row>
    <row r="1420" spans="1:7" x14ac:dyDescent="0.2">
      <c r="A1420" s="250" t="s">
        <v>432</v>
      </c>
      <c r="G1420" s="251" t="s">
        <v>343</v>
      </c>
    </row>
    <row r="1422" spans="1:7" x14ac:dyDescent="0.2">
      <c r="A1422" s="250"/>
      <c r="B1422" s="250" t="s">
        <v>324</v>
      </c>
      <c r="C1422" s="252"/>
      <c r="D1422" s="250"/>
      <c r="E1422" s="252"/>
      <c r="F1422" s="250"/>
      <c r="G1422" s="250">
        <v>29.9</v>
      </c>
    </row>
    <row r="1423" spans="1:7" x14ac:dyDescent="0.2">
      <c r="A1423" s="243" t="s">
        <v>295</v>
      </c>
      <c r="B1423" s="243" t="s">
        <v>108</v>
      </c>
      <c r="C1423" s="244" t="s">
        <v>350</v>
      </c>
      <c r="D1423" s="253">
        <v>1</v>
      </c>
      <c r="E1423" s="254">
        <v>1</v>
      </c>
      <c r="F1423" s="243">
        <v>29.9</v>
      </c>
      <c r="G1423" s="243">
        <v>29.9</v>
      </c>
    </row>
    <row r="1425" spans="1:7" x14ac:dyDescent="0.2">
      <c r="A1425" s="250"/>
      <c r="B1425" s="250" t="s">
        <v>294</v>
      </c>
      <c r="C1425" s="252"/>
      <c r="D1425" s="250"/>
      <c r="E1425" s="252"/>
      <c r="F1425" s="250"/>
      <c r="G1425" s="250">
        <v>4.2</v>
      </c>
    </row>
    <row r="1426" spans="1:7" x14ac:dyDescent="0.2">
      <c r="A1426" s="243" t="s">
        <v>295</v>
      </c>
      <c r="B1426" s="243" t="s">
        <v>363</v>
      </c>
      <c r="C1426" s="244" t="s">
        <v>297</v>
      </c>
      <c r="D1426" s="253">
        <v>0.14000000000000001</v>
      </c>
      <c r="E1426" s="254">
        <v>1</v>
      </c>
      <c r="F1426" s="243">
        <v>30</v>
      </c>
      <c r="G1426" s="243">
        <v>4.2</v>
      </c>
    </row>
    <row r="1428" spans="1:7" x14ac:dyDescent="0.2">
      <c r="A1428" s="250"/>
      <c r="B1428" s="250" t="s">
        <v>298</v>
      </c>
      <c r="C1428" s="252"/>
      <c r="D1428" s="255">
        <v>0.38</v>
      </c>
      <c r="E1428" s="252"/>
      <c r="F1428" s="250"/>
      <c r="G1428" s="250">
        <v>3.8</v>
      </c>
    </row>
    <row r="1429" spans="1:7" x14ac:dyDescent="0.2">
      <c r="A1429" s="243" t="s">
        <v>295</v>
      </c>
      <c r="B1429" s="243" t="s">
        <v>351</v>
      </c>
      <c r="C1429" s="244" t="s">
        <v>299</v>
      </c>
      <c r="D1429" s="253">
        <v>0.38</v>
      </c>
      <c r="E1429" s="254">
        <v>1</v>
      </c>
      <c r="F1429" s="243">
        <v>10</v>
      </c>
      <c r="G1429" s="243">
        <v>3.8</v>
      </c>
    </row>
    <row r="1431" spans="1:7" x14ac:dyDescent="0.2">
      <c r="A1431" s="250"/>
      <c r="B1431" s="250" t="s">
        <v>300</v>
      </c>
      <c r="C1431" s="252"/>
      <c r="D1431" s="250"/>
      <c r="E1431" s="252"/>
      <c r="F1431" s="250"/>
      <c r="G1431" s="250">
        <v>7.5</v>
      </c>
    </row>
    <row r="1432" spans="1:7" x14ac:dyDescent="0.2">
      <c r="B1432" s="243" t="s">
        <v>301</v>
      </c>
      <c r="C1432" s="244" t="s">
        <v>302</v>
      </c>
      <c r="D1432" s="243">
        <v>80</v>
      </c>
      <c r="G1432" s="243">
        <v>3.04</v>
      </c>
    </row>
    <row r="1433" spans="1:7" x14ac:dyDescent="0.2">
      <c r="B1433" s="243" t="s">
        <v>327</v>
      </c>
      <c r="C1433" s="244" t="s">
        <v>302</v>
      </c>
      <c r="D1433" s="243">
        <v>10</v>
      </c>
      <c r="G1433" s="243">
        <v>2.99</v>
      </c>
    </row>
    <row r="1434" spans="1:7" x14ac:dyDescent="0.2">
      <c r="B1434" s="243" t="s">
        <v>303</v>
      </c>
      <c r="C1434" s="244" t="s">
        <v>302</v>
      </c>
      <c r="D1434" s="243">
        <v>35</v>
      </c>
      <c r="G1434" s="243">
        <v>1.47</v>
      </c>
    </row>
    <row r="1436" spans="1:7" x14ac:dyDescent="0.2">
      <c r="A1436" s="250"/>
      <c r="B1436" s="250" t="s">
        <v>284</v>
      </c>
      <c r="C1436" s="252"/>
      <c r="D1436" s="250"/>
      <c r="E1436" s="252"/>
      <c r="F1436" s="250"/>
      <c r="G1436" s="250"/>
    </row>
    <row r="1437" spans="1:7" x14ac:dyDescent="0.2">
      <c r="B1437" s="243" t="s">
        <v>304</v>
      </c>
      <c r="G1437" s="243">
        <v>37.9</v>
      </c>
    </row>
    <row r="1438" spans="1:7" x14ac:dyDescent="0.2">
      <c r="B1438" s="243" t="s">
        <v>305</v>
      </c>
      <c r="G1438" s="243">
        <v>7.5</v>
      </c>
    </row>
    <row r="1439" spans="1:7" x14ac:dyDescent="0.2">
      <c r="B1439" s="243" t="s">
        <v>306</v>
      </c>
      <c r="G1439" s="243">
        <v>45.4</v>
      </c>
    </row>
    <row r="1440" spans="1:7" x14ac:dyDescent="0.2">
      <c r="B1440" s="243" t="s">
        <v>307</v>
      </c>
      <c r="C1440" s="244" t="s">
        <v>302</v>
      </c>
      <c r="D1440" s="243" t="s">
        <v>308</v>
      </c>
      <c r="G1440" s="243">
        <v>4.54</v>
      </c>
    </row>
    <row r="1442" spans="1:7" x14ac:dyDescent="0.2">
      <c r="A1442" s="248"/>
      <c r="B1442" s="248" t="s">
        <v>284</v>
      </c>
      <c r="C1442" s="249"/>
      <c r="D1442" s="248"/>
      <c r="E1442" s="249"/>
      <c r="F1442" s="248"/>
      <c r="G1442" s="248">
        <v>49.94</v>
      </c>
    </row>
    <row r="1444" spans="1:7" x14ac:dyDescent="0.2">
      <c r="A1444" s="248" t="s">
        <v>110</v>
      </c>
      <c r="B1444" s="248"/>
      <c r="C1444" s="249"/>
      <c r="D1444" s="248"/>
      <c r="E1444" s="249"/>
      <c r="F1444" s="248"/>
      <c r="G1444" s="248"/>
    </row>
    <row r="1445" spans="1:7" x14ac:dyDescent="0.2">
      <c r="A1445" s="250" t="s">
        <v>433</v>
      </c>
      <c r="G1445" s="251" t="s">
        <v>310</v>
      </c>
    </row>
    <row r="1447" spans="1:7" x14ac:dyDescent="0.2">
      <c r="A1447" s="250"/>
      <c r="B1447" s="250" t="s">
        <v>324</v>
      </c>
      <c r="C1447" s="252"/>
      <c r="D1447" s="250"/>
      <c r="E1447" s="252"/>
      <c r="F1447" s="250"/>
      <c r="G1447" s="250">
        <v>1.44</v>
      </c>
    </row>
    <row r="1448" spans="1:7" x14ac:dyDescent="0.2">
      <c r="A1448" s="243" t="s">
        <v>295</v>
      </c>
      <c r="B1448" s="243" t="s">
        <v>434</v>
      </c>
      <c r="C1448" s="244" t="s">
        <v>330</v>
      </c>
      <c r="D1448" s="253">
        <v>0.12</v>
      </c>
      <c r="E1448" s="254">
        <v>1</v>
      </c>
      <c r="F1448" s="243">
        <v>12</v>
      </c>
      <c r="G1448" s="243">
        <v>1.44</v>
      </c>
    </row>
    <row r="1450" spans="1:7" x14ac:dyDescent="0.2">
      <c r="A1450" s="250"/>
      <c r="B1450" s="250" t="s">
        <v>294</v>
      </c>
      <c r="C1450" s="252"/>
      <c r="D1450" s="250"/>
      <c r="E1450" s="252"/>
      <c r="F1450" s="250"/>
      <c r="G1450" s="250">
        <v>1.5</v>
      </c>
    </row>
    <row r="1451" spans="1:7" x14ac:dyDescent="0.2">
      <c r="A1451" s="243" t="s">
        <v>295</v>
      </c>
      <c r="B1451" s="243" t="s">
        <v>334</v>
      </c>
      <c r="C1451" s="244" t="s">
        <v>297</v>
      </c>
      <c r="D1451" s="253">
        <v>8.0000000000000002E-3</v>
      </c>
      <c r="E1451" s="254">
        <v>1</v>
      </c>
      <c r="F1451" s="243">
        <v>150</v>
      </c>
      <c r="G1451" s="243">
        <v>1.2</v>
      </c>
    </row>
    <row r="1452" spans="1:7" x14ac:dyDescent="0.2">
      <c r="A1452" s="243" t="s">
        <v>295</v>
      </c>
      <c r="B1452" s="243" t="s">
        <v>519</v>
      </c>
      <c r="C1452" s="244" t="s">
        <v>297</v>
      </c>
      <c r="D1452" s="253">
        <v>0.01</v>
      </c>
      <c r="E1452" s="254">
        <v>1</v>
      </c>
      <c r="F1452" s="243">
        <v>30</v>
      </c>
      <c r="G1452" s="243">
        <v>0.3</v>
      </c>
    </row>
    <row r="1454" spans="1:7" x14ac:dyDescent="0.2">
      <c r="A1454" s="250"/>
      <c r="B1454" s="250" t="s">
        <v>298</v>
      </c>
      <c r="C1454" s="252"/>
      <c r="D1454" s="255">
        <v>0.46</v>
      </c>
      <c r="E1454" s="252"/>
      <c r="F1454" s="250"/>
      <c r="G1454" s="250">
        <v>4.5999999999999996</v>
      </c>
    </row>
    <row r="1455" spans="1:7" x14ac:dyDescent="0.2">
      <c r="A1455" s="243" t="s">
        <v>295</v>
      </c>
      <c r="B1455" s="243" t="s">
        <v>521</v>
      </c>
      <c r="C1455" s="244" t="s">
        <v>299</v>
      </c>
      <c r="D1455" s="253">
        <v>0.35</v>
      </c>
      <c r="E1455" s="254">
        <v>1</v>
      </c>
      <c r="F1455" s="243">
        <v>10</v>
      </c>
      <c r="G1455" s="243">
        <v>3.5</v>
      </c>
    </row>
    <row r="1456" spans="1:7" x14ac:dyDescent="0.2">
      <c r="A1456" s="243" t="s">
        <v>295</v>
      </c>
      <c r="B1456" s="243" t="s">
        <v>521</v>
      </c>
      <c r="C1456" s="244" t="s">
        <v>299</v>
      </c>
      <c r="D1456" s="253">
        <v>0.11</v>
      </c>
      <c r="E1456" s="254">
        <v>1</v>
      </c>
      <c r="F1456" s="243">
        <v>10</v>
      </c>
      <c r="G1456" s="243">
        <v>1.1000000000000001</v>
      </c>
    </row>
    <row r="1458" spans="1:7" x14ac:dyDescent="0.2">
      <c r="A1458" s="250"/>
      <c r="B1458" s="250" t="s">
        <v>300</v>
      </c>
      <c r="C1458" s="252"/>
      <c r="D1458" s="250"/>
      <c r="E1458" s="252"/>
      <c r="F1458" s="250"/>
      <c r="G1458" s="250">
        <v>4.3499999999999996</v>
      </c>
    </row>
    <row r="1459" spans="1:7" x14ac:dyDescent="0.2">
      <c r="B1459" s="243" t="s">
        <v>301</v>
      </c>
      <c r="C1459" s="244" t="s">
        <v>302</v>
      </c>
      <c r="D1459" s="243">
        <v>80</v>
      </c>
      <c r="G1459" s="243">
        <v>3.68</v>
      </c>
    </row>
    <row r="1460" spans="1:7" x14ac:dyDescent="0.2">
      <c r="B1460" s="243" t="s">
        <v>327</v>
      </c>
      <c r="C1460" s="244" t="s">
        <v>302</v>
      </c>
      <c r="D1460" s="243">
        <v>10</v>
      </c>
      <c r="G1460" s="243">
        <v>0.14000000000000001</v>
      </c>
    </row>
    <row r="1461" spans="1:7" x14ac:dyDescent="0.2">
      <c r="B1461" s="243" t="s">
        <v>303</v>
      </c>
      <c r="C1461" s="244" t="s">
        <v>302</v>
      </c>
      <c r="D1461" s="243">
        <v>35</v>
      </c>
      <c r="G1461" s="243">
        <v>0.53</v>
      </c>
    </row>
    <row r="1463" spans="1:7" x14ac:dyDescent="0.2">
      <c r="A1463" s="250"/>
      <c r="B1463" s="250" t="s">
        <v>284</v>
      </c>
      <c r="C1463" s="252"/>
      <c r="D1463" s="250"/>
      <c r="E1463" s="252"/>
      <c r="F1463" s="250"/>
      <c r="G1463" s="250"/>
    </row>
    <row r="1464" spans="1:7" x14ac:dyDescent="0.2">
      <c r="B1464" s="243" t="s">
        <v>304</v>
      </c>
      <c r="G1464" s="243">
        <v>7.54</v>
      </c>
    </row>
    <row r="1465" spans="1:7" x14ac:dyDescent="0.2">
      <c r="B1465" s="243" t="s">
        <v>305</v>
      </c>
      <c r="G1465" s="243">
        <v>4.3499999999999996</v>
      </c>
    </row>
    <row r="1466" spans="1:7" x14ac:dyDescent="0.2">
      <c r="B1466" s="243" t="s">
        <v>306</v>
      </c>
      <c r="G1466" s="243">
        <v>11.89</v>
      </c>
    </row>
    <row r="1467" spans="1:7" x14ac:dyDescent="0.2">
      <c r="B1467" s="243" t="s">
        <v>307</v>
      </c>
      <c r="C1467" s="244" t="s">
        <v>302</v>
      </c>
      <c r="D1467" s="243" t="s">
        <v>308</v>
      </c>
      <c r="G1467" s="243">
        <v>1.19</v>
      </c>
    </row>
    <row r="1469" spans="1:7" x14ac:dyDescent="0.2">
      <c r="A1469" s="248"/>
      <c r="B1469" s="248" t="s">
        <v>284</v>
      </c>
      <c r="C1469" s="249"/>
      <c r="D1469" s="248"/>
      <c r="E1469" s="249"/>
      <c r="F1469" s="248"/>
      <c r="G1469" s="248">
        <v>13.08</v>
      </c>
    </row>
    <row r="1471" spans="1:7" x14ac:dyDescent="0.2">
      <c r="A1471" s="248" t="s">
        <v>111</v>
      </c>
      <c r="B1471" s="248"/>
      <c r="C1471" s="249"/>
      <c r="D1471" s="248"/>
      <c r="E1471" s="249"/>
      <c r="F1471" s="248"/>
      <c r="G1471" s="248"/>
    </row>
    <row r="1472" spans="1:7" x14ac:dyDescent="0.2">
      <c r="A1472" s="250" t="s">
        <v>435</v>
      </c>
      <c r="G1472" s="251" t="s">
        <v>343</v>
      </c>
    </row>
    <row r="1474" spans="1:7" x14ac:dyDescent="0.2">
      <c r="A1474" s="250"/>
      <c r="B1474" s="250" t="s">
        <v>324</v>
      </c>
      <c r="C1474" s="252"/>
      <c r="D1474" s="250"/>
      <c r="E1474" s="252"/>
      <c r="F1474" s="250"/>
      <c r="G1474" s="250">
        <v>29.2</v>
      </c>
    </row>
    <row r="1475" spans="1:7" x14ac:dyDescent="0.2">
      <c r="A1475" s="243" t="s">
        <v>295</v>
      </c>
      <c r="B1475" s="243" t="s">
        <v>111</v>
      </c>
      <c r="C1475" s="244" t="s">
        <v>350</v>
      </c>
      <c r="D1475" s="253">
        <v>1</v>
      </c>
      <c r="E1475" s="254">
        <v>1</v>
      </c>
      <c r="F1475" s="243">
        <v>29.2</v>
      </c>
      <c r="G1475" s="243">
        <v>29.2</v>
      </c>
    </row>
    <row r="1477" spans="1:7" x14ac:dyDescent="0.2">
      <c r="A1477" s="250"/>
      <c r="B1477" s="250" t="s">
        <v>294</v>
      </c>
      <c r="C1477" s="252"/>
      <c r="D1477" s="250"/>
      <c r="E1477" s="252"/>
      <c r="F1477" s="250"/>
      <c r="G1477" s="250">
        <v>4.2</v>
      </c>
    </row>
    <row r="1478" spans="1:7" x14ac:dyDescent="0.2">
      <c r="A1478" s="243" t="s">
        <v>295</v>
      </c>
      <c r="B1478" s="243" t="s">
        <v>363</v>
      </c>
      <c r="C1478" s="244" t="s">
        <v>297</v>
      </c>
      <c r="D1478" s="253">
        <v>0.14000000000000001</v>
      </c>
      <c r="E1478" s="254">
        <v>1</v>
      </c>
      <c r="F1478" s="243">
        <v>30</v>
      </c>
      <c r="G1478" s="243">
        <v>4.2</v>
      </c>
    </row>
    <row r="1480" spans="1:7" x14ac:dyDescent="0.2">
      <c r="A1480" s="250"/>
      <c r="B1480" s="250" t="s">
        <v>298</v>
      </c>
      <c r="C1480" s="252"/>
      <c r="D1480" s="255">
        <v>0.38</v>
      </c>
      <c r="E1480" s="252"/>
      <c r="F1480" s="250"/>
      <c r="G1480" s="250">
        <v>3.8</v>
      </c>
    </row>
    <row r="1481" spans="1:7" x14ac:dyDescent="0.2">
      <c r="A1481" s="243" t="s">
        <v>295</v>
      </c>
      <c r="B1481" s="243" t="s">
        <v>351</v>
      </c>
      <c r="C1481" s="244" t="s">
        <v>299</v>
      </c>
      <c r="D1481" s="253">
        <v>0.38</v>
      </c>
      <c r="E1481" s="254">
        <v>1</v>
      </c>
      <c r="F1481" s="243">
        <v>10</v>
      </c>
      <c r="G1481" s="243">
        <v>3.8</v>
      </c>
    </row>
    <row r="1483" spans="1:7" x14ac:dyDescent="0.2">
      <c r="A1483" s="250"/>
      <c r="B1483" s="250" t="s">
        <v>300</v>
      </c>
      <c r="C1483" s="252"/>
      <c r="D1483" s="250"/>
      <c r="E1483" s="252"/>
      <c r="F1483" s="250"/>
      <c r="G1483" s="250">
        <v>7.43</v>
      </c>
    </row>
    <row r="1484" spans="1:7" x14ac:dyDescent="0.2">
      <c r="B1484" s="243" t="s">
        <v>301</v>
      </c>
      <c r="C1484" s="244" t="s">
        <v>302</v>
      </c>
      <c r="D1484" s="243">
        <v>80</v>
      </c>
      <c r="G1484" s="243">
        <v>3.04</v>
      </c>
    </row>
    <row r="1485" spans="1:7" x14ac:dyDescent="0.2">
      <c r="B1485" s="243" t="s">
        <v>327</v>
      </c>
      <c r="C1485" s="244" t="s">
        <v>302</v>
      </c>
      <c r="D1485" s="243">
        <v>10</v>
      </c>
      <c r="G1485" s="243">
        <v>2.92</v>
      </c>
    </row>
    <row r="1486" spans="1:7" x14ac:dyDescent="0.2">
      <c r="B1486" s="243" t="s">
        <v>303</v>
      </c>
      <c r="C1486" s="244" t="s">
        <v>302</v>
      </c>
      <c r="D1486" s="243">
        <v>35</v>
      </c>
      <c r="G1486" s="243">
        <v>1.47</v>
      </c>
    </row>
    <row r="1488" spans="1:7" x14ac:dyDescent="0.2">
      <c r="A1488" s="250"/>
      <c r="B1488" s="250" t="s">
        <v>284</v>
      </c>
      <c r="C1488" s="252"/>
      <c r="D1488" s="250"/>
      <c r="E1488" s="252"/>
      <c r="F1488" s="250"/>
      <c r="G1488" s="250"/>
    </row>
    <row r="1489" spans="1:7" x14ac:dyDescent="0.2">
      <c r="B1489" s="243" t="s">
        <v>304</v>
      </c>
      <c r="G1489" s="243">
        <v>37.200000000000003</v>
      </c>
    </row>
    <row r="1490" spans="1:7" x14ac:dyDescent="0.2">
      <c r="B1490" s="243" t="s">
        <v>305</v>
      </c>
      <c r="G1490" s="243">
        <v>7.43</v>
      </c>
    </row>
    <row r="1491" spans="1:7" x14ac:dyDescent="0.2">
      <c r="B1491" s="243" t="s">
        <v>306</v>
      </c>
      <c r="G1491" s="243">
        <v>44.63</v>
      </c>
    </row>
    <row r="1492" spans="1:7" x14ac:dyDescent="0.2">
      <c r="B1492" s="243" t="s">
        <v>307</v>
      </c>
      <c r="C1492" s="244" t="s">
        <v>302</v>
      </c>
      <c r="D1492" s="243" t="s">
        <v>308</v>
      </c>
      <c r="G1492" s="243">
        <v>4.46</v>
      </c>
    </row>
    <row r="1494" spans="1:7" x14ac:dyDescent="0.2">
      <c r="A1494" s="248"/>
      <c r="B1494" s="248" t="s">
        <v>284</v>
      </c>
      <c r="C1494" s="249"/>
      <c r="D1494" s="248"/>
      <c r="E1494" s="249"/>
      <c r="F1494" s="248"/>
      <c r="G1494" s="248">
        <v>49.09</v>
      </c>
    </row>
    <row r="1496" spans="1:7" x14ac:dyDescent="0.2">
      <c r="A1496" s="248" t="s">
        <v>112</v>
      </c>
      <c r="B1496" s="248"/>
      <c r="C1496" s="249"/>
      <c r="D1496" s="248"/>
      <c r="E1496" s="249"/>
      <c r="F1496" s="248"/>
      <c r="G1496" s="248"/>
    </row>
    <row r="1497" spans="1:7" x14ac:dyDescent="0.2">
      <c r="A1497" s="250" t="s">
        <v>436</v>
      </c>
      <c r="G1497" s="251" t="s">
        <v>343</v>
      </c>
    </row>
    <row r="1499" spans="1:7" x14ac:dyDescent="0.2">
      <c r="A1499" s="250"/>
      <c r="B1499" s="250" t="s">
        <v>324</v>
      </c>
      <c r="C1499" s="252"/>
      <c r="D1499" s="250"/>
      <c r="E1499" s="252"/>
      <c r="F1499" s="250"/>
      <c r="G1499" s="250">
        <v>0.13</v>
      </c>
    </row>
    <row r="1500" spans="1:7" x14ac:dyDescent="0.2">
      <c r="A1500" s="243" t="s">
        <v>295</v>
      </c>
      <c r="B1500" s="243" t="s">
        <v>496</v>
      </c>
      <c r="C1500" s="244" t="s">
        <v>497</v>
      </c>
      <c r="D1500" s="253">
        <v>7.0000000000000007E-2</v>
      </c>
      <c r="E1500" s="254">
        <v>1</v>
      </c>
      <c r="F1500" s="243">
        <v>1.1000000000000001</v>
      </c>
      <c r="G1500" s="243">
        <v>0.08</v>
      </c>
    </row>
    <row r="1501" spans="1:7" x14ac:dyDescent="0.2">
      <c r="A1501" s="243" t="s">
        <v>295</v>
      </c>
      <c r="B1501" s="243" t="s">
        <v>498</v>
      </c>
      <c r="C1501" s="244" t="s">
        <v>499</v>
      </c>
      <c r="D1501" s="253">
        <v>0.05</v>
      </c>
      <c r="E1501" s="254">
        <v>1</v>
      </c>
      <c r="F1501" s="243">
        <v>1</v>
      </c>
      <c r="G1501" s="243">
        <v>0.05</v>
      </c>
    </row>
    <row r="1503" spans="1:7" x14ac:dyDescent="0.2">
      <c r="A1503" s="250"/>
      <c r="B1503" s="250" t="s">
        <v>294</v>
      </c>
      <c r="C1503" s="252"/>
      <c r="D1503" s="250"/>
      <c r="E1503" s="252"/>
      <c r="F1503" s="250"/>
      <c r="G1503" s="250">
        <v>3.6</v>
      </c>
    </row>
    <row r="1504" spans="1:7" x14ac:dyDescent="0.2">
      <c r="A1504" s="243" t="s">
        <v>295</v>
      </c>
      <c r="B1504" s="243" t="s">
        <v>363</v>
      </c>
      <c r="C1504" s="244" t="s">
        <v>297</v>
      </c>
      <c r="D1504" s="253">
        <v>0.12</v>
      </c>
      <c r="E1504" s="254">
        <v>1</v>
      </c>
      <c r="F1504" s="243">
        <v>30</v>
      </c>
      <c r="G1504" s="243">
        <v>3.6</v>
      </c>
    </row>
    <row r="1506" spans="1:7" x14ac:dyDescent="0.2">
      <c r="A1506" s="250"/>
      <c r="B1506" s="250" t="s">
        <v>298</v>
      </c>
      <c r="C1506" s="252"/>
      <c r="D1506" s="255">
        <v>0.54</v>
      </c>
      <c r="E1506" s="252"/>
      <c r="F1506" s="250"/>
      <c r="G1506" s="250">
        <v>5.4</v>
      </c>
    </row>
    <row r="1507" spans="1:7" x14ac:dyDescent="0.2">
      <c r="A1507" s="243" t="s">
        <v>295</v>
      </c>
      <c r="B1507" s="243" t="s">
        <v>351</v>
      </c>
      <c r="C1507" s="244" t="s">
        <v>299</v>
      </c>
      <c r="D1507" s="253">
        <v>0.42</v>
      </c>
      <c r="E1507" s="254">
        <v>1</v>
      </c>
      <c r="F1507" s="243">
        <v>10</v>
      </c>
      <c r="G1507" s="243">
        <v>4.2</v>
      </c>
    </row>
    <row r="1508" spans="1:7" x14ac:dyDescent="0.2">
      <c r="A1508" s="243" t="s">
        <v>295</v>
      </c>
      <c r="B1508" s="243" t="s">
        <v>521</v>
      </c>
      <c r="C1508" s="244" t="s">
        <v>299</v>
      </c>
      <c r="D1508" s="253">
        <v>0.12</v>
      </c>
      <c r="E1508" s="254">
        <v>1</v>
      </c>
      <c r="F1508" s="243">
        <v>10</v>
      </c>
      <c r="G1508" s="243">
        <v>1.2</v>
      </c>
    </row>
    <row r="1510" spans="1:7" x14ac:dyDescent="0.2">
      <c r="A1510" s="250"/>
      <c r="B1510" s="250" t="s">
        <v>300</v>
      </c>
      <c r="C1510" s="252"/>
      <c r="D1510" s="250"/>
      <c r="E1510" s="252"/>
      <c r="F1510" s="250"/>
      <c r="G1510" s="250">
        <v>5.59</v>
      </c>
    </row>
    <row r="1511" spans="1:7" x14ac:dyDescent="0.2">
      <c r="B1511" s="243" t="s">
        <v>301</v>
      </c>
      <c r="C1511" s="244" t="s">
        <v>302</v>
      </c>
      <c r="D1511" s="243">
        <v>80</v>
      </c>
      <c r="G1511" s="243">
        <v>4.32</v>
      </c>
    </row>
    <row r="1512" spans="1:7" x14ac:dyDescent="0.2">
      <c r="B1512" s="243" t="s">
        <v>327</v>
      </c>
      <c r="C1512" s="244" t="s">
        <v>302</v>
      </c>
      <c r="D1512" s="243">
        <v>10</v>
      </c>
      <c r="G1512" s="243">
        <v>0.01</v>
      </c>
    </row>
    <row r="1513" spans="1:7" x14ac:dyDescent="0.2">
      <c r="B1513" s="243" t="s">
        <v>303</v>
      </c>
      <c r="C1513" s="244" t="s">
        <v>302</v>
      </c>
      <c r="D1513" s="243">
        <v>35</v>
      </c>
      <c r="G1513" s="243">
        <v>1.26</v>
      </c>
    </row>
    <row r="1515" spans="1:7" x14ac:dyDescent="0.2">
      <c r="A1515" s="250"/>
      <c r="B1515" s="250" t="s">
        <v>284</v>
      </c>
      <c r="C1515" s="252"/>
      <c r="D1515" s="250"/>
      <c r="E1515" s="252"/>
      <c r="F1515" s="250"/>
      <c r="G1515" s="250"/>
    </row>
    <row r="1516" spans="1:7" x14ac:dyDescent="0.2">
      <c r="B1516" s="243" t="s">
        <v>304</v>
      </c>
      <c r="G1516" s="243">
        <v>9.1300000000000008</v>
      </c>
    </row>
    <row r="1517" spans="1:7" x14ac:dyDescent="0.2">
      <c r="B1517" s="243" t="s">
        <v>305</v>
      </c>
      <c r="G1517" s="243">
        <v>5.59</v>
      </c>
    </row>
    <row r="1518" spans="1:7" x14ac:dyDescent="0.2">
      <c r="B1518" s="243" t="s">
        <v>306</v>
      </c>
      <c r="G1518" s="243">
        <v>14.72</v>
      </c>
    </row>
    <row r="1519" spans="1:7" x14ac:dyDescent="0.2">
      <c r="B1519" s="243" t="s">
        <v>307</v>
      </c>
      <c r="C1519" s="244" t="s">
        <v>302</v>
      </c>
      <c r="D1519" s="243" t="s">
        <v>308</v>
      </c>
      <c r="G1519" s="243">
        <v>1.47</v>
      </c>
    </row>
    <row r="1521" spans="1:7" x14ac:dyDescent="0.2">
      <c r="A1521" s="248"/>
      <c r="B1521" s="248" t="s">
        <v>284</v>
      </c>
      <c r="C1521" s="249"/>
      <c r="D1521" s="248"/>
      <c r="E1521" s="249"/>
      <c r="F1521" s="248"/>
      <c r="G1521" s="248">
        <v>16.190000000000001</v>
      </c>
    </row>
    <row r="1523" spans="1:7" x14ac:dyDescent="0.2">
      <c r="A1523" s="248" t="s">
        <v>113</v>
      </c>
      <c r="B1523" s="248"/>
      <c r="C1523" s="249"/>
      <c r="D1523" s="248"/>
      <c r="E1523" s="249"/>
      <c r="F1523" s="248"/>
      <c r="G1523" s="248"/>
    </row>
    <row r="1524" spans="1:7" x14ac:dyDescent="0.2">
      <c r="A1524" s="250" t="s">
        <v>437</v>
      </c>
      <c r="G1524" s="251" t="s">
        <v>343</v>
      </c>
    </row>
    <row r="1526" spans="1:7" x14ac:dyDescent="0.2">
      <c r="A1526" s="250"/>
      <c r="B1526" s="250" t="s">
        <v>324</v>
      </c>
      <c r="C1526" s="252"/>
      <c r="D1526" s="250"/>
      <c r="E1526" s="252"/>
      <c r="F1526" s="250"/>
      <c r="G1526" s="250">
        <v>33</v>
      </c>
    </row>
    <row r="1527" spans="1:7" x14ac:dyDescent="0.2">
      <c r="A1527" s="243" t="s">
        <v>295</v>
      </c>
      <c r="B1527" s="243" t="s">
        <v>438</v>
      </c>
      <c r="C1527" s="244" t="s">
        <v>358</v>
      </c>
      <c r="D1527" s="253">
        <v>1</v>
      </c>
      <c r="E1527" s="254">
        <v>1</v>
      </c>
      <c r="F1527" s="243">
        <v>33</v>
      </c>
      <c r="G1527" s="243">
        <v>33</v>
      </c>
    </row>
    <row r="1529" spans="1:7" x14ac:dyDescent="0.2">
      <c r="A1529" s="250"/>
      <c r="B1529" s="250" t="s">
        <v>294</v>
      </c>
      <c r="C1529" s="252"/>
      <c r="D1529" s="250"/>
      <c r="E1529" s="252"/>
      <c r="F1529" s="250"/>
      <c r="G1529" s="250">
        <v>3.6</v>
      </c>
    </row>
    <row r="1530" spans="1:7" x14ac:dyDescent="0.2">
      <c r="A1530" s="243" t="s">
        <v>295</v>
      </c>
      <c r="B1530" s="243" t="s">
        <v>380</v>
      </c>
      <c r="C1530" s="244" t="s">
        <v>297</v>
      </c>
      <c r="D1530" s="253">
        <v>0.12</v>
      </c>
      <c r="E1530" s="254">
        <v>1</v>
      </c>
      <c r="F1530" s="243">
        <v>30</v>
      </c>
      <c r="G1530" s="243">
        <v>3.6</v>
      </c>
    </row>
    <row r="1532" spans="1:7" x14ac:dyDescent="0.2">
      <c r="A1532" s="250"/>
      <c r="B1532" s="250" t="s">
        <v>298</v>
      </c>
      <c r="C1532" s="252"/>
      <c r="D1532" s="255">
        <v>0.34</v>
      </c>
      <c r="E1532" s="252"/>
      <c r="F1532" s="250"/>
      <c r="G1532" s="250">
        <v>3.4</v>
      </c>
    </row>
    <row r="1533" spans="1:7" x14ac:dyDescent="0.2">
      <c r="A1533" s="243" t="s">
        <v>295</v>
      </c>
      <c r="B1533" s="243" t="s">
        <v>351</v>
      </c>
      <c r="C1533" s="244" t="s">
        <v>299</v>
      </c>
      <c r="D1533" s="253">
        <v>0.34</v>
      </c>
      <c r="E1533" s="254">
        <v>1</v>
      </c>
      <c r="F1533" s="243">
        <v>10</v>
      </c>
      <c r="G1533" s="243">
        <v>3.4</v>
      </c>
    </row>
    <row r="1535" spans="1:7" x14ac:dyDescent="0.2">
      <c r="A1535" s="250"/>
      <c r="B1535" s="250" t="s">
        <v>300</v>
      </c>
      <c r="C1535" s="252"/>
      <c r="D1535" s="250"/>
      <c r="E1535" s="252"/>
      <c r="F1535" s="250"/>
      <c r="G1535" s="250">
        <v>7.28</v>
      </c>
    </row>
    <row r="1536" spans="1:7" x14ac:dyDescent="0.2">
      <c r="B1536" s="243" t="s">
        <v>301</v>
      </c>
      <c r="C1536" s="244" t="s">
        <v>302</v>
      </c>
      <c r="D1536" s="243">
        <v>80</v>
      </c>
      <c r="G1536" s="243">
        <v>2.72</v>
      </c>
    </row>
    <row r="1537" spans="1:7" x14ac:dyDescent="0.2">
      <c r="B1537" s="243" t="s">
        <v>327</v>
      </c>
      <c r="C1537" s="244" t="s">
        <v>302</v>
      </c>
      <c r="D1537" s="243">
        <v>10</v>
      </c>
      <c r="G1537" s="243">
        <v>3.3</v>
      </c>
    </row>
    <row r="1538" spans="1:7" x14ac:dyDescent="0.2">
      <c r="B1538" s="243" t="s">
        <v>303</v>
      </c>
      <c r="C1538" s="244" t="s">
        <v>302</v>
      </c>
      <c r="D1538" s="243">
        <v>35</v>
      </c>
      <c r="G1538" s="243">
        <v>1.26</v>
      </c>
    </row>
    <row r="1540" spans="1:7" x14ac:dyDescent="0.2">
      <c r="A1540" s="250"/>
      <c r="B1540" s="250" t="s">
        <v>284</v>
      </c>
      <c r="C1540" s="252"/>
      <c r="D1540" s="250"/>
      <c r="E1540" s="252"/>
      <c r="F1540" s="250"/>
      <c r="G1540" s="250"/>
    </row>
    <row r="1541" spans="1:7" x14ac:dyDescent="0.2">
      <c r="B1541" s="243" t="s">
        <v>304</v>
      </c>
      <c r="G1541" s="243">
        <v>40</v>
      </c>
    </row>
    <row r="1542" spans="1:7" x14ac:dyDescent="0.2">
      <c r="B1542" s="243" t="s">
        <v>305</v>
      </c>
      <c r="G1542" s="243">
        <v>7.28</v>
      </c>
    </row>
    <row r="1543" spans="1:7" x14ac:dyDescent="0.2">
      <c r="B1543" s="243" t="s">
        <v>306</v>
      </c>
      <c r="G1543" s="243">
        <v>47.28</v>
      </c>
    </row>
    <row r="1544" spans="1:7" x14ac:dyDescent="0.2">
      <c r="B1544" s="243" t="s">
        <v>307</v>
      </c>
      <c r="C1544" s="244" t="s">
        <v>302</v>
      </c>
      <c r="D1544" s="243" t="s">
        <v>308</v>
      </c>
      <c r="G1544" s="243">
        <v>4.7300000000000004</v>
      </c>
    </row>
    <row r="1546" spans="1:7" x14ac:dyDescent="0.2">
      <c r="A1546" s="248"/>
      <c r="B1546" s="248" t="s">
        <v>284</v>
      </c>
      <c r="C1546" s="249"/>
      <c r="D1546" s="248"/>
      <c r="E1546" s="249"/>
      <c r="F1546" s="248"/>
      <c r="G1546" s="248">
        <v>52.01</v>
      </c>
    </row>
    <row r="1548" spans="1:7" x14ac:dyDescent="0.2">
      <c r="A1548" s="248" t="s">
        <v>114</v>
      </c>
      <c r="B1548" s="248"/>
      <c r="C1548" s="249"/>
      <c r="D1548" s="248"/>
      <c r="E1548" s="249"/>
      <c r="F1548" s="248"/>
      <c r="G1548" s="248"/>
    </row>
    <row r="1549" spans="1:7" x14ac:dyDescent="0.2">
      <c r="A1549" s="250" t="s">
        <v>439</v>
      </c>
      <c r="G1549" s="251" t="s">
        <v>343</v>
      </c>
    </row>
    <row r="1551" spans="1:7" x14ac:dyDescent="0.2">
      <c r="A1551" s="250"/>
      <c r="B1551" s="250" t="s">
        <v>324</v>
      </c>
      <c r="C1551" s="252"/>
      <c r="D1551" s="250"/>
      <c r="E1551" s="252"/>
      <c r="F1551" s="250"/>
      <c r="G1551" s="250">
        <v>23</v>
      </c>
    </row>
    <row r="1552" spans="1:7" x14ac:dyDescent="0.2">
      <c r="A1552" s="243" t="s">
        <v>295</v>
      </c>
      <c r="B1552" s="243" t="s">
        <v>114</v>
      </c>
      <c r="C1552" s="244" t="s">
        <v>358</v>
      </c>
      <c r="D1552" s="253">
        <v>1</v>
      </c>
      <c r="E1552" s="254">
        <v>1</v>
      </c>
      <c r="F1552" s="243">
        <v>23</v>
      </c>
      <c r="G1552" s="243">
        <v>23</v>
      </c>
    </row>
    <row r="1554" spans="1:7" x14ac:dyDescent="0.2">
      <c r="A1554" s="250"/>
      <c r="B1554" s="250" t="s">
        <v>294</v>
      </c>
      <c r="C1554" s="252"/>
      <c r="D1554" s="250"/>
      <c r="E1554" s="252"/>
      <c r="F1554" s="250"/>
      <c r="G1554" s="250">
        <v>3.6</v>
      </c>
    </row>
    <row r="1555" spans="1:7" x14ac:dyDescent="0.2">
      <c r="A1555" s="243" t="s">
        <v>295</v>
      </c>
      <c r="B1555" s="243" t="s">
        <v>380</v>
      </c>
      <c r="C1555" s="244" t="s">
        <v>297</v>
      </c>
      <c r="D1555" s="253">
        <v>0.12</v>
      </c>
      <c r="E1555" s="254">
        <v>1</v>
      </c>
      <c r="F1555" s="243">
        <v>30</v>
      </c>
      <c r="G1555" s="243">
        <v>3.6</v>
      </c>
    </row>
    <row r="1557" spans="1:7" x14ac:dyDescent="0.2">
      <c r="A1557" s="250"/>
      <c r="B1557" s="250" t="s">
        <v>298</v>
      </c>
      <c r="C1557" s="252"/>
      <c r="D1557" s="255">
        <v>0.34</v>
      </c>
      <c r="E1557" s="252"/>
      <c r="F1557" s="250"/>
      <c r="G1557" s="250">
        <v>3.4</v>
      </c>
    </row>
    <row r="1558" spans="1:7" x14ac:dyDescent="0.2">
      <c r="A1558" s="243" t="s">
        <v>295</v>
      </c>
      <c r="B1558" s="243" t="s">
        <v>351</v>
      </c>
      <c r="C1558" s="244" t="s">
        <v>299</v>
      </c>
      <c r="D1558" s="253">
        <v>0.34</v>
      </c>
      <c r="E1558" s="254">
        <v>1</v>
      </c>
      <c r="F1558" s="243">
        <v>10</v>
      </c>
      <c r="G1558" s="243">
        <v>3.4</v>
      </c>
    </row>
    <row r="1560" spans="1:7" x14ac:dyDescent="0.2">
      <c r="A1560" s="250"/>
      <c r="B1560" s="250" t="s">
        <v>300</v>
      </c>
      <c r="C1560" s="252"/>
      <c r="D1560" s="250"/>
      <c r="E1560" s="252"/>
      <c r="F1560" s="250"/>
      <c r="G1560" s="250">
        <v>6.28</v>
      </c>
    </row>
    <row r="1561" spans="1:7" x14ac:dyDescent="0.2">
      <c r="B1561" s="243" t="s">
        <v>301</v>
      </c>
      <c r="C1561" s="244" t="s">
        <v>302</v>
      </c>
      <c r="D1561" s="243">
        <v>80</v>
      </c>
      <c r="G1561" s="243">
        <v>2.72</v>
      </c>
    </row>
    <row r="1562" spans="1:7" x14ac:dyDescent="0.2">
      <c r="B1562" s="243" t="s">
        <v>327</v>
      </c>
      <c r="C1562" s="244" t="s">
        <v>302</v>
      </c>
      <c r="D1562" s="243">
        <v>10</v>
      </c>
      <c r="G1562" s="243">
        <v>2.2999999999999998</v>
      </c>
    </row>
    <row r="1563" spans="1:7" x14ac:dyDescent="0.2">
      <c r="B1563" s="243" t="s">
        <v>303</v>
      </c>
      <c r="C1563" s="244" t="s">
        <v>302</v>
      </c>
      <c r="D1563" s="243">
        <v>35</v>
      </c>
      <c r="G1563" s="243">
        <v>1.26</v>
      </c>
    </row>
    <row r="1565" spans="1:7" x14ac:dyDescent="0.2">
      <c r="A1565" s="250"/>
      <c r="B1565" s="250" t="s">
        <v>284</v>
      </c>
      <c r="C1565" s="252"/>
      <c r="D1565" s="250"/>
      <c r="E1565" s="252"/>
      <c r="F1565" s="250"/>
      <c r="G1565" s="250"/>
    </row>
    <row r="1566" spans="1:7" x14ac:dyDescent="0.2">
      <c r="B1566" s="243" t="s">
        <v>304</v>
      </c>
      <c r="G1566" s="243">
        <v>30</v>
      </c>
    </row>
    <row r="1567" spans="1:7" x14ac:dyDescent="0.2">
      <c r="B1567" s="243" t="s">
        <v>305</v>
      </c>
      <c r="G1567" s="243">
        <v>6.28</v>
      </c>
    </row>
    <row r="1568" spans="1:7" x14ac:dyDescent="0.2">
      <c r="B1568" s="243" t="s">
        <v>306</v>
      </c>
      <c r="G1568" s="243">
        <v>36.28</v>
      </c>
    </row>
    <row r="1569" spans="1:7" x14ac:dyDescent="0.2">
      <c r="B1569" s="243" t="s">
        <v>307</v>
      </c>
      <c r="C1569" s="244" t="s">
        <v>302</v>
      </c>
      <c r="D1569" s="243" t="s">
        <v>308</v>
      </c>
      <c r="G1569" s="243">
        <v>3.63</v>
      </c>
    </row>
    <row r="1571" spans="1:7" x14ac:dyDescent="0.2">
      <c r="A1571" s="248"/>
      <c r="B1571" s="248" t="s">
        <v>284</v>
      </c>
      <c r="C1571" s="249"/>
      <c r="D1571" s="248"/>
      <c r="E1571" s="249"/>
      <c r="F1571" s="248"/>
      <c r="G1571" s="248">
        <v>39.909999999999997</v>
      </c>
    </row>
    <row r="1573" spans="1:7" x14ac:dyDescent="0.2">
      <c r="A1573" s="248" t="s">
        <v>115</v>
      </c>
      <c r="B1573" s="248"/>
      <c r="C1573" s="249"/>
      <c r="D1573" s="248"/>
      <c r="E1573" s="249"/>
      <c r="F1573" s="248"/>
      <c r="G1573" s="248"/>
    </row>
    <row r="1574" spans="1:7" x14ac:dyDescent="0.2">
      <c r="A1574" s="250" t="s">
        <v>440</v>
      </c>
      <c r="G1574" s="251" t="s">
        <v>343</v>
      </c>
    </row>
    <row r="1576" spans="1:7" x14ac:dyDescent="0.2">
      <c r="A1576" s="250"/>
      <c r="B1576" s="250" t="s">
        <v>324</v>
      </c>
      <c r="C1576" s="252"/>
      <c r="D1576" s="250"/>
      <c r="E1576" s="252"/>
      <c r="F1576" s="250"/>
      <c r="G1576" s="250">
        <v>37</v>
      </c>
    </row>
    <row r="1577" spans="1:7" x14ac:dyDescent="0.2">
      <c r="A1577" s="243" t="s">
        <v>295</v>
      </c>
      <c r="B1577" s="243" t="s">
        <v>115</v>
      </c>
      <c r="C1577" s="244" t="s">
        <v>358</v>
      </c>
      <c r="D1577" s="253">
        <v>1</v>
      </c>
      <c r="E1577" s="254">
        <v>1</v>
      </c>
      <c r="F1577" s="243">
        <v>37</v>
      </c>
      <c r="G1577" s="243">
        <v>37</v>
      </c>
    </row>
    <row r="1579" spans="1:7" x14ac:dyDescent="0.2">
      <c r="A1579" s="250"/>
      <c r="B1579" s="250" t="s">
        <v>298</v>
      </c>
      <c r="C1579" s="252"/>
      <c r="D1579" s="255">
        <v>0.34</v>
      </c>
      <c r="E1579" s="252"/>
      <c r="F1579" s="250"/>
      <c r="G1579" s="250">
        <v>3.4</v>
      </c>
    </row>
    <row r="1580" spans="1:7" x14ac:dyDescent="0.2">
      <c r="A1580" s="243" t="s">
        <v>295</v>
      </c>
      <c r="B1580" s="243" t="s">
        <v>351</v>
      </c>
      <c r="C1580" s="244" t="s">
        <v>299</v>
      </c>
      <c r="D1580" s="253">
        <v>0.34</v>
      </c>
      <c r="E1580" s="254">
        <v>1</v>
      </c>
      <c r="F1580" s="243">
        <v>10</v>
      </c>
      <c r="G1580" s="243">
        <v>3.4</v>
      </c>
    </row>
    <row r="1582" spans="1:7" x14ac:dyDescent="0.2">
      <c r="A1582" s="250"/>
      <c r="B1582" s="250" t="s">
        <v>300</v>
      </c>
      <c r="C1582" s="252"/>
      <c r="D1582" s="250"/>
      <c r="E1582" s="252"/>
      <c r="F1582" s="250"/>
      <c r="G1582" s="250">
        <v>6.42</v>
      </c>
    </row>
    <row r="1583" spans="1:7" x14ac:dyDescent="0.2">
      <c r="B1583" s="243" t="s">
        <v>301</v>
      </c>
      <c r="C1583" s="244" t="s">
        <v>302</v>
      </c>
      <c r="D1583" s="243">
        <v>80</v>
      </c>
      <c r="G1583" s="243">
        <v>2.72</v>
      </c>
    </row>
    <row r="1584" spans="1:7" x14ac:dyDescent="0.2">
      <c r="B1584" s="243" t="s">
        <v>327</v>
      </c>
      <c r="C1584" s="244" t="s">
        <v>302</v>
      </c>
      <c r="D1584" s="243">
        <v>10</v>
      </c>
      <c r="G1584" s="243">
        <v>3.7</v>
      </c>
    </row>
    <row r="1586" spans="1:7" x14ac:dyDescent="0.2">
      <c r="A1586" s="250"/>
      <c r="B1586" s="250" t="s">
        <v>284</v>
      </c>
      <c r="C1586" s="252"/>
      <c r="D1586" s="250"/>
      <c r="E1586" s="252"/>
      <c r="F1586" s="250"/>
      <c r="G1586" s="250"/>
    </row>
    <row r="1587" spans="1:7" x14ac:dyDescent="0.2">
      <c r="B1587" s="243" t="s">
        <v>304</v>
      </c>
      <c r="G1587" s="243">
        <v>40.4</v>
      </c>
    </row>
    <row r="1588" spans="1:7" x14ac:dyDescent="0.2">
      <c r="B1588" s="243" t="s">
        <v>305</v>
      </c>
      <c r="G1588" s="243">
        <v>6.42</v>
      </c>
    </row>
    <row r="1589" spans="1:7" x14ac:dyDescent="0.2">
      <c r="B1589" s="243" t="s">
        <v>306</v>
      </c>
      <c r="G1589" s="243">
        <v>46.82</v>
      </c>
    </row>
    <row r="1590" spans="1:7" x14ac:dyDescent="0.2">
      <c r="B1590" s="243" t="s">
        <v>307</v>
      </c>
      <c r="C1590" s="244" t="s">
        <v>302</v>
      </c>
      <c r="D1590" s="243" t="s">
        <v>308</v>
      </c>
      <c r="G1590" s="243">
        <v>4.68</v>
      </c>
    </row>
    <row r="1592" spans="1:7" x14ac:dyDescent="0.2">
      <c r="A1592" s="248"/>
      <c r="B1592" s="248" t="s">
        <v>284</v>
      </c>
      <c r="C1592" s="249"/>
      <c r="D1592" s="248"/>
      <c r="E1592" s="249"/>
      <c r="F1592" s="248"/>
      <c r="G1592" s="248">
        <v>51.5</v>
      </c>
    </row>
    <row r="1594" spans="1:7" x14ac:dyDescent="0.2">
      <c r="A1594" s="248" t="s">
        <v>116</v>
      </c>
      <c r="B1594" s="248"/>
      <c r="C1594" s="249"/>
      <c r="D1594" s="248"/>
      <c r="E1594" s="249"/>
      <c r="F1594" s="248"/>
      <c r="G1594" s="248"/>
    </row>
    <row r="1595" spans="1:7" x14ac:dyDescent="0.2">
      <c r="A1595" s="250" t="s">
        <v>441</v>
      </c>
      <c r="G1595" s="251" t="s">
        <v>343</v>
      </c>
    </row>
    <row r="1597" spans="1:7" x14ac:dyDescent="0.2">
      <c r="A1597" s="250"/>
      <c r="B1597" s="250" t="s">
        <v>324</v>
      </c>
      <c r="C1597" s="252"/>
      <c r="D1597" s="250"/>
      <c r="E1597" s="252"/>
      <c r="F1597" s="250"/>
      <c r="G1597" s="250">
        <v>132</v>
      </c>
    </row>
    <row r="1598" spans="1:7" x14ac:dyDescent="0.2">
      <c r="A1598" s="243" t="s">
        <v>295</v>
      </c>
      <c r="B1598" s="243" t="s">
        <v>442</v>
      </c>
      <c r="C1598" s="244" t="s">
        <v>358</v>
      </c>
      <c r="D1598" s="253">
        <v>1</v>
      </c>
      <c r="E1598" s="254">
        <v>1</v>
      </c>
      <c r="F1598" s="243">
        <v>132</v>
      </c>
      <c r="G1598" s="243">
        <v>132</v>
      </c>
    </row>
    <row r="1600" spans="1:7" x14ac:dyDescent="0.2">
      <c r="A1600" s="250"/>
      <c r="B1600" s="250" t="s">
        <v>298</v>
      </c>
      <c r="C1600" s="252"/>
      <c r="D1600" s="255">
        <v>0.4</v>
      </c>
      <c r="E1600" s="252"/>
      <c r="F1600" s="250"/>
      <c r="G1600" s="250">
        <v>4</v>
      </c>
    </row>
    <row r="1601" spans="1:7" x14ac:dyDescent="0.2">
      <c r="A1601" s="243" t="s">
        <v>295</v>
      </c>
      <c r="B1601" s="243" t="s">
        <v>351</v>
      </c>
      <c r="C1601" s="244" t="s">
        <v>299</v>
      </c>
      <c r="D1601" s="253">
        <v>0.4</v>
      </c>
      <c r="E1601" s="254">
        <v>1</v>
      </c>
      <c r="F1601" s="243">
        <v>10</v>
      </c>
      <c r="G1601" s="243">
        <v>4</v>
      </c>
    </row>
    <row r="1603" spans="1:7" x14ac:dyDescent="0.2">
      <c r="A1603" s="250"/>
      <c r="B1603" s="250" t="s">
        <v>300</v>
      </c>
      <c r="C1603" s="252"/>
      <c r="D1603" s="250"/>
      <c r="E1603" s="252"/>
      <c r="F1603" s="250"/>
      <c r="G1603" s="250">
        <v>16.399999999999999</v>
      </c>
    </row>
    <row r="1604" spans="1:7" x14ac:dyDescent="0.2">
      <c r="B1604" s="243" t="s">
        <v>301</v>
      </c>
      <c r="C1604" s="244" t="s">
        <v>302</v>
      </c>
      <c r="D1604" s="243">
        <v>80</v>
      </c>
      <c r="G1604" s="243">
        <v>3.2</v>
      </c>
    </row>
    <row r="1605" spans="1:7" x14ac:dyDescent="0.2">
      <c r="B1605" s="243" t="s">
        <v>327</v>
      </c>
      <c r="C1605" s="244" t="s">
        <v>302</v>
      </c>
      <c r="D1605" s="243">
        <v>10</v>
      </c>
      <c r="G1605" s="243">
        <v>13.2</v>
      </c>
    </row>
    <row r="1607" spans="1:7" x14ac:dyDescent="0.2">
      <c r="A1607" s="250"/>
      <c r="B1607" s="250" t="s">
        <v>284</v>
      </c>
      <c r="C1607" s="252"/>
      <c r="D1607" s="250"/>
      <c r="E1607" s="252"/>
      <c r="F1607" s="250"/>
      <c r="G1607" s="250"/>
    </row>
    <row r="1608" spans="1:7" x14ac:dyDescent="0.2">
      <c r="B1608" s="243" t="s">
        <v>304</v>
      </c>
      <c r="G1608" s="243">
        <v>136</v>
      </c>
    </row>
    <row r="1609" spans="1:7" x14ac:dyDescent="0.2">
      <c r="B1609" s="243" t="s">
        <v>305</v>
      </c>
      <c r="G1609" s="243">
        <v>16.399999999999999</v>
      </c>
    </row>
    <row r="1610" spans="1:7" x14ac:dyDescent="0.2">
      <c r="B1610" s="243" t="s">
        <v>306</v>
      </c>
      <c r="G1610" s="243">
        <v>152.4</v>
      </c>
    </row>
    <row r="1611" spans="1:7" x14ac:dyDescent="0.2">
      <c r="B1611" s="243" t="s">
        <v>307</v>
      </c>
      <c r="C1611" s="244" t="s">
        <v>302</v>
      </c>
      <c r="D1611" s="243" t="s">
        <v>308</v>
      </c>
      <c r="G1611" s="243">
        <v>15.24</v>
      </c>
    </row>
    <row r="1613" spans="1:7" x14ac:dyDescent="0.2">
      <c r="A1613" s="248"/>
      <c r="B1613" s="248" t="s">
        <v>284</v>
      </c>
      <c r="C1613" s="249"/>
      <c r="D1613" s="248"/>
      <c r="E1613" s="249"/>
      <c r="F1613" s="248"/>
      <c r="G1613" s="248">
        <v>167.64</v>
      </c>
    </row>
    <row r="1615" spans="1:7" x14ac:dyDescent="0.2">
      <c r="A1615" s="248" t="s">
        <v>117</v>
      </c>
      <c r="B1615" s="248"/>
      <c r="C1615" s="249"/>
      <c r="D1615" s="248"/>
      <c r="E1615" s="249"/>
      <c r="F1615" s="248"/>
      <c r="G1615" s="248"/>
    </row>
    <row r="1616" spans="1:7" x14ac:dyDescent="0.2">
      <c r="A1616" s="250" t="s">
        <v>443</v>
      </c>
      <c r="G1616" s="251" t="s">
        <v>343</v>
      </c>
    </row>
    <row r="1618" spans="1:7" x14ac:dyDescent="0.2">
      <c r="A1618" s="250"/>
      <c r="B1618" s="250" t="s">
        <v>324</v>
      </c>
      <c r="C1618" s="252"/>
      <c r="D1618" s="250"/>
      <c r="E1618" s="252"/>
      <c r="F1618" s="250"/>
      <c r="G1618" s="250">
        <v>40</v>
      </c>
    </row>
    <row r="1619" spans="1:7" x14ac:dyDescent="0.2">
      <c r="A1619" s="243" t="s">
        <v>295</v>
      </c>
      <c r="B1619" s="243" t="s">
        <v>444</v>
      </c>
      <c r="C1619" s="244" t="s">
        <v>358</v>
      </c>
      <c r="D1619" s="253">
        <v>1</v>
      </c>
      <c r="E1619" s="254">
        <v>1</v>
      </c>
      <c r="F1619" s="243">
        <v>40</v>
      </c>
      <c r="G1619" s="243">
        <v>40</v>
      </c>
    </row>
    <row r="1621" spans="1:7" x14ac:dyDescent="0.2">
      <c r="A1621" s="250"/>
      <c r="B1621" s="250" t="s">
        <v>294</v>
      </c>
      <c r="C1621" s="252"/>
      <c r="D1621" s="250"/>
      <c r="E1621" s="252"/>
      <c r="F1621" s="250"/>
      <c r="G1621" s="250">
        <v>3.6</v>
      </c>
    </row>
    <row r="1622" spans="1:7" x14ac:dyDescent="0.2">
      <c r="A1622" s="243" t="s">
        <v>295</v>
      </c>
      <c r="B1622" s="243" t="s">
        <v>380</v>
      </c>
      <c r="C1622" s="244" t="s">
        <v>297</v>
      </c>
      <c r="D1622" s="253">
        <v>0.12</v>
      </c>
      <c r="E1622" s="254">
        <v>1</v>
      </c>
      <c r="F1622" s="243">
        <v>30</v>
      </c>
      <c r="G1622" s="243">
        <v>3.6</v>
      </c>
    </row>
    <row r="1624" spans="1:7" x14ac:dyDescent="0.2">
      <c r="A1624" s="250"/>
      <c r="B1624" s="250" t="s">
        <v>298</v>
      </c>
      <c r="C1624" s="252"/>
      <c r="D1624" s="255">
        <v>0.24</v>
      </c>
      <c r="E1624" s="252"/>
      <c r="F1624" s="250"/>
      <c r="G1624" s="250">
        <v>2.4</v>
      </c>
    </row>
    <row r="1625" spans="1:7" x14ac:dyDescent="0.2">
      <c r="A1625" s="243" t="s">
        <v>295</v>
      </c>
      <c r="B1625" s="243" t="s">
        <v>351</v>
      </c>
      <c r="C1625" s="244" t="s">
        <v>299</v>
      </c>
      <c r="D1625" s="253">
        <v>0.24</v>
      </c>
      <c r="E1625" s="254">
        <v>1</v>
      </c>
      <c r="F1625" s="243">
        <v>10</v>
      </c>
      <c r="G1625" s="243">
        <v>2.4</v>
      </c>
    </row>
    <row r="1627" spans="1:7" x14ac:dyDescent="0.2">
      <c r="A1627" s="250"/>
      <c r="B1627" s="250" t="s">
        <v>300</v>
      </c>
      <c r="C1627" s="252"/>
      <c r="D1627" s="250"/>
      <c r="E1627" s="252"/>
      <c r="F1627" s="250"/>
      <c r="G1627" s="250">
        <v>7.18</v>
      </c>
    </row>
    <row r="1628" spans="1:7" x14ac:dyDescent="0.2">
      <c r="B1628" s="243" t="s">
        <v>301</v>
      </c>
      <c r="C1628" s="244" t="s">
        <v>302</v>
      </c>
      <c r="D1628" s="243">
        <v>80</v>
      </c>
      <c r="G1628" s="243">
        <v>1.92</v>
      </c>
    </row>
    <row r="1629" spans="1:7" x14ac:dyDescent="0.2">
      <c r="B1629" s="243" t="s">
        <v>327</v>
      </c>
      <c r="C1629" s="244" t="s">
        <v>302</v>
      </c>
      <c r="D1629" s="243">
        <v>10</v>
      </c>
      <c r="G1629" s="243">
        <v>4</v>
      </c>
    </row>
    <row r="1630" spans="1:7" x14ac:dyDescent="0.2">
      <c r="B1630" s="243" t="s">
        <v>303</v>
      </c>
      <c r="C1630" s="244" t="s">
        <v>302</v>
      </c>
      <c r="D1630" s="243">
        <v>35</v>
      </c>
      <c r="G1630" s="243">
        <v>1.26</v>
      </c>
    </row>
    <row r="1632" spans="1:7" x14ac:dyDescent="0.2">
      <c r="A1632" s="250"/>
      <c r="B1632" s="250" t="s">
        <v>284</v>
      </c>
      <c r="C1632" s="252"/>
      <c r="D1632" s="250"/>
      <c r="E1632" s="252"/>
      <c r="F1632" s="250"/>
      <c r="G1632" s="250"/>
    </row>
    <row r="1633" spans="1:7" x14ac:dyDescent="0.2">
      <c r="B1633" s="243" t="s">
        <v>304</v>
      </c>
      <c r="G1633" s="243">
        <v>46</v>
      </c>
    </row>
    <row r="1634" spans="1:7" x14ac:dyDescent="0.2">
      <c r="B1634" s="243" t="s">
        <v>305</v>
      </c>
      <c r="G1634" s="243">
        <v>7.18</v>
      </c>
    </row>
    <row r="1635" spans="1:7" x14ac:dyDescent="0.2">
      <c r="B1635" s="243" t="s">
        <v>306</v>
      </c>
      <c r="G1635" s="243">
        <v>53.18</v>
      </c>
    </row>
    <row r="1636" spans="1:7" x14ac:dyDescent="0.2">
      <c r="B1636" s="243" t="s">
        <v>307</v>
      </c>
      <c r="C1636" s="244" t="s">
        <v>302</v>
      </c>
      <c r="D1636" s="243" t="s">
        <v>308</v>
      </c>
      <c r="G1636" s="243">
        <v>5.32</v>
      </c>
    </row>
    <row r="1638" spans="1:7" x14ac:dyDescent="0.2">
      <c r="A1638" s="248"/>
      <c r="B1638" s="248" t="s">
        <v>284</v>
      </c>
      <c r="C1638" s="249"/>
      <c r="D1638" s="248"/>
      <c r="E1638" s="249"/>
      <c r="F1638" s="248"/>
      <c r="G1638" s="248">
        <v>58.5</v>
      </c>
    </row>
    <row r="1640" spans="1:7" x14ac:dyDescent="0.2">
      <c r="A1640" s="248" t="s">
        <v>118</v>
      </c>
      <c r="B1640" s="248"/>
      <c r="C1640" s="249"/>
      <c r="D1640" s="248"/>
      <c r="E1640" s="249"/>
      <c r="F1640" s="248"/>
      <c r="G1640" s="248"/>
    </row>
    <row r="1641" spans="1:7" x14ac:dyDescent="0.2">
      <c r="A1641" s="250" t="s">
        <v>445</v>
      </c>
      <c r="G1641" s="251" t="s">
        <v>343</v>
      </c>
    </row>
    <row r="1643" spans="1:7" x14ac:dyDescent="0.2">
      <c r="A1643" s="250"/>
      <c r="B1643" s="250" t="s">
        <v>324</v>
      </c>
      <c r="C1643" s="252"/>
      <c r="D1643" s="250"/>
      <c r="E1643" s="252"/>
      <c r="F1643" s="250"/>
      <c r="G1643" s="250">
        <v>36</v>
      </c>
    </row>
    <row r="1644" spans="1:7" x14ac:dyDescent="0.2">
      <c r="A1644" s="243" t="s">
        <v>295</v>
      </c>
      <c r="B1644" s="243" t="s">
        <v>446</v>
      </c>
      <c r="C1644" s="244" t="s">
        <v>358</v>
      </c>
      <c r="D1644" s="253">
        <v>1</v>
      </c>
      <c r="E1644" s="254">
        <v>1</v>
      </c>
      <c r="F1644" s="243">
        <v>28</v>
      </c>
      <c r="G1644" s="243">
        <v>28</v>
      </c>
    </row>
    <row r="1645" spans="1:7" x14ac:dyDescent="0.2">
      <c r="A1645" s="243" t="s">
        <v>295</v>
      </c>
      <c r="B1645" s="243" t="s">
        <v>375</v>
      </c>
      <c r="C1645" s="244" t="s">
        <v>358</v>
      </c>
      <c r="D1645" s="253">
        <v>8</v>
      </c>
      <c r="E1645" s="254">
        <v>1</v>
      </c>
      <c r="F1645" s="243">
        <v>1</v>
      </c>
      <c r="G1645" s="243">
        <v>8</v>
      </c>
    </row>
    <row r="1647" spans="1:7" x14ac:dyDescent="0.2">
      <c r="A1647" s="250"/>
      <c r="B1647" s="250" t="s">
        <v>298</v>
      </c>
      <c r="C1647" s="252"/>
      <c r="D1647" s="255">
        <v>0.22</v>
      </c>
      <c r="E1647" s="252"/>
      <c r="F1647" s="250"/>
      <c r="G1647" s="250">
        <v>2.2000000000000002</v>
      </c>
    </row>
    <row r="1648" spans="1:7" x14ac:dyDescent="0.2">
      <c r="A1648" s="243" t="s">
        <v>295</v>
      </c>
      <c r="B1648" s="243" t="s">
        <v>351</v>
      </c>
      <c r="C1648" s="244" t="s">
        <v>299</v>
      </c>
      <c r="D1648" s="253">
        <v>0.22</v>
      </c>
      <c r="E1648" s="254">
        <v>1</v>
      </c>
      <c r="F1648" s="243">
        <v>10</v>
      </c>
      <c r="G1648" s="243">
        <v>2.2000000000000002</v>
      </c>
    </row>
    <row r="1650" spans="1:7" x14ac:dyDescent="0.2">
      <c r="A1650" s="250"/>
      <c r="B1650" s="250" t="s">
        <v>300</v>
      </c>
      <c r="C1650" s="252"/>
      <c r="D1650" s="250"/>
      <c r="E1650" s="252"/>
      <c r="F1650" s="250"/>
      <c r="G1650" s="250">
        <v>5.36</v>
      </c>
    </row>
    <row r="1651" spans="1:7" x14ac:dyDescent="0.2">
      <c r="B1651" s="243" t="s">
        <v>301</v>
      </c>
      <c r="C1651" s="244" t="s">
        <v>302</v>
      </c>
      <c r="D1651" s="243">
        <v>80</v>
      </c>
      <c r="G1651" s="243">
        <v>1.76</v>
      </c>
    </row>
    <row r="1652" spans="1:7" x14ac:dyDescent="0.2">
      <c r="B1652" s="243" t="s">
        <v>327</v>
      </c>
      <c r="C1652" s="244" t="s">
        <v>302</v>
      </c>
      <c r="D1652" s="243">
        <v>10</v>
      </c>
      <c r="G1652" s="243">
        <v>3.6</v>
      </c>
    </row>
    <row r="1654" spans="1:7" x14ac:dyDescent="0.2">
      <c r="A1654" s="250"/>
      <c r="B1654" s="250" t="s">
        <v>284</v>
      </c>
      <c r="C1654" s="252"/>
      <c r="D1654" s="250"/>
      <c r="E1654" s="252"/>
      <c r="F1654" s="250"/>
      <c r="G1654" s="250"/>
    </row>
    <row r="1655" spans="1:7" x14ac:dyDescent="0.2">
      <c r="B1655" s="243" t="s">
        <v>304</v>
      </c>
      <c r="G1655" s="243">
        <v>38.200000000000003</v>
      </c>
    </row>
    <row r="1656" spans="1:7" x14ac:dyDescent="0.2">
      <c r="B1656" s="243" t="s">
        <v>305</v>
      </c>
      <c r="G1656" s="243">
        <v>5.36</v>
      </c>
    </row>
    <row r="1657" spans="1:7" x14ac:dyDescent="0.2">
      <c r="B1657" s="243" t="s">
        <v>306</v>
      </c>
      <c r="G1657" s="243">
        <v>43.56</v>
      </c>
    </row>
    <row r="1658" spans="1:7" x14ac:dyDescent="0.2">
      <c r="B1658" s="243" t="s">
        <v>307</v>
      </c>
      <c r="C1658" s="244" t="s">
        <v>302</v>
      </c>
      <c r="D1658" s="243" t="s">
        <v>308</v>
      </c>
      <c r="G1658" s="243">
        <v>4.3600000000000003</v>
      </c>
    </row>
    <row r="1660" spans="1:7" x14ac:dyDescent="0.2">
      <c r="A1660" s="248"/>
      <c r="B1660" s="248" t="s">
        <v>284</v>
      </c>
      <c r="C1660" s="249"/>
      <c r="D1660" s="248"/>
      <c r="E1660" s="249"/>
      <c r="F1660" s="248"/>
      <c r="G1660" s="248">
        <v>47.92</v>
      </c>
    </row>
    <row r="1662" spans="1:7" x14ac:dyDescent="0.2">
      <c r="A1662" s="248" t="s">
        <v>119</v>
      </c>
      <c r="B1662" s="248"/>
      <c r="C1662" s="249"/>
      <c r="D1662" s="248"/>
      <c r="E1662" s="249"/>
      <c r="F1662" s="248"/>
      <c r="G1662" s="248"/>
    </row>
    <row r="1663" spans="1:7" x14ac:dyDescent="0.2">
      <c r="A1663" s="250" t="s">
        <v>447</v>
      </c>
      <c r="G1663" s="251" t="s">
        <v>343</v>
      </c>
    </row>
    <row r="1665" spans="1:7" x14ac:dyDescent="0.2">
      <c r="A1665" s="250"/>
      <c r="B1665" s="250" t="s">
        <v>324</v>
      </c>
      <c r="C1665" s="252"/>
      <c r="D1665" s="250"/>
      <c r="E1665" s="252"/>
      <c r="F1665" s="250"/>
      <c r="G1665" s="250">
        <v>36</v>
      </c>
    </row>
    <row r="1666" spans="1:7" x14ac:dyDescent="0.2">
      <c r="A1666" s="243" t="s">
        <v>295</v>
      </c>
      <c r="B1666" s="243" t="s">
        <v>446</v>
      </c>
      <c r="C1666" s="244" t="s">
        <v>358</v>
      </c>
      <c r="D1666" s="253">
        <v>1</v>
      </c>
      <c r="E1666" s="254">
        <v>1</v>
      </c>
      <c r="F1666" s="243">
        <v>28</v>
      </c>
      <c r="G1666" s="243">
        <v>28</v>
      </c>
    </row>
    <row r="1667" spans="1:7" x14ac:dyDescent="0.2">
      <c r="A1667" s="243" t="s">
        <v>295</v>
      </c>
      <c r="B1667" s="243" t="s">
        <v>375</v>
      </c>
      <c r="C1667" s="244" t="s">
        <v>358</v>
      </c>
      <c r="D1667" s="253">
        <v>8</v>
      </c>
      <c r="E1667" s="254">
        <v>1</v>
      </c>
      <c r="F1667" s="243">
        <v>1</v>
      </c>
      <c r="G1667" s="243">
        <v>8</v>
      </c>
    </row>
    <row r="1669" spans="1:7" x14ac:dyDescent="0.2">
      <c r="A1669" s="250"/>
      <c r="B1669" s="250" t="s">
        <v>298</v>
      </c>
      <c r="C1669" s="252"/>
      <c r="D1669" s="255">
        <v>0.22</v>
      </c>
      <c r="E1669" s="252"/>
      <c r="F1669" s="250"/>
      <c r="G1669" s="250">
        <v>2.2000000000000002</v>
      </c>
    </row>
    <row r="1670" spans="1:7" x14ac:dyDescent="0.2">
      <c r="A1670" s="243" t="s">
        <v>295</v>
      </c>
      <c r="B1670" s="243" t="s">
        <v>351</v>
      </c>
      <c r="C1670" s="244" t="s">
        <v>299</v>
      </c>
      <c r="D1670" s="253">
        <v>0.22</v>
      </c>
      <c r="E1670" s="254">
        <v>1</v>
      </c>
      <c r="F1670" s="243">
        <v>10</v>
      </c>
      <c r="G1670" s="243">
        <v>2.2000000000000002</v>
      </c>
    </row>
    <row r="1672" spans="1:7" x14ac:dyDescent="0.2">
      <c r="A1672" s="250"/>
      <c r="B1672" s="250" t="s">
        <v>300</v>
      </c>
      <c r="C1672" s="252"/>
      <c r="D1672" s="250"/>
      <c r="E1672" s="252"/>
      <c r="F1672" s="250"/>
      <c r="G1672" s="250">
        <v>5.36</v>
      </c>
    </row>
    <row r="1673" spans="1:7" x14ac:dyDescent="0.2">
      <c r="B1673" s="243" t="s">
        <v>301</v>
      </c>
      <c r="C1673" s="244" t="s">
        <v>302</v>
      </c>
      <c r="D1673" s="243">
        <v>80</v>
      </c>
      <c r="G1673" s="243">
        <v>1.76</v>
      </c>
    </row>
    <row r="1674" spans="1:7" x14ac:dyDescent="0.2">
      <c r="B1674" s="243" t="s">
        <v>327</v>
      </c>
      <c r="C1674" s="244" t="s">
        <v>302</v>
      </c>
      <c r="D1674" s="243">
        <v>10</v>
      </c>
      <c r="G1674" s="243">
        <v>3.6</v>
      </c>
    </row>
    <row r="1676" spans="1:7" x14ac:dyDescent="0.2">
      <c r="A1676" s="250"/>
      <c r="B1676" s="250" t="s">
        <v>284</v>
      </c>
      <c r="C1676" s="252"/>
      <c r="D1676" s="250"/>
      <c r="E1676" s="252"/>
      <c r="F1676" s="250"/>
      <c r="G1676" s="250"/>
    </row>
    <row r="1677" spans="1:7" x14ac:dyDescent="0.2">
      <c r="B1677" s="243" t="s">
        <v>304</v>
      </c>
      <c r="G1677" s="243">
        <v>38.200000000000003</v>
      </c>
    </row>
    <row r="1678" spans="1:7" x14ac:dyDescent="0.2">
      <c r="B1678" s="243" t="s">
        <v>305</v>
      </c>
      <c r="G1678" s="243">
        <v>5.36</v>
      </c>
    </row>
    <row r="1679" spans="1:7" x14ac:dyDescent="0.2">
      <c r="B1679" s="243" t="s">
        <v>306</v>
      </c>
      <c r="G1679" s="243">
        <v>43.56</v>
      </c>
    </row>
    <row r="1680" spans="1:7" x14ac:dyDescent="0.2">
      <c r="B1680" s="243" t="s">
        <v>307</v>
      </c>
      <c r="C1680" s="244" t="s">
        <v>302</v>
      </c>
      <c r="D1680" s="243" t="s">
        <v>308</v>
      </c>
      <c r="G1680" s="243">
        <v>4.3600000000000003</v>
      </c>
    </row>
    <row r="1682" spans="1:7" x14ac:dyDescent="0.2">
      <c r="A1682" s="248"/>
      <c r="B1682" s="248" t="s">
        <v>284</v>
      </c>
      <c r="C1682" s="249"/>
      <c r="D1682" s="248"/>
      <c r="E1682" s="249"/>
      <c r="F1682" s="248"/>
      <c r="G1682" s="248">
        <v>47.92</v>
      </c>
    </row>
    <row r="1684" spans="1:7" x14ac:dyDescent="0.2">
      <c r="A1684" s="248" t="s">
        <v>120</v>
      </c>
      <c r="B1684" s="248"/>
      <c r="C1684" s="249"/>
      <c r="D1684" s="248"/>
      <c r="E1684" s="249"/>
      <c r="F1684" s="248"/>
      <c r="G1684" s="248"/>
    </row>
    <row r="1685" spans="1:7" x14ac:dyDescent="0.2">
      <c r="A1685" s="250" t="s">
        <v>448</v>
      </c>
      <c r="G1685" s="251" t="s">
        <v>293</v>
      </c>
    </row>
    <row r="1687" spans="1:7" x14ac:dyDescent="0.2">
      <c r="A1687" s="250"/>
      <c r="B1687" s="250" t="s">
        <v>324</v>
      </c>
      <c r="C1687" s="252"/>
      <c r="D1687" s="250"/>
      <c r="E1687" s="252"/>
      <c r="F1687" s="250"/>
      <c r="G1687" s="250">
        <v>5.2</v>
      </c>
    </row>
    <row r="1688" spans="1:7" x14ac:dyDescent="0.2">
      <c r="A1688" s="243" t="s">
        <v>295</v>
      </c>
      <c r="B1688" s="243" t="s">
        <v>449</v>
      </c>
      <c r="C1688" s="244" t="s">
        <v>350</v>
      </c>
      <c r="D1688" s="253">
        <v>1</v>
      </c>
      <c r="E1688" s="254">
        <v>1</v>
      </c>
      <c r="F1688" s="243">
        <v>5.2</v>
      </c>
      <c r="G1688" s="243">
        <v>5.2</v>
      </c>
    </row>
    <row r="1690" spans="1:7" x14ac:dyDescent="0.2">
      <c r="A1690" s="250"/>
      <c r="B1690" s="250" t="s">
        <v>294</v>
      </c>
      <c r="C1690" s="252"/>
      <c r="D1690" s="250"/>
      <c r="E1690" s="252"/>
      <c r="F1690" s="250"/>
      <c r="G1690" s="250">
        <v>6.25</v>
      </c>
    </row>
    <row r="1691" spans="1:7" x14ac:dyDescent="0.2">
      <c r="A1691" s="243" t="s">
        <v>295</v>
      </c>
      <c r="B1691" s="243" t="s">
        <v>495</v>
      </c>
      <c r="C1691" s="244" t="s">
        <v>297</v>
      </c>
      <c r="D1691" s="253">
        <v>2.5000000000000001E-2</v>
      </c>
      <c r="E1691" s="254">
        <v>1</v>
      </c>
      <c r="F1691" s="243">
        <v>250</v>
      </c>
      <c r="G1691" s="243">
        <v>6.25</v>
      </c>
    </row>
    <row r="1693" spans="1:7" x14ac:dyDescent="0.2">
      <c r="A1693" s="250"/>
      <c r="B1693" s="250" t="s">
        <v>298</v>
      </c>
      <c r="C1693" s="252"/>
      <c r="D1693" s="255">
        <v>0.6</v>
      </c>
      <c r="E1693" s="252"/>
      <c r="F1693" s="250"/>
      <c r="G1693" s="250">
        <v>6</v>
      </c>
    </row>
    <row r="1694" spans="1:7" x14ac:dyDescent="0.2">
      <c r="A1694" s="243" t="s">
        <v>295</v>
      </c>
      <c r="B1694" s="243" t="s">
        <v>351</v>
      </c>
      <c r="C1694" s="244" t="s">
        <v>299</v>
      </c>
      <c r="D1694" s="253">
        <v>0.4</v>
      </c>
      <c r="E1694" s="254">
        <v>1</v>
      </c>
      <c r="F1694" s="243">
        <v>10</v>
      </c>
      <c r="G1694" s="243">
        <v>4</v>
      </c>
    </row>
    <row r="1695" spans="1:7" x14ac:dyDescent="0.2">
      <c r="A1695" s="243" t="s">
        <v>295</v>
      </c>
      <c r="B1695" s="243" t="s">
        <v>521</v>
      </c>
      <c r="C1695" s="244" t="s">
        <v>299</v>
      </c>
      <c r="D1695" s="253">
        <v>0.2</v>
      </c>
      <c r="E1695" s="254">
        <v>1</v>
      </c>
      <c r="F1695" s="243">
        <v>10</v>
      </c>
      <c r="G1695" s="243">
        <v>2</v>
      </c>
    </row>
    <row r="1697" spans="1:7" x14ac:dyDescent="0.2">
      <c r="A1697" s="250"/>
      <c r="B1697" s="250" t="s">
        <v>300</v>
      </c>
      <c r="C1697" s="252"/>
      <c r="D1697" s="250"/>
      <c r="E1697" s="252"/>
      <c r="F1697" s="250"/>
      <c r="G1697" s="250">
        <v>7.51</v>
      </c>
    </row>
    <row r="1698" spans="1:7" x14ac:dyDescent="0.2">
      <c r="B1698" s="243" t="s">
        <v>301</v>
      </c>
      <c r="C1698" s="244" t="s">
        <v>302</v>
      </c>
      <c r="D1698" s="243">
        <v>80</v>
      </c>
      <c r="G1698" s="243">
        <v>4.8</v>
      </c>
    </row>
    <row r="1699" spans="1:7" x14ac:dyDescent="0.2">
      <c r="B1699" s="243" t="s">
        <v>327</v>
      </c>
      <c r="C1699" s="244" t="s">
        <v>302</v>
      </c>
      <c r="D1699" s="243">
        <v>10</v>
      </c>
      <c r="G1699" s="243">
        <v>0.52</v>
      </c>
    </row>
    <row r="1700" spans="1:7" x14ac:dyDescent="0.2">
      <c r="B1700" s="243" t="s">
        <v>303</v>
      </c>
      <c r="C1700" s="244" t="s">
        <v>302</v>
      </c>
      <c r="D1700" s="243">
        <v>35</v>
      </c>
      <c r="G1700" s="243">
        <v>2.19</v>
      </c>
    </row>
    <row r="1702" spans="1:7" x14ac:dyDescent="0.2">
      <c r="A1702" s="250"/>
      <c r="B1702" s="250" t="s">
        <v>284</v>
      </c>
      <c r="C1702" s="252"/>
      <c r="D1702" s="250"/>
      <c r="E1702" s="252"/>
      <c r="F1702" s="250"/>
      <c r="G1702" s="250"/>
    </row>
    <row r="1703" spans="1:7" x14ac:dyDescent="0.2">
      <c r="B1703" s="243" t="s">
        <v>304</v>
      </c>
      <c r="G1703" s="243">
        <v>17.45</v>
      </c>
    </row>
    <row r="1704" spans="1:7" x14ac:dyDescent="0.2">
      <c r="B1704" s="243" t="s">
        <v>305</v>
      </c>
      <c r="G1704" s="243">
        <v>7.51</v>
      </c>
    </row>
    <row r="1705" spans="1:7" x14ac:dyDescent="0.2">
      <c r="B1705" s="243" t="s">
        <v>306</v>
      </c>
      <c r="G1705" s="243">
        <v>24.96</v>
      </c>
    </row>
    <row r="1706" spans="1:7" x14ac:dyDescent="0.2">
      <c r="B1706" s="243" t="s">
        <v>307</v>
      </c>
      <c r="C1706" s="244" t="s">
        <v>302</v>
      </c>
      <c r="D1706" s="243" t="s">
        <v>308</v>
      </c>
      <c r="G1706" s="243">
        <v>2.5</v>
      </c>
    </row>
    <row r="1708" spans="1:7" x14ac:dyDescent="0.2">
      <c r="A1708" s="248"/>
      <c r="B1708" s="248" t="s">
        <v>284</v>
      </c>
      <c r="C1708" s="249"/>
      <c r="D1708" s="248"/>
      <c r="E1708" s="249"/>
      <c r="F1708" s="248"/>
      <c r="G1708" s="248">
        <v>27.46</v>
      </c>
    </row>
    <row r="1710" spans="1:7" x14ac:dyDescent="0.2">
      <c r="A1710" s="248" t="s">
        <v>124</v>
      </c>
      <c r="B1710" s="248"/>
      <c r="C1710" s="249"/>
      <c r="D1710" s="248"/>
      <c r="E1710" s="249"/>
      <c r="F1710" s="248"/>
      <c r="G1710" s="248"/>
    </row>
    <row r="1711" spans="1:7" x14ac:dyDescent="0.2">
      <c r="A1711" s="250" t="s">
        <v>450</v>
      </c>
      <c r="G1711" s="251" t="s">
        <v>343</v>
      </c>
    </row>
    <row r="1713" spans="1:7" x14ac:dyDescent="0.2">
      <c r="A1713" s="250"/>
      <c r="B1713" s="250" t="s">
        <v>324</v>
      </c>
      <c r="C1713" s="252"/>
      <c r="D1713" s="250"/>
      <c r="E1713" s="252"/>
      <c r="F1713" s="250"/>
      <c r="G1713" s="250">
        <v>46</v>
      </c>
    </row>
    <row r="1714" spans="1:7" x14ac:dyDescent="0.2">
      <c r="A1714" s="243" t="s">
        <v>295</v>
      </c>
      <c r="B1714" s="243" t="s">
        <v>451</v>
      </c>
      <c r="C1714" s="244" t="s">
        <v>358</v>
      </c>
      <c r="D1714" s="253">
        <v>1</v>
      </c>
      <c r="E1714" s="254">
        <v>1</v>
      </c>
      <c r="F1714" s="243">
        <v>46</v>
      </c>
      <c r="G1714" s="243">
        <v>46</v>
      </c>
    </row>
    <row r="1716" spans="1:7" x14ac:dyDescent="0.2">
      <c r="A1716" s="250"/>
      <c r="B1716" s="250" t="s">
        <v>294</v>
      </c>
      <c r="C1716" s="252"/>
      <c r="D1716" s="250"/>
      <c r="E1716" s="252"/>
      <c r="F1716" s="250"/>
      <c r="G1716" s="250">
        <v>3.6</v>
      </c>
    </row>
    <row r="1717" spans="1:7" x14ac:dyDescent="0.2">
      <c r="A1717" s="243" t="s">
        <v>295</v>
      </c>
      <c r="B1717" s="243" t="s">
        <v>361</v>
      </c>
      <c r="C1717" s="244" t="s">
        <v>297</v>
      </c>
      <c r="D1717" s="253">
        <v>0.12</v>
      </c>
      <c r="E1717" s="254">
        <v>1</v>
      </c>
      <c r="F1717" s="243">
        <v>30</v>
      </c>
      <c r="G1717" s="243">
        <v>3.6</v>
      </c>
    </row>
    <row r="1719" spans="1:7" x14ac:dyDescent="0.2">
      <c r="A1719" s="250"/>
      <c r="B1719" s="250" t="s">
        <v>298</v>
      </c>
      <c r="C1719" s="252"/>
      <c r="D1719" s="255">
        <v>0.2</v>
      </c>
      <c r="E1719" s="252"/>
      <c r="F1719" s="250"/>
      <c r="G1719" s="250">
        <v>2</v>
      </c>
    </row>
    <row r="1720" spans="1:7" x14ac:dyDescent="0.2">
      <c r="A1720" s="243" t="s">
        <v>295</v>
      </c>
      <c r="B1720" s="243" t="s">
        <v>351</v>
      </c>
      <c r="C1720" s="244" t="s">
        <v>299</v>
      </c>
      <c r="D1720" s="253">
        <v>0.2</v>
      </c>
      <c r="E1720" s="254">
        <v>1</v>
      </c>
      <c r="F1720" s="243">
        <v>10</v>
      </c>
      <c r="G1720" s="243">
        <v>2</v>
      </c>
    </row>
    <row r="1722" spans="1:7" x14ac:dyDescent="0.2">
      <c r="A1722" s="250"/>
      <c r="B1722" s="250" t="s">
        <v>300</v>
      </c>
      <c r="C1722" s="252"/>
      <c r="D1722" s="250"/>
      <c r="E1722" s="252"/>
      <c r="F1722" s="250"/>
      <c r="G1722" s="250">
        <v>7.46</v>
      </c>
    </row>
    <row r="1723" spans="1:7" x14ac:dyDescent="0.2">
      <c r="B1723" s="243" t="s">
        <v>301</v>
      </c>
      <c r="C1723" s="244" t="s">
        <v>302</v>
      </c>
      <c r="D1723" s="243">
        <v>80</v>
      </c>
      <c r="G1723" s="243">
        <v>1.6</v>
      </c>
    </row>
    <row r="1724" spans="1:7" x14ac:dyDescent="0.2">
      <c r="B1724" s="243" t="s">
        <v>327</v>
      </c>
      <c r="C1724" s="244" t="s">
        <v>302</v>
      </c>
      <c r="D1724" s="243">
        <v>10</v>
      </c>
      <c r="G1724" s="243">
        <v>4.5999999999999996</v>
      </c>
    </row>
    <row r="1725" spans="1:7" x14ac:dyDescent="0.2">
      <c r="B1725" s="243" t="s">
        <v>303</v>
      </c>
      <c r="C1725" s="244" t="s">
        <v>302</v>
      </c>
      <c r="D1725" s="243">
        <v>35</v>
      </c>
      <c r="G1725" s="243">
        <v>1.26</v>
      </c>
    </row>
    <row r="1727" spans="1:7" x14ac:dyDescent="0.2">
      <c r="A1727" s="250"/>
      <c r="B1727" s="250" t="s">
        <v>284</v>
      </c>
      <c r="C1727" s="252"/>
      <c r="D1727" s="250"/>
      <c r="E1727" s="252"/>
      <c r="F1727" s="250"/>
      <c r="G1727" s="250"/>
    </row>
    <row r="1728" spans="1:7" x14ac:dyDescent="0.2">
      <c r="B1728" s="243" t="s">
        <v>304</v>
      </c>
      <c r="G1728" s="243">
        <v>51.6</v>
      </c>
    </row>
    <row r="1729" spans="1:7" x14ac:dyDescent="0.2">
      <c r="B1729" s="243" t="s">
        <v>305</v>
      </c>
      <c r="G1729" s="243">
        <v>7.46</v>
      </c>
    </row>
    <row r="1730" spans="1:7" x14ac:dyDescent="0.2">
      <c r="B1730" s="243" t="s">
        <v>306</v>
      </c>
      <c r="G1730" s="243">
        <v>59.06</v>
      </c>
    </row>
    <row r="1731" spans="1:7" x14ac:dyDescent="0.2">
      <c r="B1731" s="243" t="s">
        <v>307</v>
      </c>
      <c r="C1731" s="244" t="s">
        <v>302</v>
      </c>
      <c r="D1731" s="243" t="s">
        <v>308</v>
      </c>
      <c r="G1731" s="243">
        <v>5.91</v>
      </c>
    </row>
    <row r="1733" spans="1:7" x14ac:dyDescent="0.2">
      <c r="A1733" s="248"/>
      <c r="B1733" s="248" t="s">
        <v>284</v>
      </c>
      <c r="C1733" s="249"/>
      <c r="D1733" s="248"/>
      <c r="E1733" s="249"/>
      <c r="F1733" s="248"/>
      <c r="G1733" s="248">
        <v>64.97</v>
      </c>
    </row>
    <row r="1735" spans="1:7" x14ac:dyDescent="0.2">
      <c r="A1735" s="248" t="s">
        <v>121</v>
      </c>
      <c r="B1735" s="248"/>
      <c r="C1735" s="249"/>
      <c r="D1735" s="248"/>
      <c r="E1735" s="249"/>
      <c r="F1735" s="248"/>
      <c r="G1735" s="248"/>
    </row>
    <row r="1736" spans="1:7" x14ac:dyDescent="0.2">
      <c r="A1736" s="250" t="s">
        <v>452</v>
      </c>
      <c r="G1736" s="251" t="s">
        <v>343</v>
      </c>
    </row>
    <row r="1738" spans="1:7" x14ac:dyDescent="0.2">
      <c r="A1738" s="250"/>
      <c r="B1738" s="250" t="s">
        <v>324</v>
      </c>
      <c r="C1738" s="252"/>
      <c r="D1738" s="250"/>
      <c r="E1738" s="252"/>
      <c r="F1738" s="250"/>
      <c r="G1738" s="250">
        <v>29</v>
      </c>
    </row>
    <row r="1739" spans="1:7" x14ac:dyDescent="0.2">
      <c r="A1739" s="243" t="s">
        <v>295</v>
      </c>
      <c r="B1739" s="243" t="s">
        <v>453</v>
      </c>
      <c r="C1739" s="244" t="s">
        <v>358</v>
      </c>
      <c r="D1739" s="253">
        <v>1</v>
      </c>
      <c r="E1739" s="254">
        <v>1</v>
      </c>
      <c r="F1739" s="243">
        <v>29</v>
      </c>
      <c r="G1739" s="243">
        <v>29</v>
      </c>
    </row>
    <row r="1741" spans="1:7" x14ac:dyDescent="0.2">
      <c r="A1741" s="250"/>
      <c r="B1741" s="250" t="s">
        <v>294</v>
      </c>
      <c r="C1741" s="252"/>
      <c r="D1741" s="250"/>
      <c r="E1741" s="252"/>
      <c r="F1741" s="250"/>
      <c r="G1741" s="250">
        <v>3.6</v>
      </c>
    </row>
    <row r="1742" spans="1:7" x14ac:dyDescent="0.2">
      <c r="A1742" s="243" t="s">
        <v>295</v>
      </c>
      <c r="B1742" s="243" t="s">
        <v>380</v>
      </c>
      <c r="C1742" s="244" t="s">
        <v>297</v>
      </c>
      <c r="D1742" s="253">
        <v>0.12</v>
      </c>
      <c r="E1742" s="254">
        <v>1</v>
      </c>
      <c r="F1742" s="243">
        <v>30</v>
      </c>
      <c r="G1742" s="243">
        <v>3.6</v>
      </c>
    </row>
    <row r="1744" spans="1:7" x14ac:dyDescent="0.2">
      <c r="A1744" s="250"/>
      <c r="B1744" s="250" t="s">
        <v>298</v>
      </c>
      <c r="C1744" s="252"/>
      <c r="D1744" s="255">
        <v>0.34</v>
      </c>
      <c r="E1744" s="252"/>
      <c r="F1744" s="250"/>
      <c r="G1744" s="250">
        <v>3.4</v>
      </c>
    </row>
    <row r="1745" spans="1:7" x14ac:dyDescent="0.2">
      <c r="A1745" s="243" t="s">
        <v>295</v>
      </c>
      <c r="B1745" s="243" t="s">
        <v>351</v>
      </c>
      <c r="C1745" s="244" t="s">
        <v>299</v>
      </c>
      <c r="D1745" s="253">
        <v>0.34</v>
      </c>
      <c r="E1745" s="254">
        <v>1</v>
      </c>
      <c r="F1745" s="243">
        <v>10</v>
      </c>
      <c r="G1745" s="243">
        <v>3.4</v>
      </c>
    </row>
    <row r="1747" spans="1:7" x14ac:dyDescent="0.2">
      <c r="A1747" s="250"/>
      <c r="B1747" s="250" t="s">
        <v>300</v>
      </c>
      <c r="C1747" s="252"/>
      <c r="D1747" s="250"/>
      <c r="E1747" s="252"/>
      <c r="F1747" s="250"/>
      <c r="G1747" s="250">
        <v>6.88</v>
      </c>
    </row>
    <row r="1748" spans="1:7" x14ac:dyDescent="0.2">
      <c r="B1748" s="243" t="s">
        <v>301</v>
      </c>
      <c r="C1748" s="244" t="s">
        <v>302</v>
      </c>
      <c r="D1748" s="243">
        <v>80</v>
      </c>
      <c r="G1748" s="243">
        <v>2.72</v>
      </c>
    </row>
    <row r="1749" spans="1:7" x14ac:dyDescent="0.2">
      <c r="B1749" s="243" t="s">
        <v>327</v>
      </c>
      <c r="C1749" s="244" t="s">
        <v>302</v>
      </c>
      <c r="D1749" s="243">
        <v>10</v>
      </c>
      <c r="G1749" s="243">
        <v>2.9</v>
      </c>
    </row>
    <row r="1750" spans="1:7" x14ac:dyDescent="0.2">
      <c r="B1750" s="243" t="s">
        <v>303</v>
      </c>
      <c r="C1750" s="244" t="s">
        <v>302</v>
      </c>
      <c r="D1750" s="243">
        <v>35</v>
      </c>
      <c r="G1750" s="243">
        <v>1.26</v>
      </c>
    </row>
    <row r="1752" spans="1:7" x14ac:dyDescent="0.2">
      <c r="A1752" s="250"/>
      <c r="B1752" s="250" t="s">
        <v>284</v>
      </c>
      <c r="C1752" s="252"/>
      <c r="D1752" s="250"/>
      <c r="E1752" s="252"/>
      <c r="F1752" s="250"/>
      <c r="G1752" s="250"/>
    </row>
    <row r="1753" spans="1:7" x14ac:dyDescent="0.2">
      <c r="B1753" s="243" t="s">
        <v>304</v>
      </c>
      <c r="G1753" s="243">
        <v>36</v>
      </c>
    </row>
    <row r="1754" spans="1:7" x14ac:dyDescent="0.2">
      <c r="B1754" s="243" t="s">
        <v>305</v>
      </c>
      <c r="G1754" s="243">
        <v>6.88</v>
      </c>
    </row>
    <row r="1755" spans="1:7" x14ac:dyDescent="0.2">
      <c r="B1755" s="243" t="s">
        <v>306</v>
      </c>
      <c r="G1755" s="243">
        <v>42.88</v>
      </c>
    </row>
    <row r="1756" spans="1:7" x14ac:dyDescent="0.2">
      <c r="B1756" s="243" t="s">
        <v>307</v>
      </c>
      <c r="C1756" s="244" t="s">
        <v>302</v>
      </c>
      <c r="D1756" s="243" t="s">
        <v>308</v>
      </c>
      <c r="G1756" s="243">
        <v>4.29</v>
      </c>
    </row>
    <row r="1758" spans="1:7" x14ac:dyDescent="0.2">
      <c r="A1758" s="248"/>
      <c r="B1758" s="248" t="s">
        <v>284</v>
      </c>
      <c r="C1758" s="249"/>
      <c r="D1758" s="248"/>
      <c r="E1758" s="249"/>
      <c r="F1758" s="248"/>
      <c r="G1758" s="248">
        <v>47.17</v>
      </c>
    </row>
    <row r="1760" spans="1:7" x14ac:dyDescent="0.2">
      <c r="A1760" s="248" t="s">
        <v>122</v>
      </c>
      <c r="B1760" s="248"/>
      <c r="C1760" s="249"/>
      <c r="D1760" s="248"/>
      <c r="E1760" s="249"/>
      <c r="F1760" s="248"/>
      <c r="G1760" s="248"/>
    </row>
    <row r="1761" spans="1:7" x14ac:dyDescent="0.2">
      <c r="A1761" s="250" t="s">
        <v>454</v>
      </c>
      <c r="G1761" s="251" t="s">
        <v>343</v>
      </c>
    </row>
    <row r="1763" spans="1:7" x14ac:dyDescent="0.2">
      <c r="A1763" s="250"/>
      <c r="B1763" s="250" t="s">
        <v>324</v>
      </c>
      <c r="C1763" s="252"/>
      <c r="D1763" s="250"/>
      <c r="E1763" s="252"/>
      <c r="F1763" s="250"/>
      <c r="G1763" s="250">
        <v>43</v>
      </c>
    </row>
    <row r="1764" spans="1:7" x14ac:dyDescent="0.2">
      <c r="A1764" s="243" t="s">
        <v>295</v>
      </c>
      <c r="B1764" s="243" t="s">
        <v>455</v>
      </c>
      <c r="C1764" s="244" t="s">
        <v>358</v>
      </c>
      <c r="D1764" s="253">
        <v>1</v>
      </c>
      <c r="E1764" s="254">
        <v>1</v>
      </c>
      <c r="F1764" s="243">
        <v>43</v>
      </c>
      <c r="G1764" s="243">
        <v>43</v>
      </c>
    </row>
    <row r="1766" spans="1:7" x14ac:dyDescent="0.2">
      <c r="A1766" s="250"/>
      <c r="B1766" s="250" t="s">
        <v>294</v>
      </c>
      <c r="C1766" s="252"/>
      <c r="D1766" s="250"/>
      <c r="E1766" s="252"/>
      <c r="F1766" s="250"/>
      <c r="G1766" s="250">
        <v>3.6</v>
      </c>
    </row>
    <row r="1767" spans="1:7" x14ac:dyDescent="0.2">
      <c r="A1767" s="243" t="s">
        <v>295</v>
      </c>
      <c r="B1767" s="243" t="s">
        <v>380</v>
      </c>
      <c r="C1767" s="244" t="s">
        <v>297</v>
      </c>
      <c r="D1767" s="253">
        <v>0.12</v>
      </c>
      <c r="E1767" s="254">
        <v>1</v>
      </c>
      <c r="F1767" s="243">
        <v>30</v>
      </c>
      <c r="G1767" s="243">
        <v>3.6</v>
      </c>
    </row>
    <row r="1769" spans="1:7" x14ac:dyDescent="0.2">
      <c r="A1769" s="250"/>
      <c r="B1769" s="250" t="s">
        <v>298</v>
      </c>
      <c r="C1769" s="252"/>
      <c r="D1769" s="255">
        <v>0.24</v>
      </c>
      <c r="E1769" s="252"/>
      <c r="F1769" s="250"/>
      <c r="G1769" s="250">
        <v>2.4</v>
      </c>
    </row>
    <row r="1770" spans="1:7" x14ac:dyDescent="0.2">
      <c r="A1770" s="243" t="s">
        <v>295</v>
      </c>
      <c r="B1770" s="243" t="s">
        <v>351</v>
      </c>
      <c r="C1770" s="244" t="s">
        <v>299</v>
      </c>
      <c r="D1770" s="253">
        <v>0.24</v>
      </c>
      <c r="E1770" s="254">
        <v>1</v>
      </c>
      <c r="F1770" s="243">
        <v>10</v>
      </c>
      <c r="G1770" s="243">
        <v>2.4</v>
      </c>
    </row>
    <row r="1772" spans="1:7" x14ac:dyDescent="0.2">
      <c r="A1772" s="250"/>
      <c r="B1772" s="250" t="s">
        <v>300</v>
      </c>
      <c r="C1772" s="252"/>
      <c r="D1772" s="250"/>
      <c r="E1772" s="252"/>
      <c r="F1772" s="250"/>
      <c r="G1772" s="250">
        <v>7.48</v>
      </c>
    </row>
    <row r="1773" spans="1:7" x14ac:dyDescent="0.2">
      <c r="B1773" s="243" t="s">
        <v>301</v>
      </c>
      <c r="C1773" s="244" t="s">
        <v>302</v>
      </c>
      <c r="D1773" s="243">
        <v>80</v>
      </c>
      <c r="G1773" s="243">
        <v>1.92</v>
      </c>
    </row>
    <row r="1774" spans="1:7" x14ac:dyDescent="0.2">
      <c r="B1774" s="243" t="s">
        <v>327</v>
      </c>
      <c r="C1774" s="244" t="s">
        <v>302</v>
      </c>
      <c r="D1774" s="243">
        <v>10</v>
      </c>
      <c r="G1774" s="243">
        <v>4.3</v>
      </c>
    </row>
    <row r="1775" spans="1:7" x14ac:dyDescent="0.2">
      <c r="B1775" s="243" t="s">
        <v>303</v>
      </c>
      <c r="C1775" s="244" t="s">
        <v>302</v>
      </c>
      <c r="D1775" s="243">
        <v>35</v>
      </c>
      <c r="G1775" s="243">
        <v>1.26</v>
      </c>
    </row>
    <row r="1777" spans="1:7" x14ac:dyDescent="0.2">
      <c r="A1777" s="250"/>
      <c r="B1777" s="250" t="s">
        <v>284</v>
      </c>
      <c r="C1777" s="252"/>
      <c r="D1777" s="250"/>
      <c r="E1777" s="252"/>
      <c r="F1777" s="250"/>
      <c r="G1777" s="250"/>
    </row>
    <row r="1778" spans="1:7" x14ac:dyDescent="0.2">
      <c r="B1778" s="243" t="s">
        <v>304</v>
      </c>
      <c r="G1778" s="243">
        <v>49</v>
      </c>
    </row>
    <row r="1779" spans="1:7" x14ac:dyDescent="0.2">
      <c r="B1779" s="243" t="s">
        <v>305</v>
      </c>
      <c r="G1779" s="243">
        <v>7.48</v>
      </c>
    </row>
    <row r="1780" spans="1:7" x14ac:dyDescent="0.2">
      <c r="B1780" s="243" t="s">
        <v>306</v>
      </c>
      <c r="G1780" s="243">
        <v>56.48</v>
      </c>
    </row>
    <row r="1781" spans="1:7" x14ac:dyDescent="0.2">
      <c r="B1781" s="243" t="s">
        <v>307</v>
      </c>
      <c r="C1781" s="244" t="s">
        <v>302</v>
      </c>
      <c r="D1781" s="243" t="s">
        <v>308</v>
      </c>
      <c r="G1781" s="243">
        <v>5.65</v>
      </c>
    </row>
    <row r="1783" spans="1:7" x14ac:dyDescent="0.2">
      <c r="A1783" s="248"/>
      <c r="B1783" s="248" t="s">
        <v>284</v>
      </c>
      <c r="C1783" s="249"/>
      <c r="D1783" s="248"/>
      <c r="E1783" s="249"/>
      <c r="F1783" s="248"/>
      <c r="G1783" s="248">
        <v>62.13</v>
      </c>
    </row>
    <row r="1785" spans="1:7" x14ac:dyDescent="0.2">
      <c r="A1785" s="248" t="s">
        <v>135</v>
      </c>
      <c r="B1785" s="248"/>
      <c r="C1785" s="249"/>
      <c r="D1785" s="248"/>
      <c r="E1785" s="249"/>
      <c r="F1785" s="248"/>
      <c r="G1785" s="248"/>
    </row>
    <row r="1786" spans="1:7" x14ac:dyDescent="0.2">
      <c r="A1786" s="250" t="s">
        <v>456</v>
      </c>
      <c r="G1786" s="251" t="s">
        <v>404</v>
      </c>
    </row>
    <row r="1788" spans="1:7" x14ac:dyDescent="0.2">
      <c r="A1788" s="250"/>
      <c r="B1788" s="250" t="s">
        <v>324</v>
      </c>
      <c r="C1788" s="252"/>
      <c r="D1788" s="250"/>
      <c r="E1788" s="252"/>
      <c r="F1788" s="250"/>
      <c r="G1788" s="250">
        <v>82.1</v>
      </c>
    </row>
    <row r="1789" spans="1:7" x14ac:dyDescent="0.2">
      <c r="A1789" s="243" t="s">
        <v>295</v>
      </c>
      <c r="B1789" s="243" t="s">
        <v>507</v>
      </c>
      <c r="C1789" s="244" t="s">
        <v>405</v>
      </c>
      <c r="D1789" s="253">
        <v>1.0009999999999999</v>
      </c>
      <c r="E1789" s="254">
        <v>1</v>
      </c>
      <c r="F1789" s="243">
        <v>82</v>
      </c>
      <c r="G1789" s="243">
        <v>82.08</v>
      </c>
    </row>
    <row r="1790" spans="1:7" x14ac:dyDescent="0.2">
      <c r="A1790" s="243" t="s">
        <v>295</v>
      </c>
      <c r="B1790" s="243" t="s">
        <v>508</v>
      </c>
      <c r="C1790" s="244" t="s">
        <v>330</v>
      </c>
      <c r="D1790" s="253">
        <v>0.01</v>
      </c>
      <c r="E1790" s="254">
        <v>1</v>
      </c>
      <c r="F1790" s="243">
        <v>1.83</v>
      </c>
      <c r="G1790" s="243">
        <v>0.02</v>
      </c>
    </row>
    <row r="1792" spans="1:7" x14ac:dyDescent="0.2">
      <c r="A1792" s="250"/>
      <c r="B1792" s="250" t="s">
        <v>294</v>
      </c>
      <c r="C1792" s="252"/>
      <c r="D1792" s="250"/>
      <c r="E1792" s="252"/>
      <c r="F1792" s="250"/>
      <c r="G1792" s="250">
        <v>7.18</v>
      </c>
    </row>
    <row r="1793" spans="1:7" x14ac:dyDescent="0.2">
      <c r="A1793" s="243" t="s">
        <v>295</v>
      </c>
      <c r="B1793" s="243" t="s">
        <v>406</v>
      </c>
      <c r="C1793" s="244" t="s">
        <v>297</v>
      </c>
      <c r="D1793" s="253">
        <v>1.0999999999999999E-2</v>
      </c>
      <c r="E1793" s="254">
        <v>1</v>
      </c>
      <c r="F1793" s="243">
        <v>300</v>
      </c>
      <c r="G1793" s="243">
        <v>3.3</v>
      </c>
    </row>
    <row r="1794" spans="1:7" x14ac:dyDescent="0.2">
      <c r="A1794" s="243" t="s">
        <v>295</v>
      </c>
      <c r="B1794" s="243" t="s">
        <v>509</v>
      </c>
      <c r="C1794" s="244" t="s">
        <v>297</v>
      </c>
      <c r="D1794" s="253">
        <v>1.29E-2</v>
      </c>
      <c r="E1794" s="254">
        <v>1</v>
      </c>
      <c r="F1794" s="243">
        <v>150</v>
      </c>
      <c r="G1794" s="243">
        <v>1.94</v>
      </c>
    </row>
    <row r="1795" spans="1:7" x14ac:dyDescent="0.2">
      <c r="A1795" s="243" t="s">
        <v>295</v>
      </c>
      <c r="B1795" s="243" t="s">
        <v>510</v>
      </c>
      <c r="C1795" s="244" t="s">
        <v>297</v>
      </c>
      <c r="D1795" s="253">
        <v>1.29E-2</v>
      </c>
      <c r="E1795" s="254">
        <v>1</v>
      </c>
      <c r="F1795" s="243">
        <v>150</v>
      </c>
      <c r="G1795" s="243">
        <v>1.94</v>
      </c>
    </row>
    <row r="1797" spans="1:7" x14ac:dyDescent="0.2">
      <c r="A1797" s="250"/>
      <c r="B1797" s="250" t="s">
        <v>298</v>
      </c>
      <c r="C1797" s="252"/>
      <c r="D1797" s="255">
        <v>0.77600000000000002</v>
      </c>
      <c r="E1797" s="252"/>
      <c r="F1797" s="250"/>
      <c r="G1797" s="250">
        <v>7.76</v>
      </c>
    </row>
    <row r="1798" spans="1:7" x14ac:dyDescent="0.2">
      <c r="A1798" s="243" t="s">
        <v>295</v>
      </c>
      <c r="B1798" s="243" t="s">
        <v>521</v>
      </c>
      <c r="C1798" s="244" t="s">
        <v>299</v>
      </c>
      <c r="D1798" s="253">
        <v>0.27500000000000002</v>
      </c>
      <c r="E1798" s="254">
        <v>1</v>
      </c>
      <c r="F1798" s="243">
        <v>10</v>
      </c>
      <c r="G1798" s="243">
        <v>2.75</v>
      </c>
    </row>
    <row r="1799" spans="1:7" x14ac:dyDescent="0.2">
      <c r="A1799" s="243" t="s">
        <v>295</v>
      </c>
      <c r="B1799" s="243" t="s">
        <v>521</v>
      </c>
      <c r="C1799" s="244" t="s">
        <v>299</v>
      </c>
      <c r="D1799" s="253">
        <v>0.501</v>
      </c>
      <c r="E1799" s="254">
        <v>1</v>
      </c>
      <c r="F1799" s="243">
        <v>10</v>
      </c>
      <c r="G1799" s="243">
        <v>5.01</v>
      </c>
    </row>
    <row r="1801" spans="1:7" x14ac:dyDescent="0.2">
      <c r="A1801" s="250"/>
      <c r="B1801" s="250" t="s">
        <v>300</v>
      </c>
      <c r="C1801" s="252"/>
      <c r="D1801" s="250"/>
      <c r="E1801" s="252"/>
      <c r="F1801" s="250"/>
      <c r="G1801" s="250">
        <v>16.93</v>
      </c>
    </row>
    <row r="1802" spans="1:7" x14ac:dyDescent="0.2">
      <c r="B1802" s="243" t="s">
        <v>301</v>
      </c>
      <c r="C1802" s="244" t="s">
        <v>302</v>
      </c>
      <c r="D1802" s="243">
        <v>80</v>
      </c>
      <c r="G1802" s="243">
        <v>6.21</v>
      </c>
    </row>
    <row r="1803" spans="1:7" x14ac:dyDescent="0.2">
      <c r="B1803" s="243" t="s">
        <v>327</v>
      </c>
      <c r="C1803" s="244" t="s">
        <v>302</v>
      </c>
      <c r="D1803" s="243">
        <v>10</v>
      </c>
      <c r="G1803" s="243">
        <v>8.2100000000000009</v>
      </c>
    </row>
    <row r="1804" spans="1:7" x14ac:dyDescent="0.2">
      <c r="B1804" s="243" t="s">
        <v>303</v>
      </c>
      <c r="C1804" s="244" t="s">
        <v>302</v>
      </c>
      <c r="D1804" s="243">
        <v>35</v>
      </c>
      <c r="G1804" s="243">
        <v>2.5099999999999998</v>
      </c>
    </row>
    <row r="1806" spans="1:7" x14ac:dyDescent="0.2">
      <c r="A1806" s="250"/>
      <c r="B1806" s="250" t="s">
        <v>284</v>
      </c>
      <c r="C1806" s="252"/>
      <c r="D1806" s="250"/>
      <c r="E1806" s="252"/>
      <c r="F1806" s="250"/>
      <c r="G1806" s="250"/>
    </row>
    <row r="1807" spans="1:7" x14ac:dyDescent="0.2">
      <c r="B1807" s="243" t="s">
        <v>304</v>
      </c>
      <c r="G1807" s="243">
        <v>97.04</v>
      </c>
    </row>
    <row r="1808" spans="1:7" x14ac:dyDescent="0.2">
      <c r="B1808" s="243" t="s">
        <v>305</v>
      </c>
      <c r="G1808" s="243">
        <v>16.93</v>
      </c>
    </row>
    <row r="1809" spans="1:7" x14ac:dyDescent="0.2">
      <c r="B1809" s="243" t="s">
        <v>306</v>
      </c>
      <c r="G1809" s="243">
        <v>113.97</v>
      </c>
    </row>
    <row r="1810" spans="1:7" x14ac:dyDescent="0.2">
      <c r="B1810" s="243" t="s">
        <v>307</v>
      </c>
      <c r="C1810" s="244" t="s">
        <v>302</v>
      </c>
      <c r="D1810" s="243" t="s">
        <v>308</v>
      </c>
      <c r="G1810" s="243">
        <v>11.4</v>
      </c>
    </row>
    <row r="1812" spans="1:7" x14ac:dyDescent="0.2">
      <c r="A1812" s="248"/>
      <c r="B1812" s="248" t="s">
        <v>284</v>
      </c>
      <c r="C1812" s="249"/>
      <c r="D1812" s="248"/>
      <c r="E1812" s="249"/>
      <c r="F1812" s="248"/>
      <c r="G1812" s="248">
        <v>125.37</v>
      </c>
    </row>
    <row r="1814" spans="1:7" x14ac:dyDescent="0.2">
      <c r="A1814" s="248" t="s">
        <v>125</v>
      </c>
      <c r="B1814" s="248"/>
      <c r="C1814" s="249"/>
      <c r="D1814" s="248"/>
      <c r="E1814" s="249"/>
      <c r="F1814" s="248"/>
      <c r="G1814" s="248"/>
    </row>
    <row r="1815" spans="1:7" x14ac:dyDescent="0.2">
      <c r="A1815" s="250" t="s">
        <v>457</v>
      </c>
      <c r="G1815" s="251" t="s">
        <v>343</v>
      </c>
    </row>
    <row r="1817" spans="1:7" x14ac:dyDescent="0.2">
      <c r="A1817" s="250"/>
      <c r="B1817" s="250" t="s">
        <v>324</v>
      </c>
      <c r="C1817" s="252"/>
      <c r="D1817" s="250"/>
      <c r="E1817" s="252"/>
      <c r="F1817" s="250"/>
      <c r="G1817" s="250">
        <v>16</v>
      </c>
    </row>
    <row r="1818" spans="1:7" x14ac:dyDescent="0.2">
      <c r="A1818" s="243" t="s">
        <v>295</v>
      </c>
      <c r="B1818" s="243" t="s">
        <v>125</v>
      </c>
      <c r="C1818" s="244" t="s">
        <v>358</v>
      </c>
      <c r="D1818" s="253">
        <v>1</v>
      </c>
      <c r="E1818" s="254">
        <v>1</v>
      </c>
      <c r="F1818" s="243">
        <v>16</v>
      </c>
      <c r="G1818" s="243">
        <v>16</v>
      </c>
    </row>
    <row r="1820" spans="1:7" x14ac:dyDescent="0.2">
      <c r="A1820" s="250"/>
      <c r="B1820" s="250" t="s">
        <v>294</v>
      </c>
      <c r="C1820" s="252"/>
      <c r="D1820" s="250"/>
      <c r="E1820" s="252"/>
      <c r="F1820" s="250"/>
      <c r="G1820" s="250">
        <v>3.6</v>
      </c>
    </row>
    <row r="1821" spans="1:7" x14ac:dyDescent="0.2">
      <c r="A1821" s="243" t="s">
        <v>295</v>
      </c>
      <c r="B1821" s="243" t="s">
        <v>380</v>
      </c>
      <c r="C1821" s="244" t="s">
        <v>297</v>
      </c>
      <c r="D1821" s="253">
        <v>0.12</v>
      </c>
      <c r="E1821" s="254">
        <v>1</v>
      </c>
      <c r="F1821" s="243">
        <v>30</v>
      </c>
      <c r="G1821" s="243">
        <v>3.6</v>
      </c>
    </row>
    <row r="1823" spans="1:7" x14ac:dyDescent="0.2">
      <c r="A1823" s="250"/>
      <c r="B1823" s="250" t="s">
        <v>298</v>
      </c>
      <c r="C1823" s="252"/>
      <c r="D1823" s="255">
        <v>0.34</v>
      </c>
      <c r="E1823" s="252"/>
      <c r="F1823" s="250"/>
      <c r="G1823" s="250">
        <v>3.4</v>
      </c>
    </row>
    <row r="1824" spans="1:7" x14ac:dyDescent="0.2">
      <c r="A1824" s="243" t="s">
        <v>295</v>
      </c>
      <c r="B1824" s="243" t="s">
        <v>351</v>
      </c>
      <c r="C1824" s="244" t="s">
        <v>299</v>
      </c>
      <c r="D1824" s="253">
        <v>0.34</v>
      </c>
      <c r="E1824" s="254">
        <v>1</v>
      </c>
      <c r="F1824" s="243">
        <v>10</v>
      </c>
      <c r="G1824" s="243">
        <v>3.4</v>
      </c>
    </row>
    <row r="1826" spans="1:7" x14ac:dyDescent="0.2">
      <c r="A1826" s="250"/>
      <c r="B1826" s="250" t="s">
        <v>300</v>
      </c>
      <c r="C1826" s="252"/>
      <c r="D1826" s="250"/>
      <c r="E1826" s="252"/>
      <c r="F1826" s="250"/>
      <c r="G1826" s="250">
        <v>5.58</v>
      </c>
    </row>
    <row r="1827" spans="1:7" x14ac:dyDescent="0.2">
      <c r="B1827" s="243" t="s">
        <v>301</v>
      </c>
      <c r="C1827" s="244" t="s">
        <v>302</v>
      </c>
      <c r="D1827" s="243">
        <v>80</v>
      </c>
      <c r="G1827" s="243">
        <v>2.72</v>
      </c>
    </row>
    <row r="1828" spans="1:7" x14ac:dyDescent="0.2">
      <c r="B1828" s="243" t="s">
        <v>327</v>
      </c>
      <c r="C1828" s="244" t="s">
        <v>302</v>
      </c>
      <c r="D1828" s="243">
        <v>10</v>
      </c>
      <c r="G1828" s="243">
        <v>1.6</v>
      </c>
    </row>
    <row r="1829" spans="1:7" x14ac:dyDescent="0.2">
      <c r="B1829" s="243" t="s">
        <v>303</v>
      </c>
      <c r="C1829" s="244" t="s">
        <v>302</v>
      </c>
      <c r="D1829" s="243">
        <v>35</v>
      </c>
      <c r="G1829" s="243">
        <v>1.26</v>
      </c>
    </row>
    <row r="1831" spans="1:7" x14ac:dyDescent="0.2">
      <c r="A1831" s="250"/>
      <c r="B1831" s="250" t="s">
        <v>284</v>
      </c>
      <c r="C1831" s="252"/>
      <c r="D1831" s="250"/>
      <c r="E1831" s="252"/>
      <c r="F1831" s="250"/>
      <c r="G1831" s="250"/>
    </row>
    <row r="1832" spans="1:7" x14ac:dyDescent="0.2">
      <c r="B1832" s="243" t="s">
        <v>304</v>
      </c>
      <c r="G1832" s="243">
        <v>23</v>
      </c>
    </row>
    <row r="1833" spans="1:7" x14ac:dyDescent="0.2">
      <c r="B1833" s="243" t="s">
        <v>305</v>
      </c>
      <c r="G1833" s="243">
        <v>5.58</v>
      </c>
    </row>
    <row r="1834" spans="1:7" x14ac:dyDescent="0.2">
      <c r="B1834" s="243" t="s">
        <v>306</v>
      </c>
      <c r="G1834" s="243">
        <v>28.58</v>
      </c>
    </row>
    <row r="1835" spans="1:7" x14ac:dyDescent="0.2">
      <c r="B1835" s="243" t="s">
        <v>307</v>
      </c>
      <c r="C1835" s="244" t="s">
        <v>302</v>
      </c>
      <c r="D1835" s="243" t="s">
        <v>308</v>
      </c>
      <c r="G1835" s="243">
        <v>2.86</v>
      </c>
    </row>
    <row r="1837" spans="1:7" x14ac:dyDescent="0.2">
      <c r="A1837" s="248"/>
      <c r="B1837" s="248" t="s">
        <v>284</v>
      </c>
      <c r="C1837" s="249"/>
      <c r="D1837" s="248"/>
      <c r="E1837" s="249"/>
      <c r="F1837" s="248"/>
      <c r="G1837" s="248">
        <v>31.44</v>
      </c>
    </row>
    <row r="1839" spans="1:7" x14ac:dyDescent="0.2">
      <c r="A1839" s="248" t="s">
        <v>126</v>
      </c>
      <c r="B1839" s="248"/>
      <c r="C1839" s="249"/>
      <c r="D1839" s="248"/>
      <c r="E1839" s="249"/>
      <c r="F1839" s="248"/>
      <c r="G1839" s="248"/>
    </row>
    <row r="1840" spans="1:7" x14ac:dyDescent="0.2">
      <c r="A1840" s="250" t="s">
        <v>458</v>
      </c>
      <c r="G1840" s="251" t="s">
        <v>343</v>
      </c>
    </row>
    <row r="1842" spans="1:7" x14ac:dyDescent="0.2">
      <c r="A1842" s="250"/>
      <c r="B1842" s="250" t="s">
        <v>324</v>
      </c>
      <c r="C1842" s="252"/>
      <c r="D1842" s="250"/>
      <c r="E1842" s="252"/>
      <c r="F1842" s="250"/>
      <c r="G1842" s="250">
        <v>28</v>
      </c>
    </row>
    <row r="1843" spans="1:7" x14ac:dyDescent="0.2">
      <c r="A1843" s="243" t="s">
        <v>295</v>
      </c>
      <c r="B1843" s="243" t="s">
        <v>126</v>
      </c>
      <c r="C1843" s="244" t="s">
        <v>358</v>
      </c>
      <c r="D1843" s="253">
        <v>1</v>
      </c>
      <c r="E1843" s="254">
        <v>1</v>
      </c>
      <c r="F1843" s="243">
        <v>28</v>
      </c>
      <c r="G1843" s="243">
        <v>28</v>
      </c>
    </row>
    <row r="1845" spans="1:7" x14ac:dyDescent="0.2">
      <c r="A1845" s="250"/>
      <c r="B1845" s="250" t="s">
        <v>298</v>
      </c>
      <c r="C1845" s="252"/>
      <c r="D1845" s="255">
        <v>0.34</v>
      </c>
      <c r="E1845" s="252"/>
      <c r="F1845" s="250"/>
      <c r="G1845" s="250">
        <v>3.4</v>
      </c>
    </row>
    <row r="1846" spans="1:7" x14ac:dyDescent="0.2">
      <c r="A1846" s="243" t="s">
        <v>295</v>
      </c>
      <c r="B1846" s="243" t="s">
        <v>351</v>
      </c>
      <c r="C1846" s="244" t="s">
        <v>299</v>
      </c>
      <c r="D1846" s="253">
        <v>0.34</v>
      </c>
      <c r="E1846" s="254">
        <v>1</v>
      </c>
      <c r="F1846" s="243">
        <v>10</v>
      </c>
      <c r="G1846" s="243">
        <v>3.4</v>
      </c>
    </row>
    <row r="1848" spans="1:7" x14ac:dyDescent="0.2">
      <c r="A1848" s="250"/>
      <c r="B1848" s="250" t="s">
        <v>300</v>
      </c>
      <c r="C1848" s="252"/>
      <c r="D1848" s="250"/>
      <c r="E1848" s="252"/>
      <c r="F1848" s="250"/>
      <c r="G1848" s="250">
        <v>5.52</v>
      </c>
    </row>
    <row r="1849" spans="1:7" x14ac:dyDescent="0.2">
      <c r="B1849" s="243" t="s">
        <v>301</v>
      </c>
      <c r="C1849" s="244" t="s">
        <v>302</v>
      </c>
      <c r="D1849" s="243">
        <v>80</v>
      </c>
      <c r="G1849" s="243">
        <v>2.72</v>
      </c>
    </row>
    <row r="1850" spans="1:7" x14ac:dyDescent="0.2">
      <c r="B1850" s="243" t="s">
        <v>327</v>
      </c>
      <c r="C1850" s="244" t="s">
        <v>302</v>
      </c>
      <c r="D1850" s="243">
        <v>10</v>
      </c>
      <c r="G1850" s="243">
        <v>2.8</v>
      </c>
    </row>
    <row r="1852" spans="1:7" x14ac:dyDescent="0.2">
      <c r="A1852" s="250"/>
      <c r="B1852" s="250" t="s">
        <v>284</v>
      </c>
      <c r="C1852" s="252"/>
      <c r="D1852" s="250"/>
      <c r="E1852" s="252"/>
      <c r="F1852" s="250"/>
      <c r="G1852" s="250"/>
    </row>
    <row r="1853" spans="1:7" x14ac:dyDescent="0.2">
      <c r="B1853" s="243" t="s">
        <v>304</v>
      </c>
      <c r="G1853" s="243">
        <v>31.4</v>
      </c>
    </row>
    <row r="1854" spans="1:7" x14ac:dyDescent="0.2">
      <c r="B1854" s="243" t="s">
        <v>305</v>
      </c>
      <c r="G1854" s="243">
        <v>5.52</v>
      </c>
    </row>
    <row r="1855" spans="1:7" x14ac:dyDescent="0.2">
      <c r="B1855" s="243" t="s">
        <v>306</v>
      </c>
      <c r="G1855" s="243">
        <v>36.92</v>
      </c>
    </row>
    <row r="1856" spans="1:7" x14ac:dyDescent="0.2">
      <c r="B1856" s="243" t="s">
        <v>307</v>
      </c>
      <c r="C1856" s="244" t="s">
        <v>302</v>
      </c>
      <c r="D1856" s="243" t="s">
        <v>308</v>
      </c>
      <c r="G1856" s="243">
        <v>3.69</v>
      </c>
    </row>
    <row r="1858" spans="1:7" x14ac:dyDescent="0.2">
      <c r="A1858" s="248"/>
      <c r="B1858" s="248" t="s">
        <v>284</v>
      </c>
      <c r="C1858" s="249"/>
      <c r="D1858" s="248"/>
      <c r="E1858" s="249"/>
      <c r="F1858" s="248"/>
      <c r="G1858" s="248">
        <v>40.61</v>
      </c>
    </row>
    <row r="1860" spans="1:7" x14ac:dyDescent="0.2">
      <c r="A1860" s="248" t="s">
        <v>127</v>
      </c>
      <c r="B1860" s="248"/>
      <c r="C1860" s="249"/>
      <c r="D1860" s="248"/>
      <c r="E1860" s="249"/>
      <c r="F1860" s="248"/>
      <c r="G1860" s="248"/>
    </row>
    <row r="1861" spans="1:7" x14ac:dyDescent="0.2">
      <c r="A1861" s="250" t="s">
        <v>459</v>
      </c>
      <c r="G1861" s="251" t="s">
        <v>343</v>
      </c>
    </row>
    <row r="1863" spans="1:7" x14ac:dyDescent="0.2">
      <c r="A1863" s="250"/>
      <c r="B1863" s="250" t="s">
        <v>324</v>
      </c>
      <c r="C1863" s="252"/>
      <c r="D1863" s="250"/>
      <c r="E1863" s="252"/>
      <c r="F1863" s="250"/>
      <c r="G1863" s="250">
        <v>123</v>
      </c>
    </row>
    <row r="1864" spans="1:7" x14ac:dyDescent="0.2">
      <c r="A1864" s="243" t="s">
        <v>295</v>
      </c>
      <c r="B1864" s="243" t="s">
        <v>460</v>
      </c>
      <c r="C1864" s="244" t="s">
        <v>358</v>
      </c>
      <c r="D1864" s="253">
        <v>1</v>
      </c>
      <c r="E1864" s="254">
        <v>1</v>
      </c>
      <c r="F1864" s="243">
        <v>123</v>
      </c>
      <c r="G1864" s="243">
        <v>123</v>
      </c>
    </row>
    <row r="1866" spans="1:7" x14ac:dyDescent="0.2">
      <c r="A1866" s="250"/>
      <c r="B1866" s="250" t="s">
        <v>298</v>
      </c>
      <c r="C1866" s="252"/>
      <c r="D1866" s="255">
        <v>0.4</v>
      </c>
      <c r="E1866" s="252"/>
      <c r="F1866" s="250"/>
      <c r="G1866" s="250">
        <v>4</v>
      </c>
    </row>
    <row r="1867" spans="1:7" x14ac:dyDescent="0.2">
      <c r="A1867" s="243" t="s">
        <v>295</v>
      </c>
      <c r="B1867" s="243" t="s">
        <v>351</v>
      </c>
      <c r="C1867" s="244" t="s">
        <v>299</v>
      </c>
      <c r="D1867" s="253">
        <v>0.4</v>
      </c>
      <c r="E1867" s="254">
        <v>1</v>
      </c>
      <c r="F1867" s="243">
        <v>10</v>
      </c>
      <c r="G1867" s="243">
        <v>4</v>
      </c>
    </row>
    <row r="1869" spans="1:7" x14ac:dyDescent="0.2">
      <c r="A1869" s="250"/>
      <c r="B1869" s="250" t="s">
        <v>300</v>
      </c>
      <c r="C1869" s="252"/>
      <c r="D1869" s="250"/>
      <c r="E1869" s="252"/>
      <c r="F1869" s="250"/>
      <c r="G1869" s="250">
        <v>15.5</v>
      </c>
    </row>
    <row r="1870" spans="1:7" x14ac:dyDescent="0.2">
      <c r="B1870" s="243" t="s">
        <v>301</v>
      </c>
      <c r="C1870" s="244" t="s">
        <v>302</v>
      </c>
      <c r="D1870" s="243">
        <v>80</v>
      </c>
      <c r="G1870" s="243">
        <v>3.2</v>
      </c>
    </row>
    <row r="1871" spans="1:7" x14ac:dyDescent="0.2">
      <c r="B1871" s="243" t="s">
        <v>327</v>
      </c>
      <c r="C1871" s="244" t="s">
        <v>302</v>
      </c>
      <c r="D1871" s="243">
        <v>10</v>
      </c>
      <c r="G1871" s="243">
        <v>12.3</v>
      </c>
    </row>
    <row r="1873" spans="1:7" x14ac:dyDescent="0.2">
      <c r="A1873" s="250"/>
      <c r="B1873" s="250" t="s">
        <v>284</v>
      </c>
      <c r="C1873" s="252"/>
      <c r="D1873" s="250"/>
      <c r="E1873" s="252"/>
      <c r="F1873" s="250"/>
      <c r="G1873" s="250"/>
    </row>
    <row r="1874" spans="1:7" x14ac:dyDescent="0.2">
      <c r="B1874" s="243" t="s">
        <v>304</v>
      </c>
      <c r="G1874" s="243">
        <v>127</v>
      </c>
    </row>
    <row r="1875" spans="1:7" x14ac:dyDescent="0.2">
      <c r="B1875" s="243" t="s">
        <v>305</v>
      </c>
      <c r="G1875" s="243">
        <v>15.5</v>
      </c>
    </row>
    <row r="1876" spans="1:7" x14ac:dyDescent="0.2">
      <c r="B1876" s="243" t="s">
        <v>306</v>
      </c>
      <c r="G1876" s="243">
        <v>142.5</v>
      </c>
    </row>
    <row r="1877" spans="1:7" x14ac:dyDescent="0.2">
      <c r="B1877" s="243" t="s">
        <v>307</v>
      </c>
      <c r="C1877" s="244" t="s">
        <v>302</v>
      </c>
      <c r="D1877" s="243" t="s">
        <v>308</v>
      </c>
      <c r="G1877" s="243">
        <v>14.25</v>
      </c>
    </row>
    <row r="1879" spans="1:7" x14ac:dyDescent="0.2">
      <c r="A1879" s="248"/>
      <c r="B1879" s="248" t="s">
        <v>284</v>
      </c>
      <c r="C1879" s="249"/>
      <c r="D1879" s="248"/>
      <c r="E1879" s="249"/>
      <c r="F1879" s="248"/>
      <c r="G1879" s="248">
        <v>156.75</v>
      </c>
    </row>
    <row r="1881" spans="1:7" x14ac:dyDescent="0.2">
      <c r="A1881" s="248" t="s">
        <v>128</v>
      </c>
      <c r="B1881" s="248"/>
      <c r="C1881" s="249"/>
      <c r="D1881" s="248"/>
      <c r="E1881" s="249"/>
      <c r="F1881" s="248"/>
      <c r="G1881" s="248"/>
    </row>
    <row r="1882" spans="1:7" x14ac:dyDescent="0.2">
      <c r="A1882" s="250" t="s">
        <v>461</v>
      </c>
      <c r="G1882" s="251" t="s">
        <v>343</v>
      </c>
    </row>
    <row r="1884" spans="1:7" x14ac:dyDescent="0.2">
      <c r="A1884" s="250"/>
      <c r="B1884" s="250" t="s">
        <v>324</v>
      </c>
      <c r="C1884" s="252"/>
      <c r="D1884" s="250"/>
      <c r="E1884" s="252"/>
      <c r="F1884" s="250"/>
      <c r="G1884" s="250">
        <v>36</v>
      </c>
    </row>
    <row r="1885" spans="1:7" x14ac:dyDescent="0.2">
      <c r="A1885" s="243" t="s">
        <v>295</v>
      </c>
      <c r="B1885" s="243" t="s">
        <v>462</v>
      </c>
      <c r="C1885" s="244" t="s">
        <v>358</v>
      </c>
      <c r="D1885" s="253">
        <v>1</v>
      </c>
      <c r="E1885" s="254">
        <v>1</v>
      </c>
      <c r="F1885" s="243">
        <v>36</v>
      </c>
      <c r="G1885" s="243">
        <v>36</v>
      </c>
    </row>
    <row r="1887" spans="1:7" x14ac:dyDescent="0.2">
      <c r="A1887" s="250"/>
      <c r="B1887" s="250" t="s">
        <v>294</v>
      </c>
      <c r="C1887" s="252"/>
      <c r="D1887" s="250"/>
      <c r="E1887" s="252"/>
      <c r="F1887" s="250"/>
      <c r="G1887" s="250">
        <v>3.6</v>
      </c>
    </row>
    <row r="1888" spans="1:7" x14ac:dyDescent="0.2">
      <c r="A1888" s="243" t="s">
        <v>295</v>
      </c>
      <c r="B1888" s="243" t="s">
        <v>380</v>
      </c>
      <c r="C1888" s="244" t="s">
        <v>297</v>
      </c>
      <c r="D1888" s="253">
        <v>0.12</v>
      </c>
      <c r="E1888" s="254">
        <v>1</v>
      </c>
      <c r="F1888" s="243">
        <v>30</v>
      </c>
      <c r="G1888" s="243">
        <v>3.6</v>
      </c>
    </row>
    <row r="1890" spans="1:7" x14ac:dyDescent="0.2">
      <c r="A1890" s="250"/>
      <c r="B1890" s="250" t="s">
        <v>298</v>
      </c>
      <c r="C1890" s="252"/>
      <c r="D1890" s="255">
        <v>0.24</v>
      </c>
      <c r="E1890" s="252"/>
      <c r="F1890" s="250"/>
      <c r="G1890" s="250">
        <v>2.4</v>
      </c>
    </row>
    <row r="1891" spans="1:7" x14ac:dyDescent="0.2">
      <c r="A1891" s="243" t="s">
        <v>295</v>
      </c>
      <c r="B1891" s="243" t="s">
        <v>351</v>
      </c>
      <c r="C1891" s="244" t="s">
        <v>299</v>
      </c>
      <c r="D1891" s="253">
        <v>0.24</v>
      </c>
      <c r="E1891" s="254">
        <v>1</v>
      </c>
      <c r="F1891" s="243">
        <v>10</v>
      </c>
      <c r="G1891" s="243">
        <v>2.4</v>
      </c>
    </row>
    <row r="1893" spans="1:7" x14ac:dyDescent="0.2">
      <c r="A1893" s="250"/>
      <c r="B1893" s="250" t="s">
        <v>300</v>
      </c>
      <c r="C1893" s="252"/>
      <c r="D1893" s="250"/>
      <c r="E1893" s="252"/>
      <c r="F1893" s="250"/>
      <c r="G1893" s="250">
        <v>6.78</v>
      </c>
    </row>
    <row r="1894" spans="1:7" x14ac:dyDescent="0.2">
      <c r="B1894" s="243" t="s">
        <v>301</v>
      </c>
      <c r="C1894" s="244" t="s">
        <v>302</v>
      </c>
      <c r="D1894" s="243">
        <v>80</v>
      </c>
      <c r="G1894" s="243">
        <v>1.92</v>
      </c>
    </row>
    <row r="1895" spans="1:7" x14ac:dyDescent="0.2">
      <c r="B1895" s="243" t="s">
        <v>327</v>
      </c>
      <c r="C1895" s="244" t="s">
        <v>302</v>
      </c>
      <c r="D1895" s="243">
        <v>10</v>
      </c>
      <c r="G1895" s="243">
        <v>3.6</v>
      </c>
    </row>
    <row r="1896" spans="1:7" x14ac:dyDescent="0.2">
      <c r="B1896" s="243" t="s">
        <v>303</v>
      </c>
      <c r="C1896" s="244" t="s">
        <v>302</v>
      </c>
      <c r="D1896" s="243">
        <v>35</v>
      </c>
      <c r="G1896" s="243">
        <v>1.26</v>
      </c>
    </row>
    <row r="1898" spans="1:7" x14ac:dyDescent="0.2">
      <c r="A1898" s="250"/>
      <c r="B1898" s="250" t="s">
        <v>284</v>
      </c>
      <c r="C1898" s="252"/>
      <c r="D1898" s="250"/>
      <c r="E1898" s="252"/>
      <c r="F1898" s="250"/>
      <c r="G1898" s="250"/>
    </row>
    <row r="1899" spans="1:7" x14ac:dyDescent="0.2">
      <c r="B1899" s="243" t="s">
        <v>304</v>
      </c>
      <c r="G1899" s="243">
        <v>42</v>
      </c>
    </row>
    <row r="1900" spans="1:7" x14ac:dyDescent="0.2">
      <c r="B1900" s="243" t="s">
        <v>305</v>
      </c>
      <c r="G1900" s="243">
        <v>6.78</v>
      </c>
    </row>
    <row r="1901" spans="1:7" x14ac:dyDescent="0.2">
      <c r="B1901" s="243" t="s">
        <v>306</v>
      </c>
      <c r="G1901" s="243">
        <v>48.78</v>
      </c>
    </row>
    <row r="1902" spans="1:7" x14ac:dyDescent="0.2">
      <c r="B1902" s="243" t="s">
        <v>307</v>
      </c>
      <c r="C1902" s="244" t="s">
        <v>302</v>
      </c>
      <c r="D1902" s="243" t="s">
        <v>308</v>
      </c>
      <c r="G1902" s="243">
        <v>4.88</v>
      </c>
    </row>
    <row r="1904" spans="1:7" x14ac:dyDescent="0.2">
      <c r="A1904" s="248"/>
      <c r="B1904" s="248" t="s">
        <v>284</v>
      </c>
      <c r="C1904" s="249"/>
      <c r="D1904" s="248"/>
      <c r="E1904" s="249"/>
      <c r="F1904" s="248"/>
      <c r="G1904" s="248">
        <v>53.66</v>
      </c>
    </row>
    <row r="1906" spans="1:7" x14ac:dyDescent="0.2">
      <c r="A1906" s="248" t="s">
        <v>129</v>
      </c>
      <c r="B1906" s="248"/>
      <c r="C1906" s="249"/>
      <c r="D1906" s="248"/>
      <c r="E1906" s="249"/>
      <c r="F1906" s="248"/>
      <c r="G1906" s="248"/>
    </row>
    <row r="1907" spans="1:7" x14ac:dyDescent="0.2">
      <c r="A1907" s="250" t="s">
        <v>463</v>
      </c>
      <c r="G1907" s="251" t="s">
        <v>343</v>
      </c>
    </row>
    <row r="1909" spans="1:7" x14ac:dyDescent="0.2">
      <c r="A1909" s="250"/>
      <c r="B1909" s="250" t="s">
        <v>324</v>
      </c>
      <c r="C1909" s="252"/>
      <c r="D1909" s="250"/>
      <c r="E1909" s="252"/>
      <c r="F1909" s="250"/>
      <c r="G1909" s="250">
        <v>32</v>
      </c>
    </row>
    <row r="1910" spans="1:7" x14ac:dyDescent="0.2">
      <c r="A1910" s="243" t="s">
        <v>295</v>
      </c>
      <c r="B1910" s="243" t="s">
        <v>129</v>
      </c>
      <c r="C1910" s="244" t="s">
        <v>358</v>
      </c>
      <c r="D1910" s="253">
        <v>1</v>
      </c>
      <c r="E1910" s="254">
        <v>1</v>
      </c>
      <c r="F1910" s="243">
        <v>24</v>
      </c>
      <c r="G1910" s="243">
        <v>24</v>
      </c>
    </row>
    <row r="1911" spans="1:7" x14ac:dyDescent="0.2">
      <c r="A1911" s="243" t="s">
        <v>295</v>
      </c>
      <c r="B1911" s="243" t="s">
        <v>375</v>
      </c>
      <c r="C1911" s="244" t="s">
        <v>358</v>
      </c>
      <c r="D1911" s="253">
        <v>8</v>
      </c>
      <c r="E1911" s="254">
        <v>1</v>
      </c>
      <c r="F1911" s="243">
        <v>1</v>
      </c>
      <c r="G1911" s="243">
        <v>8</v>
      </c>
    </row>
    <row r="1913" spans="1:7" x14ac:dyDescent="0.2">
      <c r="A1913" s="250"/>
      <c r="B1913" s="250" t="s">
        <v>298</v>
      </c>
      <c r="C1913" s="252"/>
      <c r="D1913" s="255">
        <v>0.22</v>
      </c>
      <c r="E1913" s="252"/>
      <c r="F1913" s="250"/>
      <c r="G1913" s="250">
        <v>2.2000000000000002</v>
      </c>
    </row>
    <row r="1914" spans="1:7" x14ac:dyDescent="0.2">
      <c r="A1914" s="243" t="s">
        <v>295</v>
      </c>
      <c r="B1914" s="243" t="s">
        <v>351</v>
      </c>
      <c r="C1914" s="244" t="s">
        <v>299</v>
      </c>
      <c r="D1914" s="253">
        <v>0.22</v>
      </c>
      <c r="E1914" s="254">
        <v>1</v>
      </c>
      <c r="F1914" s="243">
        <v>10</v>
      </c>
      <c r="G1914" s="243">
        <v>2.2000000000000002</v>
      </c>
    </row>
    <row r="1916" spans="1:7" x14ac:dyDescent="0.2">
      <c r="A1916" s="250"/>
      <c r="B1916" s="250" t="s">
        <v>300</v>
      </c>
      <c r="C1916" s="252"/>
      <c r="D1916" s="250"/>
      <c r="E1916" s="252"/>
      <c r="F1916" s="250"/>
      <c r="G1916" s="250">
        <v>4.96</v>
      </c>
    </row>
    <row r="1917" spans="1:7" x14ac:dyDescent="0.2">
      <c r="B1917" s="243" t="s">
        <v>301</v>
      </c>
      <c r="C1917" s="244" t="s">
        <v>302</v>
      </c>
      <c r="D1917" s="243">
        <v>80</v>
      </c>
      <c r="G1917" s="243">
        <v>1.76</v>
      </c>
    </row>
    <row r="1918" spans="1:7" x14ac:dyDescent="0.2">
      <c r="B1918" s="243" t="s">
        <v>327</v>
      </c>
      <c r="C1918" s="244" t="s">
        <v>302</v>
      </c>
      <c r="D1918" s="243">
        <v>10</v>
      </c>
      <c r="G1918" s="243">
        <v>3.2</v>
      </c>
    </row>
    <row r="1920" spans="1:7" x14ac:dyDescent="0.2">
      <c r="A1920" s="250"/>
      <c r="B1920" s="250" t="s">
        <v>284</v>
      </c>
      <c r="C1920" s="252"/>
      <c r="D1920" s="250"/>
      <c r="E1920" s="252"/>
      <c r="F1920" s="250"/>
      <c r="G1920" s="250"/>
    </row>
    <row r="1921" spans="1:7" x14ac:dyDescent="0.2">
      <c r="B1921" s="243" t="s">
        <v>304</v>
      </c>
      <c r="G1921" s="243">
        <v>34.200000000000003</v>
      </c>
    </row>
    <row r="1922" spans="1:7" x14ac:dyDescent="0.2">
      <c r="B1922" s="243" t="s">
        <v>305</v>
      </c>
      <c r="G1922" s="243">
        <v>4.96</v>
      </c>
    </row>
    <row r="1923" spans="1:7" x14ac:dyDescent="0.2">
      <c r="B1923" s="243" t="s">
        <v>306</v>
      </c>
      <c r="G1923" s="243">
        <v>39.159999999999997</v>
      </c>
    </row>
    <row r="1924" spans="1:7" x14ac:dyDescent="0.2">
      <c r="B1924" s="243" t="s">
        <v>307</v>
      </c>
      <c r="C1924" s="244" t="s">
        <v>302</v>
      </c>
      <c r="D1924" s="243" t="s">
        <v>308</v>
      </c>
      <c r="G1924" s="243">
        <v>3.92</v>
      </c>
    </row>
    <row r="1926" spans="1:7" x14ac:dyDescent="0.2">
      <c r="A1926" s="248"/>
      <c r="B1926" s="248" t="s">
        <v>284</v>
      </c>
      <c r="C1926" s="249"/>
      <c r="D1926" s="248"/>
      <c r="E1926" s="249"/>
      <c r="F1926" s="248"/>
      <c r="G1926" s="248">
        <v>43.08</v>
      </c>
    </row>
    <row r="1928" spans="1:7" x14ac:dyDescent="0.2">
      <c r="A1928" s="248" t="s">
        <v>130</v>
      </c>
      <c r="B1928" s="248"/>
      <c r="C1928" s="249"/>
      <c r="D1928" s="248"/>
      <c r="E1928" s="249"/>
      <c r="F1928" s="248"/>
      <c r="G1928" s="248"/>
    </row>
    <row r="1929" spans="1:7" x14ac:dyDescent="0.2">
      <c r="A1929" s="250" t="s">
        <v>464</v>
      </c>
      <c r="G1929" s="251" t="s">
        <v>343</v>
      </c>
    </row>
    <row r="1931" spans="1:7" x14ac:dyDescent="0.2">
      <c r="A1931" s="250"/>
      <c r="B1931" s="250" t="s">
        <v>324</v>
      </c>
      <c r="C1931" s="252"/>
      <c r="D1931" s="250"/>
      <c r="E1931" s="252"/>
      <c r="F1931" s="250"/>
      <c r="G1931" s="250">
        <v>32</v>
      </c>
    </row>
    <row r="1932" spans="1:7" x14ac:dyDescent="0.2">
      <c r="A1932" s="243" t="s">
        <v>295</v>
      </c>
      <c r="B1932" s="243" t="s">
        <v>465</v>
      </c>
      <c r="C1932" s="244" t="s">
        <v>358</v>
      </c>
      <c r="D1932" s="253">
        <v>1</v>
      </c>
      <c r="E1932" s="254">
        <v>1</v>
      </c>
      <c r="F1932" s="243">
        <v>24</v>
      </c>
      <c r="G1932" s="243">
        <v>24</v>
      </c>
    </row>
    <row r="1933" spans="1:7" x14ac:dyDescent="0.2">
      <c r="A1933" s="243" t="s">
        <v>295</v>
      </c>
      <c r="B1933" s="243" t="s">
        <v>375</v>
      </c>
      <c r="C1933" s="244" t="s">
        <v>358</v>
      </c>
      <c r="D1933" s="253">
        <v>8</v>
      </c>
      <c r="E1933" s="254">
        <v>1</v>
      </c>
      <c r="F1933" s="243">
        <v>1</v>
      </c>
      <c r="G1933" s="243">
        <v>8</v>
      </c>
    </row>
    <row r="1935" spans="1:7" x14ac:dyDescent="0.2">
      <c r="A1935" s="250"/>
      <c r="B1935" s="250" t="s">
        <v>298</v>
      </c>
      <c r="C1935" s="252"/>
      <c r="D1935" s="255">
        <v>0.22</v>
      </c>
      <c r="E1935" s="252"/>
      <c r="F1935" s="250"/>
      <c r="G1935" s="250">
        <v>2.2000000000000002</v>
      </c>
    </row>
    <row r="1936" spans="1:7" x14ac:dyDescent="0.2">
      <c r="A1936" s="243" t="s">
        <v>295</v>
      </c>
      <c r="B1936" s="243" t="s">
        <v>351</v>
      </c>
      <c r="C1936" s="244" t="s">
        <v>299</v>
      </c>
      <c r="D1936" s="253">
        <v>0.22</v>
      </c>
      <c r="E1936" s="254">
        <v>1</v>
      </c>
      <c r="F1936" s="243">
        <v>10</v>
      </c>
      <c r="G1936" s="243">
        <v>2.2000000000000002</v>
      </c>
    </row>
    <row r="1938" spans="1:7" x14ac:dyDescent="0.2">
      <c r="A1938" s="250"/>
      <c r="B1938" s="250" t="s">
        <v>300</v>
      </c>
      <c r="C1938" s="252"/>
      <c r="D1938" s="250"/>
      <c r="E1938" s="252"/>
      <c r="F1938" s="250"/>
      <c r="G1938" s="250">
        <v>4.96</v>
      </c>
    </row>
    <row r="1939" spans="1:7" x14ac:dyDescent="0.2">
      <c r="B1939" s="243" t="s">
        <v>301</v>
      </c>
      <c r="C1939" s="244" t="s">
        <v>302</v>
      </c>
      <c r="D1939" s="243">
        <v>80</v>
      </c>
      <c r="G1939" s="243">
        <v>1.76</v>
      </c>
    </row>
    <row r="1940" spans="1:7" x14ac:dyDescent="0.2">
      <c r="B1940" s="243" t="s">
        <v>327</v>
      </c>
      <c r="C1940" s="244" t="s">
        <v>302</v>
      </c>
      <c r="D1940" s="243">
        <v>10</v>
      </c>
      <c r="G1940" s="243">
        <v>3.2</v>
      </c>
    </row>
    <row r="1942" spans="1:7" x14ac:dyDescent="0.2">
      <c r="A1942" s="250"/>
      <c r="B1942" s="250" t="s">
        <v>284</v>
      </c>
      <c r="C1942" s="252"/>
      <c r="D1942" s="250"/>
      <c r="E1942" s="252"/>
      <c r="F1942" s="250"/>
      <c r="G1942" s="250"/>
    </row>
    <row r="1943" spans="1:7" x14ac:dyDescent="0.2">
      <c r="B1943" s="243" t="s">
        <v>304</v>
      </c>
      <c r="G1943" s="243">
        <v>34.200000000000003</v>
      </c>
    </row>
    <row r="1944" spans="1:7" x14ac:dyDescent="0.2">
      <c r="B1944" s="243" t="s">
        <v>305</v>
      </c>
      <c r="G1944" s="243">
        <v>4.96</v>
      </c>
    </row>
    <row r="1945" spans="1:7" x14ac:dyDescent="0.2">
      <c r="B1945" s="243" t="s">
        <v>306</v>
      </c>
      <c r="G1945" s="243">
        <v>39.159999999999997</v>
      </c>
    </row>
    <row r="1946" spans="1:7" x14ac:dyDescent="0.2">
      <c r="B1946" s="243" t="s">
        <v>307</v>
      </c>
      <c r="C1946" s="244" t="s">
        <v>302</v>
      </c>
      <c r="D1946" s="243" t="s">
        <v>308</v>
      </c>
      <c r="G1946" s="243">
        <v>3.92</v>
      </c>
    </row>
    <row r="1948" spans="1:7" x14ac:dyDescent="0.2">
      <c r="A1948" s="248"/>
      <c r="B1948" s="248" t="s">
        <v>284</v>
      </c>
      <c r="C1948" s="249"/>
      <c r="D1948" s="248"/>
      <c r="E1948" s="249"/>
      <c r="F1948" s="248"/>
      <c r="G1948" s="248">
        <v>43.08</v>
      </c>
    </row>
    <row r="1950" spans="1:7" x14ac:dyDescent="0.2">
      <c r="A1950" s="248" t="s">
        <v>92</v>
      </c>
      <c r="B1950" s="248"/>
      <c r="C1950" s="249"/>
      <c r="D1950" s="248"/>
      <c r="E1950" s="249"/>
      <c r="F1950" s="248"/>
      <c r="G1950" s="248"/>
    </row>
    <row r="1951" spans="1:7" x14ac:dyDescent="0.2">
      <c r="A1951" s="250" t="s">
        <v>466</v>
      </c>
      <c r="G1951" s="251" t="s">
        <v>343</v>
      </c>
    </row>
    <row r="1953" spans="1:7" x14ac:dyDescent="0.2">
      <c r="A1953" s="250"/>
      <c r="B1953" s="250" t="s">
        <v>324</v>
      </c>
      <c r="C1953" s="252"/>
      <c r="D1953" s="250"/>
      <c r="E1953" s="252"/>
      <c r="F1953" s="250"/>
      <c r="G1953" s="250">
        <v>40</v>
      </c>
    </row>
    <row r="1954" spans="1:7" x14ac:dyDescent="0.2">
      <c r="A1954" s="243" t="s">
        <v>295</v>
      </c>
      <c r="B1954" s="243" t="s">
        <v>467</v>
      </c>
      <c r="C1954" s="244" t="s">
        <v>358</v>
      </c>
      <c r="D1954" s="253">
        <v>1</v>
      </c>
      <c r="E1954" s="254">
        <v>1</v>
      </c>
      <c r="F1954" s="243">
        <v>40</v>
      </c>
      <c r="G1954" s="243">
        <v>40</v>
      </c>
    </row>
    <row r="1956" spans="1:7" x14ac:dyDescent="0.2">
      <c r="A1956" s="250"/>
      <c r="B1956" s="250" t="s">
        <v>294</v>
      </c>
      <c r="C1956" s="252"/>
      <c r="D1956" s="250"/>
      <c r="E1956" s="252"/>
      <c r="F1956" s="250"/>
      <c r="G1956" s="250">
        <v>3.6</v>
      </c>
    </row>
    <row r="1957" spans="1:7" x14ac:dyDescent="0.2">
      <c r="A1957" s="243" t="s">
        <v>295</v>
      </c>
      <c r="B1957" s="243" t="s">
        <v>361</v>
      </c>
      <c r="C1957" s="244" t="s">
        <v>297</v>
      </c>
      <c r="D1957" s="253">
        <v>0.12</v>
      </c>
      <c r="E1957" s="254">
        <v>1</v>
      </c>
      <c r="F1957" s="243">
        <v>30</v>
      </c>
      <c r="G1957" s="243">
        <v>3.6</v>
      </c>
    </row>
    <row r="1959" spans="1:7" x14ac:dyDescent="0.2">
      <c r="A1959" s="250"/>
      <c r="B1959" s="250" t="s">
        <v>298</v>
      </c>
      <c r="C1959" s="252"/>
      <c r="D1959" s="255">
        <v>0.2</v>
      </c>
      <c r="E1959" s="252"/>
      <c r="F1959" s="250"/>
      <c r="G1959" s="250">
        <v>2</v>
      </c>
    </row>
    <row r="1960" spans="1:7" x14ac:dyDescent="0.2">
      <c r="A1960" s="243" t="s">
        <v>295</v>
      </c>
      <c r="B1960" s="243" t="s">
        <v>351</v>
      </c>
      <c r="C1960" s="244" t="s">
        <v>299</v>
      </c>
      <c r="D1960" s="253">
        <v>0.2</v>
      </c>
      <c r="E1960" s="254">
        <v>1</v>
      </c>
      <c r="F1960" s="243">
        <v>10</v>
      </c>
      <c r="G1960" s="243">
        <v>2</v>
      </c>
    </row>
    <row r="1962" spans="1:7" x14ac:dyDescent="0.2">
      <c r="A1962" s="250"/>
      <c r="B1962" s="250" t="s">
        <v>300</v>
      </c>
      <c r="C1962" s="252"/>
      <c r="D1962" s="250"/>
      <c r="E1962" s="252"/>
      <c r="F1962" s="250"/>
      <c r="G1962" s="250">
        <v>6.86</v>
      </c>
    </row>
    <row r="1963" spans="1:7" x14ac:dyDescent="0.2">
      <c r="B1963" s="243" t="s">
        <v>301</v>
      </c>
      <c r="C1963" s="244" t="s">
        <v>302</v>
      </c>
      <c r="D1963" s="243">
        <v>80</v>
      </c>
      <c r="G1963" s="243">
        <v>1.6</v>
      </c>
    </row>
    <row r="1964" spans="1:7" x14ac:dyDescent="0.2">
      <c r="B1964" s="243" t="s">
        <v>327</v>
      </c>
      <c r="C1964" s="244" t="s">
        <v>302</v>
      </c>
      <c r="D1964" s="243">
        <v>10</v>
      </c>
      <c r="G1964" s="243">
        <v>4</v>
      </c>
    </row>
    <row r="1965" spans="1:7" x14ac:dyDescent="0.2">
      <c r="B1965" s="243" t="s">
        <v>303</v>
      </c>
      <c r="C1965" s="244" t="s">
        <v>302</v>
      </c>
      <c r="D1965" s="243">
        <v>35</v>
      </c>
      <c r="G1965" s="243">
        <v>1.26</v>
      </c>
    </row>
    <row r="1967" spans="1:7" x14ac:dyDescent="0.2">
      <c r="A1967" s="250"/>
      <c r="B1967" s="250" t="s">
        <v>284</v>
      </c>
      <c r="C1967" s="252"/>
      <c r="D1967" s="250"/>
      <c r="E1967" s="252"/>
      <c r="F1967" s="250"/>
      <c r="G1967" s="250"/>
    </row>
    <row r="1968" spans="1:7" x14ac:dyDescent="0.2">
      <c r="B1968" s="243" t="s">
        <v>304</v>
      </c>
      <c r="G1968" s="243">
        <v>45.6</v>
      </c>
    </row>
    <row r="1969" spans="1:7" x14ac:dyDescent="0.2">
      <c r="B1969" s="243" t="s">
        <v>305</v>
      </c>
      <c r="G1969" s="243">
        <v>6.86</v>
      </c>
    </row>
    <row r="1970" spans="1:7" x14ac:dyDescent="0.2">
      <c r="B1970" s="243" t="s">
        <v>306</v>
      </c>
      <c r="G1970" s="243">
        <v>52.46</v>
      </c>
    </row>
    <row r="1971" spans="1:7" x14ac:dyDescent="0.2">
      <c r="B1971" s="243" t="s">
        <v>307</v>
      </c>
      <c r="C1971" s="244" t="s">
        <v>302</v>
      </c>
      <c r="D1971" s="243" t="s">
        <v>308</v>
      </c>
      <c r="G1971" s="243">
        <v>5.25</v>
      </c>
    </row>
    <row r="1973" spans="1:7" x14ac:dyDescent="0.2">
      <c r="A1973" s="248"/>
      <c r="B1973" s="248" t="s">
        <v>284</v>
      </c>
      <c r="C1973" s="249"/>
      <c r="D1973" s="248"/>
      <c r="E1973" s="249"/>
      <c r="F1973" s="248"/>
      <c r="G1973" s="248">
        <v>57.71</v>
      </c>
    </row>
    <row r="1975" spans="1:7" x14ac:dyDescent="0.2">
      <c r="A1975" s="248" t="s">
        <v>91</v>
      </c>
      <c r="B1975" s="248"/>
      <c r="C1975" s="249"/>
      <c r="D1975" s="248"/>
      <c r="E1975" s="249"/>
      <c r="F1975" s="248"/>
      <c r="G1975" s="248"/>
    </row>
    <row r="1976" spans="1:7" x14ac:dyDescent="0.2">
      <c r="A1976" s="250" t="s">
        <v>468</v>
      </c>
      <c r="G1976" s="251" t="s">
        <v>343</v>
      </c>
    </row>
    <row r="1978" spans="1:7" x14ac:dyDescent="0.2">
      <c r="A1978" s="250"/>
      <c r="B1978" s="250" t="s">
        <v>324</v>
      </c>
      <c r="C1978" s="252"/>
      <c r="D1978" s="250"/>
      <c r="E1978" s="252"/>
      <c r="F1978" s="250"/>
      <c r="G1978" s="250">
        <v>24</v>
      </c>
    </row>
    <row r="1979" spans="1:7" x14ac:dyDescent="0.2">
      <c r="A1979" s="243" t="s">
        <v>295</v>
      </c>
      <c r="B1979" s="243" t="s">
        <v>469</v>
      </c>
      <c r="C1979" s="244" t="s">
        <v>350</v>
      </c>
      <c r="D1979" s="253">
        <v>1</v>
      </c>
      <c r="E1979" s="254">
        <v>1</v>
      </c>
      <c r="F1979" s="243">
        <v>24</v>
      </c>
      <c r="G1979" s="243">
        <v>24</v>
      </c>
    </row>
    <row r="1981" spans="1:7" x14ac:dyDescent="0.2">
      <c r="A1981" s="250"/>
      <c r="B1981" s="250" t="s">
        <v>294</v>
      </c>
      <c r="C1981" s="252"/>
      <c r="D1981" s="250"/>
      <c r="E1981" s="252"/>
      <c r="F1981" s="250"/>
      <c r="G1981" s="250">
        <v>3.6</v>
      </c>
    </row>
    <row r="1982" spans="1:7" x14ac:dyDescent="0.2">
      <c r="A1982" s="243" t="s">
        <v>295</v>
      </c>
      <c r="B1982" s="243" t="s">
        <v>363</v>
      </c>
      <c r="C1982" s="244" t="s">
        <v>297</v>
      </c>
      <c r="D1982" s="253">
        <v>0.12</v>
      </c>
      <c r="E1982" s="254">
        <v>1</v>
      </c>
      <c r="F1982" s="243">
        <v>30</v>
      </c>
      <c r="G1982" s="243">
        <v>3.6</v>
      </c>
    </row>
    <row r="1984" spans="1:7" x14ac:dyDescent="0.2">
      <c r="A1984" s="250"/>
      <c r="B1984" s="250" t="s">
        <v>298</v>
      </c>
      <c r="C1984" s="252"/>
      <c r="D1984" s="255">
        <v>0.34</v>
      </c>
      <c r="E1984" s="252"/>
      <c r="F1984" s="250"/>
      <c r="G1984" s="250">
        <v>3.4</v>
      </c>
    </row>
    <row r="1985" spans="1:7" x14ac:dyDescent="0.2">
      <c r="A1985" s="243" t="s">
        <v>295</v>
      </c>
      <c r="B1985" s="243" t="s">
        <v>351</v>
      </c>
      <c r="C1985" s="244" t="s">
        <v>299</v>
      </c>
      <c r="D1985" s="253">
        <v>0.34</v>
      </c>
      <c r="E1985" s="254">
        <v>1</v>
      </c>
      <c r="F1985" s="243">
        <v>10</v>
      </c>
      <c r="G1985" s="243">
        <v>3.4</v>
      </c>
    </row>
    <row r="1987" spans="1:7" x14ac:dyDescent="0.2">
      <c r="A1987" s="250"/>
      <c r="B1987" s="250" t="s">
        <v>300</v>
      </c>
      <c r="C1987" s="252"/>
      <c r="D1987" s="250"/>
      <c r="E1987" s="252"/>
      <c r="F1987" s="250"/>
      <c r="G1987" s="250">
        <v>6.38</v>
      </c>
    </row>
    <row r="1988" spans="1:7" x14ac:dyDescent="0.2">
      <c r="B1988" s="243" t="s">
        <v>301</v>
      </c>
      <c r="C1988" s="244" t="s">
        <v>302</v>
      </c>
      <c r="D1988" s="243">
        <v>80</v>
      </c>
      <c r="G1988" s="243">
        <v>2.72</v>
      </c>
    </row>
    <row r="1989" spans="1:7" x14ac:dyDescent="0.2">
      <c r="B1989" s="243" t="s">
        <v>327</v>
      </c>
      <c r="C1989" s="244" t="s">
        <v>302</v>
      </c>
      <c r="D1989" s="243">
        <v>10</v>
      </c>
      <c r="G1989" s="243">
        <v>2.4</v>
      </c>
    </row>
    <row r="1990" spans="1:7" x14ac:dyDescent="0.2">
      <c r="B1990" s="243" t="s">
        <v>303</v>
      </c>
      <c r="C1990" s="244" t="s">
        <v>302</v>
      </c>
      <c r="D1990" s="243">
        <v>35</v>
      </c>
      <c r="G1990" s="243">
        <v>1.26</v>
      </c>
    </row>
    <row r="1992" spans="1:7" x14ac:dyDescent="0.2">
      <c r="A1992" s="250"/>
      <c r="B1992" s="250" t="s">
        <v>284</v>
      </c>
      <c r="C1992" s="252"/>
      <c r="D1992" s="250"/>
      <c r="E1992" s="252"/>
      <c r="F1992" s="250"/>
      <c r="G1992" s="250"/>
    </row>
    <row r="1993" spans="1:7" x14ac:dyDescent="0.2">
      <c r="B1993" s="243" t="s">
        <v>304</v>
      </c>
      <c r="G1993" s="243">
        <v>31</v>
      </c>
    </row>
    <row r="1994" spans="1:7" x14ac:dyDescent="0.2">
      <c r="B1994" s="243" t="s">
        <v>305</v>
      </c>
      <c r="G1994" s="243">
        <v>6.38</v>
      </c>
    </row>
    <row r="1995" spans="1:7" x14ac:dyDescent="0.2">
      <c r="B1995" s="243" t="s">
        <v>306</v>
      </c>
      <c r="G1995" s="243">
        <v>37.380000000000003</v>
      </c>
    </row>
    <row r="1996" spans="1:7" x14ac:dyDescent="0.2">
      <c r="B1996" s="243" t="s">
        <v>307</v>
      </c>
      <c r="C1996" s="244" t="s">
        <v>302</v>
      </c>
      <c r="D1996" s="243" t="s">
        <v>308</v>
      </c>
      <c r="G1996" s="243">
        <v>3.74</v>
      </c>
    </row>
    <row r="1998" spans="1:7" x14ac:dyDescent="0.2">
      <c r="A1998" s="248"/>
      <c r="B1998" s="248" t="s">
        <v>284</v>
      </c>
      <c r="C1998" s="249"/>
      <c r="D1998" s="248"/>
      <c r="E1998" s="249"/>
      <c r="F1998" s="248"/>
      <c r="G1998" s="248">
        <v>41.12</v>
      </c>
    </row>
    <row r="2000" spans="1:7" x14ac:dyDescent="0.2">
      <c r="A2000" s="248" t="s">
        <v>94</v>
      </c>
      <c r="B2000" s="248"/>
      <c r="C2000" s="249"/>
      <c r="D2000" s="248"/>
      <c r="E2000" s="249"/>
      <c r="F2000" s="248"/>
      <c r="G2000" s="248"/>
    </row>
    <row r="2001" spans="1:7" x14ac:dyDescent="0.2">
      <c r="A2001" s="250" t="s">
        <v>470</v>
      </c>
      <c r="G2001" s="251" t="s">
        <v>343</v>
      </c>
    </row>
    <row r="2003" spans="1:7" x14ac:dyDescent="0.2">
      <c r="A2003" s="250"/>
      <c r="B2003" s="250" t="s">
        <v>324</v>
      </c>
      <c r="C2003" s="252"/>
      <c r="D2003" s="250"/>
      <c r="E2003" s="252"/>
      <c r="F2003" s="250"/>
      <c r="G2003" s="250">
        <v>26</v>
      </c>
    </row>
    <row r="2004" spans="1:7" x14ac:dyDescent="0.2">
      <c r="A2004" s="243" t="s">
        <v>295</v>
      </c>
      <c r="B2004" s="243" t="s">
        <v>471</v>
      </c>
      <c r="C2004" s="244" t="s">
        <v>358</v>
      </c>
      <c r="D2004" s="253">
        <v>1</v>
      </c>
      <c r="E2004" s="254">
        <v>1</v>
      </c>
      <c r="F2004" s="243">
        <v>26</v>
      </c>
      <c r="G2004" s="243">
        <v>26</v>
      </c>
    </row>
    <row r="2006" spans="1:7" x14ac:dyDescent="0.2">
      <c r="A2006" s="250"/>
      <c r="B2006" s="250" t="s">
        <v>294</v>
      </c>
      <c r="C2006" s="252"/>
      <c r="D2006" s="250"/>
      <c r="E2006" s="252"/>
      <c r="F2006" s="250"/>
      <c r="G2006" s="250">
        <v>3.6</v>
      </c>
    </row>
    <row r="2007" spans="1:7" x14ac:dyDescent="0.2">
      <c r="A2007" s="243" t="s">
        <v>295</v>
      </c>
      <c r="B2007" s="243" t="s">
        <v>380</v>
      </c>
      <c r="C2007" s="244" t="s">
        <v>297</v>
      </c>
      <c r="D2007" s="253">
        <v>0.12</v>
      </c>
      <c r="E2007" s="254">
        <v>1</v>
      </c>
      <c r="F2007" s="243">
        <v>30</v>
      </c>
      <c r="G2007" s="243">
        <v>3.6</v>
      </c>
    </row>
    <row r="2009" spans="1:7" x14ac:dyDescent="0.2">
      <c r="A2009" s="250"/>
      <c r="B2009" s="250" t="s">
        <v>298</v>
      </c>
      <c r="C2009" s="252"/>
      <c r="D2009" s="255">
        <v>0.34</v>
      </c>
      <c r="E2009" s="252"/>
      <c r="F2009" s="250"/>
      <c r="G2009" s="250">
        <v>3.4</v>
      </c>
    </row>
    <row r="2010" spans="1:7" x14ac:dyDescent="0.2">
      <c r="A2010" s="243" t="s">
        <v>295</v>
      </c>
      <c r="B2010" s="243" t="s">
        <v>351</v>
      </c>
      <c r="C2010" s="244" t="s">
        <v>299</v>
      </c>
      <c r="D2010" s="253">
        <v>0.34</v>
      </c>
      <c r="E2010" s="254">
        <v>1</v>
      </c>
      <c r="F2010" s="243">
        <v>10</v>
      </c>
      <c r="G2010" s="243">
        <v>3.4</v>
      </c>
    </row>
    <row r="2012" spans="1:7" x14ac:dyDescent="0.2">
      <c r="A2012" s="250"/>
      <c r="B2012" s="250" t="s">
        <v>300</v>
      </c>
      <c r="C2012" s="252"/>
      <c r="D2012" s="250"/>
      <c r="E2012" s="252"/>
      <c r="F2012" s="250"/>
      <c r="G2012" s="250">
        <v>6.58</v>
      </c>
    </row>
    <row r="2013" spans="1:7" x14ac:dyDescent="0.2">
      <c r="B2013" s="243" t="s">
        <v>301</v>
      </c>
      <c r="C2013" s="244" t="s">
        <v>302</v>
      </c>
      <c r="D2013" s="243">
        <v>80</v>
      </c>
      <c r="G2013" s="243">
        <v>2.72</v>
      </c>
    </row>
    <row r="2014" spans="1:7" x14ac:dyDescent="0.2">
      <c r="B2014" s="243" t="s">
        <v>327</v>
      </c>
      <c r="C2014" s="244" t="s">
        <v>302</v>
      </c>
      <c r="D2014" s="243">
        <v>10</v>
      </c>
      <c r="G2014" s="243">
        <v>2.6</v>
      </c>
    </row>
    <row r="2015" spans="1:7" x14ac:dyDescent="0.2">
      <c r="B2015" s="243" t="s">
        <v>303</v>
      </c>
      <c r="C2015" s="244" t="s">
        <v>302</v>
      </c>
      <c r="D2015" s="243">
        <v>35</v>
      </c>
      <c r="G2015" s="243">
        <v>1.26</v>
      </c>
    </row>
    <row r="2017" spans="1:7" x14ac:dyDescent="0.2">
      <c r="A2017" s="250"/>
      <c r="B2017" s="250" t="s">
        <v>284</v>
      </c>
      <c r="C2017" s="252"/>
      <c r="D2017" s="250"/>
      <c r="E2017" s="252"/>
      <c r="F2017" s="250"/>
      <c r="G2017" s="250"/>
    </row>
    <row r="2018" spans="1:7" x14ac:dyDescent="0.2">
      <c r="B2018" s="243" t="s">
        <v>304</v>
      </c>
      <c r="G2018" s="243">
        <v>33</v>
      </c>
    </row>
    <row r="2019" spans="1:7" x14ac:dyDescent="0.2">
      <c r="B2019" s="243" t="s">
        <v>305</v>
      </c>
      <c r="G2019" s="243">
        <v>6.58</v>
      </c>
    </row>
    <row r="2020" spans="1:7" x14ac:dyDescent="0.2">
      <c r="B2020" s="243" t="s">
        <v>306</v>
      </c>
      <c r="G2020" s="243">
        <v>39.58</v>
      </c>
    </row>
    <row r="2021" spans="1:7" x14ac:dyDescent="0.2">
      <c r="B2021" s="243" t="s">
        <v>307</v>
      </c>
      <c r="C2021" s="244" t="s">
        <v>302</v>
      </c>
      <c r="D2021" s="243" t="s">
        <v>308</v>
      </c>
      <c r="G2021" s="243">
        <v>3.96</v>
      </c>
    </row>
    <row r="2023" spans="1:7" x14ac:dyDescent="0.2">
      <c r="A2023" s="248"/>
      <c r="B2023" s="248" t="s">
        <v>284</v>
      </c>
      <c r="C2023" s="249"/>
      <c r="D2023" s="248"/>
      <c r="E2023" s="249"/>
      <c r="F2023" s="248"/>
      <c r="G2023" s="248">
        <v>43.54</v>
      </c>
    </row>
    <row r="2025" spans="1:7" x14ac:dyDescent="0.2">
      <c r="A2025" s="248" t="s">
        <v>42</v>
      </c>
      <c r="B2025" s="248"/>
      <c r="C2025" s="249"/>
      <c r="D2025" s="248"/>
      <c r="E2025" s="249"/>
      <c r="F2025" s="248"/>
      <c r="G2025" s="248"/>
    </row>
    <row r="2026" spans="1:7" x14ac:dyDescent="0.2">
      <c r="A2026" s="250" t="s">
        <v>472</v>
      </c>
      <c r="G2026" s="251" t="s">
        <v>293</v>
      </c>
    </row>
    <row r="2028" spans="1:7" x14ac:dyDescent="0.2">
      <c r="A2028" s="250"/>
      <c r="B2028" s="250" t="s">
        <v>324</v>
      </c>
      <c r="C2028" s="252"/>
      <c r="D2028" s="250"/>
      <c r="E2028" s="252"/>
      <c r="F2028" s="250"/>
      <c r="G2028" s="250">
        <v>1.9</v>
      </c>
    </row>
    <row r="2029" spans="1:7" x14ac:dyDescent="0.2">
      <c r="A2029" s="243" t="s">
        <v>295</v>
      </c>
      <c r="B2029" s="243" t="s">
        <v>473</v>
      </c>
      <c r="C2029" s="244" t="s">
        <v>350</v>
      </c>
      <c r="D2029" s="253">
        <v>1</v>
      </c>
      <c r="E2029" s="254">
        <v>1</v>
      </c>
      <c r="F2029" s="243">
        <v>1.9</v>
      </c>
      <c r="G2029" s="243">
        <v>1.9</v>
      </c>
    </row>
    <row r="2031" spans="1:7" x14ac:dyDescent="0.2">
      <c r="A2031" s="250"/>
      <c r="B2031" s="250" t="s">
        <v>298</v>
      </c>
      <c r="C2031" s="252"/>
      <c r="D2031" s="255">
        <v>0.32</v>
      </c>
      <c r="E2031" s="252"/>
      <c r="F2031" s="250"/>
      <c r="G2031" s="250">
        <v>3.2</v>
      </c>
    </row>
    <row r="2032" spans="1:7" x14ac:dyDescent="0.2">
      <c r="A2032" s="243" t="s">
        <v>295</v>
      </c>
      <c r="B2032" s="243" t="s">
        <v>351</v>
      </c>
      <c r="C2032" s="244" t="s">
        <v>299</v>
      </c>
      <c r="D2032" s="253">
        <v>0.22</v>
      </c>
      <c r="E2032" s="254">
        <v>1</v>
      </c>
      <c r="F2032" s="243">
        <v>10</v>
      </c>
      <c r="G2032" s="243">
        <v>2.2000000000000002</v>
      </c>
    </row>
    <row r="2033" spans="1:7" x14ac:dyDescent="0.2">
      <c r="A2033" s="243" t="s">
        <v>295</v>
      </c>
      <c r="B2033" s="243" t="s">
        <v>521</v>
      </c>
      <c r="C2033" s="244" t="s">
        <v>299</v>
      </c>
      <c r="D2033" s="253">
        <v>0.1</v>
      </c>
      <c r="E2033" s="254">
        <v>1</v>
      </c>
      <c r="F2033" s="243">
        <v>10</v>
      </c>
      <c r="G2033" s="243">
        <v>1</v>
      </c>
    </row>
    <row r="2035" spans="1:7" x14ac:dyDescent="0.2">
      <c r="A2035" s="250"/>
      <c r="B2035" s="250" t="s">
        <v>300</v>
      </c>
      <c r="C2035" s="252"/>
      <c r="D2035" s="250"/>
      <c r="E2035" s="252"/>
      <c r="F2035" s="250"/>
      <c r="G2035" s="250">
        <v>2.75</v>
      </c>
    </row>
    <row r="2036" spans="1:7" x14ac:dyDescent="0.2">
      <c r="B2036" s="243" t="s">
        <v>301</v>
      </c>
      <c r="C2036" s="244" t="s">
        <v>302</v>
      </c>
      <c r="D2036" s="243">
        <v>80</v>
      </c>
      <c r="G2036" s="243">
        <v>2.56</v>
      </c>
    </row>
    <row r="2037" spans="1:7" x14ac:dyDescent="0.2">
      <c r="B2037" s="243" t="s">
        <v>327</v>
      </c>
      <c r="C2037" s="244" t="s">
        <v>302</v>
      </c>
      <c r="D2037" s="243">
        <v>10</v>
      </c>
      <c r="G2037" s="243">
        <v>0.19</v>
      </c>
    </row>
    <row r="2039" spans="1:7" x14ac:dyDescent="0.2">
      <c r="A2039" s="250"/>
      <c r="B2039" s="250" t="s">
        <v>284</v>
      </c>
      <c r="C2039" s="252"/>
      <c r="D2039" s="250"/>
      <c r="E2039" s="252"/>
      <c r="F2039" s="250"/>
      <c r="G2039" s="250"/>
    </row>
    <row r="2040" spans="1:7" x14ac:dyDescent="0.2">
      <c r="B2040" s="243" t="s">
        <v>304</v>
      </c>
      <c r="G2040" s="243">
        <v>5.0999999999999996</v>
      </c>
    </row>
    <row r="2041" spans="1:7" x14ac:dyDescent="0.2">
      <c r="B2041" s="243" t="s">
        <v>305</v>
      </c>
      <c r="G2041" s="243">
        <v>2.75</v>
      </c>
    </row>
    <row r="2042" spans="1:7" x14ac:dyDescent="0.2">
      <c r="B2042" s="243" t="s">
        <v>306</v>
      </c>
      <c r="G2042" s="243">
        <v>7.85</v>
      </c>
    </row>
    <row r="2043" spans="1:7" x14ac:dyDescent="0.2">
      <c r="B2043" s="243" t="s">
        <v>307</v>
      </c>
      <c r="C2043" s="244" t="s">
        <v>302</v>
      </c>
      <c r="D2043" s="243" t="s">
        <v>308</v>
      </c>
      <c r="G2043" s="243">
        <v>0.79</v>
      </c>
    </row>
    <row r="2045" spans="1:7" x14ac:dyDescent="0.2">
      <c r="A2045" s="248"/>
      <c r="B2045" s="248" t="s">
        <v>284</v>
      </c>
      <c r="C2045" s="249"/>
      <c r="D2045" s="248"/>
      <c r="E2045" s="249"/>
      <c r="F2045" s="248"/>
      <c r="G2045" s="248">
        <v>8.64</v>
      </c>
    </row>
    <row r="2047" spans="1:7" x14ac:dyDescent="0.2">
      <c r="A2047" s="248" t="s">
        <v>43</v>
      </c>
      <c r="B2047" s="248"/>
      <c r="C2047" s="249"/>
      <c r="D2047" s="248"/>
      <c r="E2047" s="249"/>
      <c r="F2047" s="248"/>
      <c r="G2047" s="248"/>
    </row>
    <row r="2048" spans="1:7" x14ac:dyDescent="0.2">
      <c r="A2048" s="250" t="s">
        <v>474</v>
      </c>
      <c r="G2048" s="251" t="s">
        <v>343</v>
      </c>
    </row>
    <row r="2050" spans="1:7" x14ac:dyDescent="0.2">
      <c r="A2050" s="250"/>
      <c r="B2050" s="250" t="s">
        <v>324</v>
      </c>
      <c r="C2050" s="252"/>
      <c r="D2050" s="250"/>
      <c r="E2050" s="252"/>
      <c r="F2050" s="250"/>
      <c r="G2050" s="250">
        <v>26</v>
      </c>
    </row>
    <row r="2051" spans="1:7" x14ac:dyDescent="0.2">
      <c r="A2051" s="243" t="s">
        <v>295</v>
      </c>
      <c r="B2051" s="243" t="s">
        <v>43</v>
      </c>
      <c r="C2051" s="244" t="s">
        <v>350</v>
      </c>
      <c r="D2051" s="253">
        <v>1</v>
      </c>
      <c r="E2051" s="254">
        <v>1</v>
      </c>
      <c r="F2051" s="243">
        <v>26</v>
      </c>
      <c r="G2051" s="243">
        <v>26</v>
      </c>
    </row>
    <row r="2053" spans="1:7" x14ac:dyDescent="0.2">
      <c r="A2053" s="250"/>
      <c r="B2053" s="250" t="s">
        <v>294</v>
      </c>
      <c r="C2053" s="252"/>
      <c r="D2053" s="250"/>
      <c r="E2053" s="252"/>
      <c r="F2053" s="250"/>
      <c r="G2053" s="250">
        <v>3.6</v>
      </c>
    </row>
    <row r="2054" spans="1:7" x14ac:dyDescent="0.2">
      <c r="A2054" s="243" t="s">
        <v>295</v>
      </c>
      <c r="B2054" s="243" t="s">
        <v>363</v>
      </c>
      <c r="C2054" s="244" t="s">
        <v>297</v>
      </c>
      <c r="D2054" s="253">
        <v>0.12</v>
      </c>
      <c r="E2054" s="254">
        <v>1</v>
      </c>
      <c r="F2054" s="243">
        <v>30</v>
      </c>
      <c r="G2054" s="243">
        <v>3.6</v>
      </c>
    </row>
    <row r="2056" spans="1:7" x14ac:dyDescent="0.2">
      <c r="A2056" s="250"/>
      <c r="B2056" s="250" t="s">
        <v>298</v>
      </c>
      <c r="C2056" s="252"/>
      <c r="D2056" s="255">
        <v>0.34</v>
      </c>
      <c r="E2056" s="252"/>
      <c r="F2056" s="250"/>
      <c r="G2056" s="250">
        <v>3.4</v>
      </c>
    </row>
    <row r="2057" spans="1:7" x14ac:dyDescent="0.2">
      <c r="A2057" s="243" t="s">
        <v>295</v>
      </c>
      <c r="B2057" s="243" t="s">
        <v>351</v>
      </c>
      <c r="C2057" s="244" t="s">
        <v>299</v>
      </c>
      <c r="D2057" s="253">
        <v>0.34</v>
      </c>
      <c r="E2057" s="254">
        <v>1</v>
      </c>
      <c r="F2057" s="243">
        <v>10</v>
      </c>
      <c r="G2057" s="243">
        <v>3.4</v>
      </c>
    </row>
    <row r="2059" spans="1:7" x14ac:dyDescent="0.2">
      <c r="A2059" s="250"/>
      <c r="B2059" s="250" t="s">
        <v>300</v>
      </c>
      <c r="C2059" s="252"/>
      <c r="D2059" s="250"/>
      <c r="E2059" s="252"/>
      <c r="F2059" s="250"/>
      <c r="G2059" s="250">
        <v>6.58</v>
      </c>
    </row>
    <row r="2060" spans="1:7" x14ac:dyDescent="0.2">
      <c r="B2060" s="243" t="s">
        <v>301</v>
      </c>
      <c r="C2060" s="244" t="s">
        <v>302</v>
      </c>
      <c r="D2060" s="243">
        <v>80</v>
      </c>
      <c r="G2060" s="243">
        <v>2.72</v>
      </c>
    </row>
    <row r="2061" spans="1:7" x14ac:dyDescent="0.2">
      <c r="B2061" s="243" t="s">
        <v>327</v>
      </c>
      <c r="C2061" s="244" t="s">
        <v>302</v>
      </c>
      <c r="D2061" s="243">
        <v>10</v>
      </c>
      <c r="G2061" s="243">
        <v>2.6</v>
      </c>
    </row>
    <row r="2062" spans="1:7" x14ac:dyDescent="0.2">
      <c r="B2062" s="243" t="s">
        <v>303</v>
      </c>
      <c r="C2062" s="244" t="s">
        <v>302</v>
      </c>
      <c r="D2062" s="243">
        <v>35</v>
      </c>
      <c r="G2062" s="243">
        <v>1.26</v>
      </c>
    </row>
    <row r="2064" spans="1:7" x14ac:dyDescent="0.2">
      <c r="A2064" s="250"/>
      <c r="B2064" s="250" t="s">
        <v>284</v>
      </c>
      <c r="C2064" s="252"/>
      <c r="D2064" s="250"/>
      <c r="E2064" s="252"/>
      <c r="F2064" s="250"/>
      <c r="G2064" s="250"/>
    </row>
    <row r="2065" spans="1:7" x14ac:dyDescent="0.2">
      <c r="B2065" s="243" t="s">
        <v>304</v>
      </c>
      <c r="G2065" s="243">
        <v>33</v>
      </c>
    </row>
    <row r="2066" spans="1:7" x14ac:dyDescent="0.2">
      <c r="B2066" s="243" t="s">
        <v>305</v>
      </c>
      <c r="G2066" s="243">
        <v>6.58</v>
      </c>
    </row>
    <row r="2067" spans="1:7" x14ac:dyDescent="0.2">
      <c r="B2067" s="243" t="s">
        <v>306</v>
      </c>
      <c r="G2067" s="243">
        <v>39.58</v>
      </c>
    </row>
    <row r="2068" spans="1:7" x14ac:dyDescent="0.2">
      <c r="B2068" s="243" t="s">
        <v>307</v>
      </c>
      <c r="C2068" s="244" t="s">
        <v>302</v>
      </c>
      <c r="D2068" s="243" t="s">
        <v>308</v>
      </c>
      <c r="G2068" s="243">
        <v>3.96</v>
      </c>
    </row>
    <row r="2070" spans="1:7" x14ac:dyDescent="0.2">
      <c r="A2070" s="248"/>
      <c r="B2070" s="248" t="s">
        <v>284</v>
      </c>
      <c r="C2070" s="249"/>
      <c r="D2070" s="248"/>
      <c r="E2070" s="249"/>
      <c r="F2070" s="248"/>
      <c r="G2070" s="248">
        <v>43.54</v>
      </c>
    </row>
    <row r="2072" spans="1:7" x14ac:dyDescent="0.2">
      <c r="A2072" s="248" t="s">
        <v>45</v>
      </c>
      <c r="B2072" s="248"/>
      <c r="C2072" s="249"/>
      <c r="D2072" s="248"/>
      <c r="E2072" s="249"/>
      <c r="F2072" s="248"/>
      <c r="G2072" s="248"/>
    </row>
    <row r="2073" spans="1:7" x14ac:dyDescent="0.2">
      <c r="A2073" s="250" t="s">
        <v>475</v>
      </c>
      <c r="G2073" s="251" t="s">
        <v>343</v>
      </c>
    </row>
    <row r="2075" spans="1:7" x14ac:dyDescent="0.2">
      <c r="A2075" s="250"/>
      <c r="B2075" s="250" t="s">
        <v>324</v>
      </c>
      <c r="C2075" s="252"/>
      <c r="D2075" s="250"/>
      <c r="E2075" s="252"/>
      <c r="F2075" s="250"/>
      <c r="G2075" s="250">
        <v>43</v>
      </c>
    </row>
    <row r="2076" spans="1:7" x14ac:dyDescent="0.2">
      <c r="A2076" s="243" t="s">
        <v>295</v>
      </c>
      <c r="B2076" s="243" t="s">
        <v>476</v>
      </c>
      <c r="C2076" s="244" t="s">
        <v>358</v>
      </c>
      <c r="D2076" s="253">
        <v>1</v>
      </c>
      <c r="E2076" s="254">
        <v>1</v>
      </c>
      <c r="F2076" s="243">
        <v>43</v>
      </c>
      <c r="G2076" s="243">
        <v>43</v>
      </c>
    </row>
    <row r="2078" spans="1:7" x14ac:dyDescent="0.2">
      <c r="A2078" s="250"/>
      <c r="B2078" s="250" t="s">
        <v>294</v>
      </c>
      <c r="C2078" s="252"/>
      <c r="D2078" s="250"/>
      <c r="E2078" s="252"/>
      <c r="F2078" s="250"/>
      <c r="G2078" s="250">
        <v>3.6</v>
      </c>
    </row>
    <row r="2079" spans="1:7" x14ac:dyDescent="0.2">
      <c r="A2079" s="243" t="s">
        <v>295</v>
      </c>
      <c r="B2079" s="243" t="s">
        <v>361</v>
      </c>
      <c r="C2079" s="244" t="s">
        <v>297</v>
      </c>
      <c r="D2079" s="253">
        <v>0.12</v>
      </c>
      <c r="E2079" s="254">
        <v>1</v>
      </c>
      <c r="F2079" s="243">
        <v>30</v>
      </c>
      <c r="G2079" s="243">
        <v>3.6</v>
      </c>
    </row>
    <row r="2081" spans="1:7" x14ac:dyDescent="0.2">
      <c r="A2081" s="250"/>
      <c r="B2081" s="250" t="s">
        <v>298</v>
      </c>
      <c r="C2081" s="252"/>
      <c r="D2081" s="255">
        <v>0.2</v>
      </c>
      <c r="E2081" s="252"/>
      <c r="F2081" s="250"/>
      <c r="G2081" s="250">
        <v>2</v>
      </c>
    </row>
    <row r="2082" spans="1:7" x14ac:dyDescent="0.2">
      <c r="A2082" s="243" t="s">
        <v>295</v>
      </c>
      <c r="B2082" s="243" t="s">
        <v>351</v>
      </c>
      <c r="C2082" s="244" t="s">
        <v>299</v>
      </c>
      <c r="D2082" s="253">
        <v>0.2</v>
      </c>
      <c r="E2082" s="254">
        <v>1</v>
      </c>
      <c r="F2082" s="243">
        <v>10</v>
      </c>
      <c r="G2082" s="243">
        <v>2</v>
      </c>
    </row>
    <row r="2084" spans="1:7" x14ac:dyDescent="0.2">
      <c r="A2084" s="250"/>
      <c r="B2084" s="250" t="s">
        <v>300</v>
      </c>
      <c r="C2084" s="252"/>
      <c r="D2084" s="250"/>
      <c r="E2084" s="252"/>
      <c r="F2084" s="250"/>
      <c r="G2084" s="250">
        <v>7.16</v>
      </c>
    </row>
    <row r="2085" spans="1:7" x14ac:dyDescent="0.2">
      <c r="B2085" s="243" t="s">
        <v>301</v>
      </c>
      <c r="C2085" s="244" t="s">
        <v>302</v>
      </c>
      <c r="D2085" s="243">
        <v>80</v>
      </c>
      <c r="G2085" s="243">
        <v>1.6</v>
      </c>
    </row>
    <row r="2086" spans="1:7" x14ac:dyDescent="0.2">
      <c r="B2086" s="243" t="s">
        <v>327</v>
      </c>
      <c r="C2086" s="244" t="s">
        <v>302</v>
      </c>
      <c r="D2086" s="243">
        <v>10</v>
      </c>
      <c r="G2086" s="243">
        <v>4.3</v>
      </c>
    </row>
    <row r="2087" spans="1:7" x14ac:dyDescent="0.2">
      <c r="B2087" s="243" t="s">
        <v>303</v>
      </c>
      <c r="C2087" s="244" t="s">
        <v>302</v>
      </c>
      <c r="D2087" s="243">
        <v>35</v>
      </c>
      <c r="G2087" s="243">
        <v>1.26</v>
      </c>
    </row>
    <row r="2089" spans="1:7" x14ac:dyDescent="0.2">
      <c r="A2089" s="250"/>
      <c r="B2089" s="250" t="s">
        <v>284</v>
      </c>
      <c r="C2089" s="252"/>
      <c r="D2089" s="250"/>
      <c r="E2089" s="252"/>
      <c r="F2089" s="250"/>
      <c r="G2089" s="250"/>
    </row>
    <row r="2090" spans="1:7" x14ac:dyDescent="0.2">
      <c r="B2090" s="243" t="s">
        <v>304</v>
      </c>
      <c r="G2090" s="243">
        <v>48.6</v>
      </c>
    </row>
    <row r="2091" spans="1:7" x14ac:dyDescent="0.2">
      <c r="B2091" s="243" t="s">
        <v>305</v>
      </c>
      <c r="G2091" s="243">
        <v>7.16</v>
      </c>
    </row>
    <row r="2092" spans="1:7" x14ac:dyDescent="0.2">
      <c r="B2092" s="243" t="s">
        <v>306</v>
      </c>
      <c r="G2092" s="243">
        <v>55.76</v>
      </c>
    </row>
    <row r="2093" spans="1:7" x14ac:dyDescent="0.2">
      <c r="B2093" s="243" t="s">
        <v>307</v>
      </c>
      <c r="C2093" s="244" t="s">
        <v>302</v>
      </c>
      <c r="D2093" s="243" t="s">
        <v>308</v>
      </c>
      <c r="G2093" s="243">
        <v>5.58</v>
      </c>
    </row>
    <row r="2095" spans="1:7" x14ac:dyDescent="0.2">
      <c r="A2095" s="248"/>
      <c r="B2095" s="248" t="s">
        <v>284</v>
      </c>
      <c r="C2095" s="249"/>
      <c r="D2095" s="248"/>
      <c r="E2095" s="249"/>
      <c r="F2095" s="248"/>
      <c r="G2095" s="248">
        <v>61.34</v>
      </c>
    </row>
    <row r="2097" spans="1:7" x14ac:dyDescent="0.2">
      <c r="A2097" s="248" t="s">
        <v>47</v>
      </c>
      <c r="B2097" s="248"/>
      <c r="C2097" s="249"/>
      <c r="D2097" s="248"/>
      <c r="E2097" s="249"/>
      <c r="F2097" s="248"/>
      <c r="G2097" s="248"/>
    </row>
    <row r="2098" spans="1:7" x14ac:dyDescent="0.2">
      <c r="A2098" s="250" t="s">
        <v>477</v>
      </c>
      <c r="G2098" s="251" t="s">
        <v>343</v>
      </c>
    </row>
    <row r="2100" spans="1:7" x14ac:dyDescent="0.2">
      <c r="A2100" s="250"/>
      <c r="B2100" s="250" t="s">
        <v>324</v>
      </c>
      <c r="C2100" s="252"/>
      <c r="D2100" s="250"/>
      <c r="E2100" s="252"/>
      <c r="F2100" s="250"/>
      <c r="G2100" s="250">
        <v>9.8000000000000007</v>
      </c>
    </row>
    <row r="2101" spans="1:7" x14ac:dyDescent="0.2">
      <c r="A2101" s="243" t="s">
        <v>295</v>
      </c>
      <c r="B2101" s="243" t="s">
        <v>478</v>
      </c>
      <c r="C2101" s="244" t="s">
        <v>358</v>
      </c>
      <c r="D2101" s="253">
        <v>1</v>
      </c>
      <c r="E2101" s="254">
        <v>1</v>
      </c>
      <c r="F2101" s="243">
        <v>9.8000000000000007</v>
      </c>
      <c r="G2101" s="243">
        <v>9.8000000000000007</v>
      </c>
    </row>
    <row r="2103" spans="1:7" x14ac:dyDescent="0.2">
      <c r="A2103" s="250"/>
      <c r="B2103" s="250" t="s">
        <v>294</v>
      </c>
      <c r="C2103" s="252"/>
      <c r="D2103" s="250"/>
      <c r="E2103" s="252"/>
      <c r="F2103" s="250"/>
      <c r="G2103" s="250">
        <v>3</v>
      </c>
    </row>
    <row r="2104" spans="1:7" x14ac:dyDescent="0.2">
      <c r="A2104" s="243" t="s">
        <v>295</v>
      </c>
      <c r="B2104" s="243" t="s">
        <v>368</v>
      </c>
      <c r="C2104" s="244" t="s">
        <v>297</v>
      </c>
      <c r="D2104" s="253">
        <v>0.1</v>
      </c>
      <c r="E2104" s="254">
        <v>1</v>
      </c>
      <c r="F2104" s="243">
        <v>30</v>
      </c>
      <c r="G2104" s="243">
        <v>3</v>
      </c>
    </row>
    <row r="2106" spans="1:7" x14ac:dyDescent="0.2">
      <c r="A2106" s="250"/>
      <c r="B2106" s="250" t="s">
        <v>298</v>
      </c>
      <c r="C2106" s="252"/>
      <c r="D2106" s="255">
        <v>0.05</v>
      </c>
      <c r="E2106" s="252"/>
      <c r="F2106" s="250"/>
      <c r="G2106" s="250">
        <v>0.5</v>
      </c>
    </row>
    <row r="2107" spans="1:7" x14ac:dyDescent="0.2">
      <c r="A2107" s="243" t="s">
        <v>295</v>
      </c>
      <c r="B2107" s="243" t="s">
        <v>351</v>
      </c>
      <c r="C2107" s="244" t="s">
        <v>299</v>
      </c>
      <c r="D2107" s="253">
        <v>0.05</v>
      </c>
      <c r="E2107" s="254">
        <v>1</v>
      </c>
      <c r="F2107" s="243">
        <v>10</v>
      </c>
      <c r="G2107" s="243">
        <v>0.5</v>
      </c>
    </row>
    <row r="2109" spans="1:7" x14ac:dyDescent="0.2">
      <c r="A2109" s="250"/>
      <c r="B2109" s="250" t="s">
        <v>300</v>
      </c>
      <c r="C2109" s="252"/>
      <c r="D2109" s="250"/>
      <c r="E2109" s="252"/>
      <c r="F2109" s="250"/>
      <c r="G2109" s="250">
        <v>2.4300000000000002</v>
      </c>
    </row>
    <row r="2110" spans="1:7" x14ac:dyDescent="0.2">
      <c r="B2110" s="243" t="s">
        <v>301</v>
      </c>
      <c r="C2110" s="244" t="s">
        <v>302</v>
      </c>
      <c r="D2110" s="243">
        <v>80</v>
      </c>
      <c r="G2110" s="243">
        <v>0.4</v>
      </c>
    </row>
    <row r="2111" spans="1:7" x14ac:dyDescent="0.2">
      <c r="B2111" s="243" t="s">
        <v>327</v>
      </c>
      <c r="C2111" s="244" t="s">
        <v>302</v>
      </c>
      <c r="D2111" s="243">
        <v>10</v>
      </c>
      <c r="G2111" s="243">
        <v>0.98</v>
      </c>
    </row>
    <row r="2112" spans="1:7" x14ac:dyDescent="0.2">
      <c r="B2112" s="243" t="s">
        <v>303</v>
      </c>
      <c r="C2112" s="244" t="s">
        <v>302</v>
      </c>
      <c r="D2112" s="243">
        <v>35</v>
      </c>
      <c r="G2112" s="243">
        <v>1.05</v>
      </c>
    </row>
    <row r="2114" spans="1:7" x14ac:dyDescent="0.2">
      <c r="A2114" s="250"/>
      <c r="B2114" s="250" t="s">
        <v>284</v>
      </c>
      <c r="C2114" s="252"/>
      <c r="D2114" s="250"/>
      <c r="E2114" s="252"/>
      <c r="F2114" s="250"/>
      <c r="G2114" s="250"/>
    </row>
    <row r="2115" spans="1:7" x14ac:dyDescent="0.2">
      <c r="B2115" s="243" t="s">
        <v>304</v>
      </c>
      <c r="G2115" s="243">
        <v>13.3</v>
      </c>
    </row>
    <row r="2116" spans="1:7" x14ac:dyDescent="0.2">
      <c r="B2116" s="243" t="s">
        <v>305</v>
      </c>
      <c r="G2116" s="243">
        <v>2.4300000000000002</v>
      </c>
    </row>
    <row r="2117" spans="1:7" x14ac:dyDescent="0.2">
      <c r="B2117" s="243" t="s">
        <v>306</v>
      </c>
      <c r="G2117" s="243">
        <v>15.73</v>
      </c>
    </row>
    <row r="2118" spans="1:7" x14ac:dyDescent="0.2">
      <c r="B2118" s="243" t="s">
        <v>307</v>
      </c>
      <c r="C2118" s="244" t="s">
        <v>302</v>
      </c>
      <c r="D2118" s="243" t="s">
        <v>308</v>
      </c>
      <c r="G2118" s="243">
        <v>1.57</v>
      </c>
    </row>
    <row r="2120" spans="1:7" x14ac:dyDescent="0.2">
      <c r="A2120" s="248"/>
      <c r="B2120" s="248" t="s">
        <v>284</v>
      </c>
      <c r="C2120" s="249"/>
      <c r="D2120" s="248"/>
      <c r="E2120" s="249"/>
      <c r="F2120" s="248"/>
      <c r="G2120" s="248">
        <v>17.3</v>
      </c>
    </row>
    <row r="2122" spans="1:7" x14ac:dyDescent="0.2">
      <c r="A2122" s="248" t="s">
        <v>48</v>
      </c>
      <c r="B2122" s="248"/>
      <c r="C2122" s="249"/>
      <c r="D2122" s="248"/>
      <c r="E2122" s="249"/>
      <c r="F2122" s="248"/>
      <c r="G2122" s="248"/>
    </row>
    <row r="2123" spans="1:7" x14ac:dyDescent="0.2">
      <c r="A2123" s="250" t="s">
        <v>479</v>
      </c>
      <c r="G2123" s="251" t="s">
        <v>343</v>
      </c>
    </row>
    <row r="2125" spans="1:7" x14ac:dyDescent="0.2">
      <c r="A2125" s="250"/>
      <c r="B2125" s="250" t="s">
        <v>324</v>
      </c>
      <c r="C2125" s="252"/>
      <c r="D2125" s="250"/>
      <c r="E2125" s="252"/>
      <c r="F2125" s="250"/>
      <c r="G2125" s="250">
        <v>11.7</v>
      </c>
    </row>
    <row r="2126" spans="1:7" x14ac:dyDescent="0.2">
      <c r="A2126" s="243" t="s">
        <v>295</v>
      </c>
      <c r="B2126" s="243" t="s">
        <v>480</v>
      </c>
      <c r="C2126" s="244" t="s">
        <v>358</v>
      </c>
      <c r="D2126" s="253">
        <v>1</v>
      </c>
      <c r="E2126" s="254">
        <v>1</v>
      </c>
      <c r="F2126" s="243">
        <v>11.7</v>
      </c>
      <c r="G2126" s="243">
        <v>11.7</v>
      </c>
    </row>
    <row r="2128" spans="1:7" x14ac:dyDescent="0.2">
      <c r="A2128" s="250"/>
      <c r="B2128" s="250" t="s">
        <v>294</v>
      </c>
      <c r="C2128" s="252"/>
      <c r="D2128" s="250"/>
      <c r="E2128" s="252"/>
      <c r="F2128" s="250"/>
      <c r="G2128" s="250">
        <v>3</v>
      </c>
    </row>
    <row r="2129" spans="1:7" x14ac:dyDescent="0.2">
      <c r="A2129" s="243" t="s">
        <v>295</v>
      </c>
      <c r="B2129" s="243" t="s">
        <v>368</v>
      </c>
      <c r="C2129" s="244" t="s">
        <v>297</v>
      </c>
      <c r="D2129" s="253">
        <v>0.1</v>
      </c>
      <c r="E2129" s="254">
        <v>1</v>
      </c>
      <c r="F2129" s="243">
        <v>30</v>
      </c>
      <c r="G2129" s="243">
        <v>3</v>
      </c>
    </row>
    <row r="2131" spans="1:7" x14ac:dyDescent="0.2">
      <c r="A2131" s="250"/>
      <c r="B2131" s="250" t="s">
        <v>298</v>
      </c>
      <c r="C2131" s="252"/>
      <c r="D2131" s="255">
        <v>0.05</v>
      </c>
      <c r="E2131" s="252"/>
      <c r="F2131" s="250"/>
      <c r="G2131" s="250">
        <v>0.5</v>
      </c>
    </row>
    <row r="2132" spans="1:7" x14ac:dyDescent="0.2">
      <c r="A2132" s="243" t="s">
        <v>295</v>
      </c>
      <c r="B2132" s="243" t="s">
        <v>351</v>
      </c>
      <c r="C2132" s="244" t="s">
        <v>299</v>
      </c>
      <c r="D2132" s="253">
        <v>0.05</v>
      </c>
      <c r="E2132" s="254">
        <v>1</v>
      </c>
      <c r="F2132" s="243">
        <v>10</v>
      </c>
      <c r="G2132" s="243">
        <v>0.5</v>
      </c>
    </row>
    <row r="2134" spans="1:7" x14ac:dyDescent="0.2">
      <c r="A2134" s="250"/>
      <c r="B2134" s="250" t="s">
        <v>300</v>
      </c>
      <c r="C2134" s="252"/>
      <c r="D2134" s="250"/>
      <c r="E2134" s="252"/>
      <c r="F2134" s="250"/>
      <c r="G2134" s="250">
        <v>2.62</v>
      </c>
    </row>
    <row r="2135" spans="1:7" x14ac:dyDescent="0.2">
      <c r="B2135" s="243" t="s">
        <v>301</v>
      </c>
      <c r="C2135" s="244" t="s">
        <v>302</v>
      </c>
      <c r="D2135" s="243">
        <v>80</v>
      </c>
      <c r="G2135" s="243">
        <v>0.4</v>
      </c>
    </row>
    <row r="2136" spans="1:7" x14ac:dyDescent="0.2">
      <c r="B2136" s="243" t="s">
        <v>327</v>
      </c>
      <c r="C2136" s="244" t="s">
        <v>302</v>
      </c>
      <c r="D2136" s="243">
        <v>10</v>
      </c>
      <c r="G2136" s="243">
        <v>1.17</v>
      </c>
    </row>
    <row r="2137" spans="1:7" x14ac:dyDescent="0.2">
      <c r="B2137" s="243" t="s">
        <v>303</v>
      </c>
      <c r="C2137" s="244" t="s">
        <v>302</v>
      </c>
      <c r="D2137" s="243">
        <v>35</v>
      </c>
      <c r="G2137" s="243">
        <v>1.05</v>
      </c>
    </row>
    <row r="2139" spans="1:7" x14ac:dyDescent="0.2">
      <c r="A2139" s="250"/>
      <c r="B2139" s="250" t="s">
        <v>284</v>
      </c>
      <c r="C2139" s="252"/>
      <c r="D2139" s="250"/>
      <c r="E2139" s="252"/>
      <c r="F2139" s="250"/>
      <c r="G2139" s="250"/>
    </row>
    <row r="2140" spans="1:7" x14ac:dyDescent="0.2">
      <c r="B2140" s="243" t="s">
        <v>304</v>
      </c>
      <c r="G2140" s="243">
        <v>15.2</v>
      </c>
    </row>
    <row r="2141" spans="1:7" x14ac:dyDescent="0.2">
      <c r="B2141" s="243" t="s">
        <v>305</v>
      </c>
      <c r="G2141" s="243">
        <v>2.62</v>
      </c>
    </row>
    <row r="2142" spans="1:7" x14ac:dyDescent="0.2">
      <c r="B2142" s="243" t="s">
        <v>306</v>
      </c>
      <c r="G2142" s="243">
        <v>17.82</v>
      </c>
    </row>
    <row r="2143" spans="1:7" x14ac:dyDescent="0.2">
      <c r="B2143" s="243" t="s">
        <v>307</v>
      </c>
      <c r="C2143" s="244" t="s">
        <v>302</v>
      </c>
      <c r="D2143" s="243" t="s">
        <v>308</v>
      </c>
      <c r="G2143" s="243">
        <v>1.78</v>
      </c>
    </row>
    <row r="2145" spans="1:7" x14ac:dyDescent="0.2">
      <c r="A2145" s="248"/>
      <c r="B2145" s="248" t="s">
        <v>284</v>
      </c>
      <c r="C2145" s="249"/>
      <c r="D2145" s="248"/>
      <c r="E2145" s="249"/>
      <c r="F2145" s="248"/>
      <c r="G2145" s="248">
        <v>19.600000000000001</v>
      </c>
    </row>
    <row r="2147" spans="1:7" x14ac:dyDescent="0.2">
      <c r="A2147" s="248" t="s">
        <v>54</v>
      </c>
      <c r="B2147" s="248"/>
      <c r="C2147" s="249"/>
      <c r="D2147" s="248"/>
      <c r="E2147" s="249"/>
      <c r="F2147" s="248"/>
      <c r="G2147" s="248"/>
    </row>
    <row r="2148" spans="1:7" x14ac:dyDescent="0.2">
      <c r="A2148" s="250" t="s">
        <v>481</v>
      </c>
      <c r="G2148" s="251" t="s">
        <v>343</v>
      </c>
    </row>
    <row r="2150" spans="1:7" x14ac:dyDescent="0.2">
      <c r="A2150" s="250"/>
      <c r="B2150" s="250" t="s">
        <v>324</v>
      </c>
      <c r="C2150" s="252"/>
      <c r="D2150" s="250"/>
      <c r="E2150" s="252"/>
      <c r="F2150" s="250"/>
      <c r="G2150" s="250">
        <v>108</v>
      </c>
    </row>
    <row r="2151" spans="1:7" x14ac:dyDescent="0.2">
      <c r="A2151" s="243" t="s">
        <v>295</v>
      </c>
      <c r="B2151" s="243" t="s">
        <v>520</v>
      </c>
      <c r="C2151" s="244" t="s">
        <v>358</v>
      </c>
      <c r="D2151" s="253">
        <v>1</v>
      </c>
      <c r="E2151" s="254">
        <v>1</v>
      </c>
      <c r="F2151" s="243">
        <v>108</v>
      </c>
      <c r="G2151" s="243">
        <v>108</v>
      </c>
    </row>
    <row r="2153" spans="1:7" x14ac:dyDescent="0.2">
      <c r="A2153" s="250"/>
      <c r="B2153" s="250" t="s">
        <v>298</v>
      </c>
      <c r="C2153" s="252"/>
      <c r="D2153" s="255">
        <v>0.3</v>
      </c>
      <c r="E2153" s="252"/>
      <c r="F2153" s="250"/>
      <c r="G2153" s="250">
        <v>3</v>
      </c>
    </row>
    <row r="2154" spans="1:7" x14ac:dyDescent="0.2">
      <c r="A2154" s="243" t="s">
        <v>295</v>
      </c>
      <c r="B2154" s="243" t="s">
        <v>351</v>
      </c>
      <c r="C2154" s="244" t="s">
        <v>299</v>
      </c>
      <c r="D2154" s="253">
        <v>0.3</v>
      </c>
      <c r="E2154" s="254">
        <v>1</v>
      </c>
      <c r="F2154" s="243">
        <v>10</v>
      </c>
      <c r="G2154" s="243">
        <v>3</v>
      </c>
    </row>
    <row r="2156" spans="1:7" x14ac:dyDescent="0.2">
      <c r="A2156" s="250"/>
      <c r="B2156" s="250" t="s">
        <v>300</v>
      </c>
      <c r="C2156" s="252"/>
      <c r="D2156" s="250"/>
      <c r="E2156" s="252"/>
      <c r="F2156" s="250"/>
      <c r="G2156" s="250">
        <v>13.2</v>
      </c>
    </row>
    <row r="2157" spans="1:7" x14ac:dyDescent="0.2">
      <c r="B2157" s="243" t="s">
        <v>301</v>
      </c>
      <c r="C2157" s="244" t="s">
        <v>302</v>
      </c>
      <c r="D2157" s="243">
        <v>80</v>
      </c>
      <c r="G2157" s="243">
        <v>2.4</v>
      </c>
    </row>
    <row r="2158" spans="1:7" x14ac:dyDescent="0.2">
      <c r="B2158" s="243" t="s">
        <v>327</v>
      </c>
      <c r="C2158" s="244" t="s">
        <v>302</v>
      </c>
      <c r="D2158" s="243">
        <v>10</v>
      </c>
      <c r="G2158" s="243">
        <v>10.8</v>
      </c>
    </row>
    <row r="2160" spans="1:7" x14ac:dyDescent="0.2">
      <c r="A2160" s="250"/>
      <c r="B2160" s="250" t="s">
        <v>284</v>
      </c>
      <c r="C2160" s="252"/>
      <c r="D2160" s="250"/>
      <c r="E2160" s="252"/>
      <c r="F2160" s="250"/>
      <c r="G2160" s="250"/>
    </row>
    <row r="2161" spans="1:7" x14ac:dyDescent="0.2">
      <c r="B2161" s="243" t="s">
        <v>304</v>
      </c>
      <c r="G2161" s="243">
        <v>111</v>
      </c>
    </row>
    <row r="2162" spans="1:7" x14ac:dyDescent="0.2">
      <c r="B2162" s="243" t="s">
        <v>305</v>
      </c>
      <c r="G2162" s="243">
        <v>13.2</v>
      </c>
    </row>
    <row r="2163" spans="1:7" x14ac:dyDescent="0.2">
      <c r="B2163" s="243" t="s">
        <v>306</v>
      </c>
      <c r="G2163" s="243">
        <v>124.2</v>
      </c>
    </row>
    <row r="2164" spans="1:7" x14ac:dyDescent="0.2">
      <c r="B2164" s="243" t="s">
        <v>307</v>
      </c>
      <c r="C2164" s="244" t="s">
        <v>302</v>
      </c>
      <c r="D2164" s="243" t="s">
        <v>308</v>
      </c>
      <c r="G2164" s="243">
        <v>12.42</v>
      </c>
    </row>
    <row r="2166" spans="1:7" x14ac:dyDescent="0.2">
      <c r="A2166" s="248"/>
      <c r="B2166" s="248" t="s">
        <v>284</v>
      </c>
      <c r="C2166" s="249"/>
      <c r="D2166" s="248"/>
      <c r="E2166" s="249"/>
      <c r="F2166" s="248"/>
      <c r="G2166" s="248">
        <v>136.62</v>
      </c>
    </row>
    <row r="2168" spans="1:7" x14ac:dyDescent="0.2">
      <c r="A2168" s="248" t="s">
        <v>132</v>
      </c>
      <c r="B2168" s="248"/>
      <c r="C2168" s="249"/>
      <c r="D2168" s="248"/>
      <c r="E2168" s="249"/>
      <c r="F2168" s="248"/>
      <c r="G2168" s="248"/>
    </row>
    <row r="2169" spans="1:7" x14ac:dyDescent="0.2">
      <c r="A2169" s="250" t="s">
        <v>482</v>
      </c>
      <c r="G2169" s="251" t="s">
        <v>343</v>
      </c>
    </row>
    <row r="2171" spans="1:7" x14ac:dyDescent="0.2">
      <c r="A2171" s="250"/>
      <c r="B2171" s="250" t="s">
        <v>324</v>
      </c>
      <c r="C2171" s="252"/>
      <c r="D2171" s="250"/>
      <c r="E2171" s="252"/>
      <c r="F2171" s="250"/>
      <c r="G2171" s="250">
        <v>24.8</v>
      </c>
    </row>
    <row r="2172" spans="1:7" x14ac:dyDescent="0.2">
      <c r="A2172" s="243" t="s">
        <v>295</v>
      </c>
      <c r="B2172" s="243" t="s">
        <v>483</v>
      </c>
      <c r="C2172" s="244" t="s">
        <v>350</v>
      </c>
      <c r="D2172" s="253">
        <v>1</v>
      </c>
      <c r="E2172" s="254">
        <v>1</v>
      </c>
      <c r="F2172" s="243">
        <v>24.8</v>
      </c>
      <c r="G2172" s="243">
        <v>24.8</v>
      </c>
    </row>
    <row r="2174" spans="1:7" x14ac:dyDescent="0.2">
      <c r="A2174" s="250"/>
      <c r="B2174" s="250" t="s">
        <v>294</v>
      </c>
      <c r="C2174" s="252"/>
      <c r="D2174" s="250"/>
      <c r="E2174" s="252"/>
      <c r="F2174" s="250"/>
      <c r="G2174" s="250">
        <v>3.6</v>
      </c>
    </row>
    <row r="2175" spans="1:7" x14ac:dyDescent="0.2">
      <c r="A2175" s="243" t="s">
        <v>295</v>
      </c>
      <c r="B2175" s="243" t="s">
        <v>363</v>
      </c>
      <c r="C2175" s="244" t="s">
        <v>297</v>
      </c>
      <c r="D2175" s="253">
        <v>0.12</v>
      </c>
      <c r="E2175" s="254">
        <v>1</v>
      </c>
      <c r="F2175" s="243">
        <v>30</v>
      </c>
      <c r="G2175" s="243">
        <v>3.6</v>
      </c>
    </row>
    <row r="2177" spans="1:7" x14ac:dyDescent="0.2">
      <c r="A2177" s="250"/>
      <c r="B2177" s="250" t="s">
        <v>298</v>
      </c>
      <c r="C2177" s="252"/>
      <c r="D2177" s="255">
        <v>0.34</v>
      </c>
      <c r="E2177" s="252"/>
      <c r="F2177" s="250"/>
      <c r="G2177" s="250">
        <v>3.4</v>
      </c>
    </row>
    <row r="2178" spans="1:7" x14ac:dyDescent="0.2">
      <c r="A2178" s="243" t="s">
        <v>295</v>
      </c>
      <c r="B2178" s="243" t="s">
        <v>351</v>
      </c>
      <c r="C2178" s="244" t="s">
        <v>299</v>
      </c>
      <c r="D2178" s="253">
        <v>0.34</v>
      </c>
      <c r="E2178" s="254">
        <v>1</v>
      </c>
      <c r="F2178" s="243">
        <v>10</v>
      </c>
      <c r="G2178" s="243">
        <v>3.4</v>
      </c>
    </row>
    <row r="2180" spans="1:7" x14ac:dyDescent="0.2">
      <c r="A2180" s="250"/>
      <c r="B2180" s="250" t="s">
        <v>300</v>
      </c>
      <c r="C2180" s="252"/>
      <c r="D2180" s="250"/>
      <c r="E2180" s="252"/>
      <c r="F2180" s="250"/>
      <c r="G2180" s="250">
        <v>6.46</v>
      </c>
    </row>
    <row r="2181" spans="1:7" x14ac:dyDescent="0.2">
      <c r="B2181" s="243" t="s">
        <v>301</v>
      </c>
      <c r="C2181" s="244" t="s">
        <v>302</v>
      </c>
      <c r="D2181" s="243">
        <v>80</v>
      </c>
      <c r="G2181" s="243">
        <v>2.72</v>
      </c>
    </row>
    <row r="2182" spans="1:7" x14ac:dyDescent="0.2">
      <c r="B2182" s="243" t="s">
        <v>327</v>
      </c>
      <c r="C2182" s="244" t="s">
        <v>302</v>
      </c>
      <c r="D2182" s="243">
        <v>10</v>
      </c>
      <c r="G2182" s="243">
        <v>2.48</v>
      </c>
    </row>
    <row r="2183" spans="1:7" x14ac:dyDescent="0.2">
      <c r="B2183" s="243" t="s">
        <v>303</v>
      </c>
      <c r="C2183" s="244" t="s">
        <v>302</v>
      </c>
      <c r="D2183" s="243">
        <v>35</v>
      </c>
      <c r="G2183" s="243">
        <v>1.26</v>
      </c>
    </row>
    <row r="2185" spans="1:7" x14ac:dyDescent="0.2">
      <c r="A2185" s="250"/>
      <c r="B2185" s="250" t="s">
        <v>284</v>
      </c>
      <c r="C2185" s="252"/>
      <c r="D2185" s="250"/>
      <c r="E2185" s="252"/>
      <c r="F2185" s="250"/>
      <c r="G2185" s="250"/>
    </row>
    <row r="2186" spans="1:7" x14ac:dyDescent="0.2">
      <c r="B2186" s="243" t="s">
        <v>304</v>
      </c>
      <c r="G2186" s="243">
        <v>31.8</v>
      </c>
    </row>
    <row r="2187" spans="1:7" x14ac:dyDescent="0.2">
      <c r="B2187" s="243" t="s">
        <v>305</v>
      </c>
      <c r="G2187" s="243">
        <v>6.46</v>
      </c>
    </row>
    <row r="2188" spans="1:7" x14ac:dyDescent="0.2">
      <c r="B2188" s="243" t="s">
        <v>306</v>
      </c>
      <c r="G2188" s="243">
        <v>38.26</v>
      </c>
    </row>
    <row r="2189" spans="1:7" x14ac:dyDescent="0.2">
      <c r="B2189" s="243" t="s">
        <v>307</v>
      </c>
      <c r="C2189" s="244" t="s">
        <v>302</v>
      </c>
      <c r="D2189" s="243" t="s">
        <v>308</v>
      </c>
      <c r="G2189" s="243">
        <v>3.83</v>
      </c>
    </row>
    <row r="2191" spans="1:7" x14ac:dyDescent="0.2">
      <c r="A2191" s="248"/>
      <c r="B2191" s="248" t="s">
        <v>284</v>
      </c>
      <c r="C2191" s="249"/>
      <c r="D2191" s="248"/>
      <c r="E2191" s="249"/>
      <c r="F2191" s="248"/>
      <c r="G2191" s="248">
        <v>42.09</v>
      </c>
    </row>
    <row r="2193" spans="1:7" x14ac:dyDescent="0.2">
      <c r="A2193" s="248" t="s">
        <v>133</v>
      </c>
      <c r="B2193" s="248"/>
      <c r="C2193" s="249"/>
      <c r="D2193" s="248"/>
      <c r="E2193" s="249"/>
      <c r="F2193" s="248"/>
      <c r="G2193" s="248"/>
    </row>
    <row r="2194" spans="1:7" x14ac:dyDescent="0.2">
      <c r="A2194" s="250" t="s">
        <v>484</v>
      </c>
      <c r="G2194" s="251" t="s">
        <v>343</v>
      </c>
    </row>
    <row r="2196" spans="1:7" x14ac:dyDescent="0.2">
      <c r="A2196" s="250"/>
      <c r="B2196" s="250" t="s">
        <v>324</v>
      </c>
      <c r="C2196" s="252"/>
      <c r="D2196" s="250"/>
      <c r="E2196" s="252"/>
      <c r="F2196" s="250"/>
      <c r="G2196" s="250">
        <v>25.3</v>
      </c>
    </row>
    <row r="2197" spans="1:7" x14ac:dyDescent="0.2">
      <c r="A2197" s="243" t="s">
        <v>295</v>
      </c>
      <c r="B2197" s="243" t="s">
        <v>485</v>
      </c>
      <c r="C2197" s="244" t="s">
        <v>350</v>
      </c>
      <c r="D2197" s="253">
        <v>1</v>
      </c>
      <c r="E2197" s="254">
        <v>1</v>
      </c>
      <c r="F2197" s="243">
        <v>25.3</v>
      </c>
      <c r="G2197" s="243">
        <v>25.3</v>
      </c>
    </row>
    <row r="2199" spans="1:7" x14ac:dyDescent="0.2">
      <c r="A2199" s="250"/>
      <c r="B2199" s="250" t="s">
        <v>294</v>
      </c>
      <c r="C2199" s="252"/>
      <c r="D2199" s="250"/>
      <c r="E2199" s="252"/>
      <c r="F2199" s="250"/>
      <c r="G2199" s="250">
        <v>3.6</v>
      </c>
    </row>
    <row r="2200" spans="1:7" x14ac:dyDescent="0.2">
      <c r="A2200" s="243" t="s">
        <v>295</v>
      </c>
      <c r="B2200" s="243" t="s">
        <v>363</v>
      </c>
      <c r="C2200" s="244" t="s">
        <v>297</v>
      </c>
      <c r="D2200" s="253">
        <v>0.12</v>
      </c>
      <c r="E2200" s="254">
        <v>1</v>
      </c>
      <c r="F2200" s="243">
        <v>30</v>
      </c>
      <c r="G2200" s="243">
        <v>3.6</v>
      </c>
    </row>
    <row r="2202" spans="1:7" x14ac:dyDescent="0.2">
      <c r="A2202" s="250"/>
      <c r="B2202" s="250" t="s">
        <v>298</v>
      </c>
      <c r="C2202" s="252"/>
      <c r="D2202" s="255">
        <v>0.34</v>
      </c>
      <c r="E2202" s="252"/>
      <c r="F2202" s="250"/>
      <c r="G2202" s="250">
        <v>3.4</v>
      </c>
    </row>
    <row r="2203" spans="1:7" x14ac:dyDescent="0.2">
      <c r="A2203" s="243" t="s">
        <v>295</v>
      </c>
      <c r="B2203" s="243" t="s">
        <v>351</v>
      </c>
      <c r="C2203" s="244" t="s">
        <v>299</v>
      </c>
      <c r="D2203" s="253">
        <v>0.34</v>
      </c>
      <c r="E2203" s="254">
        <v>1</v>
      </c>
      <c r="F2203" s="243">
        <v>10</v>
      </c>
      <c r="G2203" s="243">
        <v>3.4</v>
      </c>
    </row>
    <row r="2205" spans="1:7" x14ac:dyDescent="0.2">
      <c r="A2205" s="250"/>
      <c r="B2205" s="250" t="s">
        <v>300</v>
      </c>
      <c r="C2205" s="252"/>
      <c r="D2205" s="250"/>
      <c r="E2205" s="252"/>
      <c r="F2205" s="250"/>
      <c r="G2205" s="250">
        <v>6.51</v>
      </c>
    </row>
    <row r="2206" spans="1:7" x14ac:dyDescent="0.2">
      <c r="B2206" s="243" t="s">
        <v>301</v>
      </c>
      <c r="C2206" s="244" t="s">
        <v>302</v>
      </c>
      <c r="D2206" s="243">
        <v>80</v>
      </c>
      <c r="G2206" s="243">
        <v>2.72</v>
      </c>
    </row>
    <row r="2207" spans="1:7" x14ac:dyDescent="0.2">
      <c r="B2207" s="243" t="s">
        <v>327</v>
      </c>
      <c r="C2207" s="244" t="s">
        <v>302</v>
      </c>
      <c r="D2207" s="243">
        <v>10</v>
      </c>
      <c r="G2207" s="243">
        <v>2.5299999999999998</v>
      </c>
    </row>
    <row r="2208" spans="1:7" x14ac:dyDescent="0.2">
      <c r="B2208" s="243" t="s">
        <v>303</v>
      </c>
      <c r="C2208" s="244" t="s">
        <v>302</v>
      </c>
      <c r="D2208" s="243">
        <v>35</v>
      </c>
      <c r="G2208" s="243">
        <v>1.26</v>
      </c>
    </row>
    <row r="2210" spans="1:7" x14ac:dyDescent="0.2">
      <c r="A2210" s="250"/>
      <c r="B2210" s="250" t="s">
        <v>284</v>
      </c>
      <c r="C2210" s="252"/>
      <c r="D2210" s="250"/>
      <c r="E2210" s="252"/>
      <c r="F2210" s="250"/>
      <c r="G2210" s="250"/>
    </row>
    <row r="2211" spans="1:7" x14ac:dyDescent="0.2">
      <c r="B2211" s="243" t="s">
        <v>304</v>
      </c>
      <c r="G2211" s="243">
        <v>32.299999999999997</v>
      </c>
    </row>
    <row r="2212" spans="1:7" x14ac:dyDescent="0.2">
      <c r="B2212" s="243" t="s">
        <v>305</v>
      </c>
      <c r="G2212" s="243">
        <v>6.51</v>
      </c>
    </row>
    <row r="2213" spans="1:7" x14ac:dyDescent="0.2">
      <c r="B2213" s="243" t="s">
        <v>306</v>
      </c>
      <c r="G2213" s="243">
        <v>38.81</v>
      </c>
    </row>
    <row r="2214" spans="1:7" x14ac:dyDescent="0.2">
      <c r="B2214" s="243" t="s">
        <v>307</v>
      </c>
      <c r="C2214" s="244" t="s">
        <v>302</v>
      </c>
      <c r="D2214" s="243" t="s">
        <v>308</v>
      </c>
      <c r="G2214" s="243">
        <v>3.88</v>
      </c>
    </row>
    <row r="2216" spans="1:7" x14ac:dyDescent="0.2">
      <c r="A2216" s="248"/>
      <c r="B2216" s="248" t="s">
        <v>284</v>
      </c>
      <c r="C2216" s="249"/>
      <c r="D2216" s="248"/>
      <c r="E2216" s="249"/>
      <c r="F2216" s="248"/>
      <c r="G2216" s="248">
        <v>42.69</v>
      </c>
    </row>
    <row r="2218" spans="1:7" x14ac:dyDescent="0.2">
      <c r="A2218" s="248" t="s">
        <v>97</v>
      </c>
      <c r="B2218" s="248"/>
      <c r="C2218" s="249"/>
      <c r="D2218" s="248"/>
      <c r="E2218" s="249"/>
      <c r="F2218" s="248"/>
      <c r="G2218" s="248"/>
    </row>
    <row r="2219" spans="1:7" x14ac:dyDescent="0.2">
      <c r="A2219" s="250" t="s">
        <v>486</v>
      </c>
      <c r="G2219" s="251" t="s">
        <v>343</v>
      </c>
    </row>
    <row r="2221" spans="1:7" x14ac:dyDescent="0.2">
      <c r="A2221" s="250"/>
      <c r="B2221" s="250" t="s">
        <v>324</v>
      </c>
      <c r="C2221" s="252"/>
      <c r="D2221" s="250"/>
      <c r="E2221" s="252"/>
      <c r="F2221" s="250"/>
      <c r="G2221" s="250">
        <v>23.5</v>
      </c>
    </row>
    <row r="2222" spans="1:7" x14ac:dyDescent="0.2">
      <c r="A2222" s="243" t="s">
        <v>295</v>
      </c>
      <c r="B2222" s="243" t="s">
        <v>487</v>
      </c>
      <c r="C2222" s="244" t="s">
        <v>350</v>
      </c>
      <c r="D2222" s="253">
        <v>1</v>
      </c>
      <c r="E2222" s="254">
        <v>1</v>
      </c>
      <c r="F2222" s="243">
        <v>23.5</v>
      </c>
      <c r="G2222" s="243">
        <v>23.5</v>
      </c>
    </row>
    <row r="2224" spans="1:7" x14ac:dyDescent="0.2">
      <c r="A2224" s="250"/>
      <c r="B2224" s="250" t="s">
        <v>294</v>
      </c>
      <c r="C2224" s="252"/>
      <c r="D2224" s="250"/>
      <c r="E2224" s="252"/>
      <c r="F2224" s="250"/>
      <c r="G2224" s="250">
        <v>3.6</v>
      </c>
    </row>
    <row r="2225" spans="1:7" x14ac:dyDescent="0.2">
      <c r="A2225" s="243" t="s">
        <v>295</v>
      </c>
      <c r="B2225" s="243" t="s">
        <v>363</v>
      </c>
      <c r="C2225" s="244" t="s">
        <v>297</v>
      </c>
      <c r="D2225" s="253">
        <v>0.12</v>
      </c>
      <c r="E2225" s="254">
        <v>1</v>
      </c>
      <c r="F2225" s="243">
        <v>30</v>
      </c>
      <c r="G2225" s="243">
        <v>3.6</v>
      </c>
    </row>
    <row r="2227" spans="1:7" x14ac:dyDescent="0.2">
      <c r="A2227" s="250"/>
      <c r="B2227" s="250" t="s">
        <v>298</v>
      </c>
      <c r="C2227" s="252"/>
      <c r="D2227" s="255">
        <v>0.34</v>
      </c>
      <c r="E2227" s="252"/>
      <c r="F2227" s="250"/>
      <c r="G2227" s="250">
        <v>3.4</v>
      </c>
    </row>
    <row r="2228" spans="1:7" x14ac:dyDescent="0.2">
      <c r="A2228" s="243" t="s">
        <v>295</v>
      </c>
      <c r="B2228" s="243" t="s">
        <v>351</v>
      </c>
      <c r="C2228" s="244" t="s">
        <v>299</v>
      </c>
      <c r="D2228" s="253">
        <v>0.34</v>
      </c>
      <c r="E2228" s="254">
        <v>1</v>
      </c>
      <c r="F2228" s="243">
        <v>10</v>
      </c>
      <c r="G2228" s="243">
        <v>3.4</v>
      </c>
    </row>
    <row r="2230" spans="1:7" x14ac:dyDescent="0.2">
      <c r="A2230" s="250"/>
      <c r="B2230" s="250" t="s">
        <v>300</v>
      </c>
      <c r="C2230" s="252"/>
      <c r="D2230" s="250"/>
      <c r="E2230" s="252"/>
      <c r="F2230" s="250"/>
      <c r="G2230" s="250">
        <v>6.33</v>
      </c>
    </row>
    <row r="2231" spans="1:7" x14ac:dyDescent="0.2">
      <c r="B2231" s="243" t="s">
        <v>301</v>
      </c>
      <c r="C2231" s="244" t="s">
        <v>302</v>
      </c>
      <c r="D2231" s="243">
        <v>80</v>
      </c>
      <c r="G2231" s="243">
        <v>2.72</v>
      </c>
    </row>
    <row r="2232" spans="1:7" x14ac:dyDescent="0.2">
      <c r="B2232" s="243" t="s">
        <v>327</v>
      </c>
      <c r="C2232" s="244" t="s">
        <v>302</v>
      </c>
      <c r="D2232" s="243">
        <v>10</v>
      </c>
      <c r="G2232" s="243">
        <v>2.35</v>
      </c>
    </row>
    <row r="2233" spans="1:7" x14ac:dyDescent="0.2">
      <c r="B2233" s="243" t="s">
        <v>303</v>
      </c>
      <c r="C2233" s="244" t="s">
        <v>302</v>
      </c>
      <c r="D2233" s="243">
        <v>35</v>
      </c>
      <c r="G2233" s="243">
        <v>1.26</v>
      </c>
    </row>
    <row r="2235" spans="1:7" x14ac:dyDescent="0.2">
      <c r="A2235" s="250"/>
      <c r="B2235" s="250" t="s">
        <v>284</v>
      </c>
      <c r="C2235" s="252"/>
      <c r="D2235" s="250"/>
      <c r="E2235" s="252"/>
      <c r="F2235" s="250"/>
      <c r="G2235" s="250"/>
    </row>
    <row r="2236" spans="1:7" x14ac:dyDescent="0.2">
      <c r="B2236" s="243" t="s">
        <v>304</v>
      </c>
      <c r="G2236" s="243">
        <v>30.5</v>
      </c>
    </row>
    <row r="2237" spans="1:7" x14ac:dyDescent="0.2">
      <c r="B2237" s="243" t="s">
        <v>305</v>
      </c>
      <c r="G2237" s="243">
        <v>6.33</v>
      </c>
    </row>
    <row r="2238" spans="1:7" x14ac:dyDescent="0.2">
      <c r="B2238" s="243" t="s">
        <v>306</v>
      </c>
      <c r="G2238" s="243">
        <v>36.83</v>
      </c>
    </row>
    <row r="2239" spans="1:7" x14ac:dyDescent="0.2">
      <c r="B2239" s="243" t="s">
        <v>307</v>
      </c>
      <c r="C2239" s="244" t="s">
        <v>302</v>
      </c>
      <c r="D2239" s="243" t="s">
        <v>308</v>
      </c>
      <c r="G2239" s="243">
        <v>3.68</v>
      </c>
    </row>
    <row r="2241" spans="1:7" x14ac:dyDescent="0.2">
      <c r="A2241" s="248"/>
      <c r="B2241" s="248" t="s">
        <v>284</v>
      </c>
      <c r="C2241" s="249"/>
      <c r="D2241" s="248"/>
      <c r="E2241" s="249"/>
      <c r="F2241" s="248"/>
      <c r="G2241" s="248">
        <v>40.51</v>
      </c>
    </row>
    <row r="2246" spans="1:7" x14ac:dyDescent="0.2">
      <c r="A2246" s="243" t="s">
        <v>488</v>
      </c>
    </row>
    <row r="2247" spans="1:7" x14ac:dyDescent="0.2">
      <c r="B2247" s="243" t="s">
        <v>523</v>
      </c>
    </row>
    <row r="2249" spans="1:7" x14ac:dyDescent="0.2">
      <c r="A2249" s="243" t="s">
        <v>489</v>
      </c>
    </row>
    <row r="2250" spans="1:7" x14ac:dyDescent="0.2">
      <c r="B2250" s="243" t="s">
        <v>522</v>
      </c>
    </row>
  </sheetData>
  <mergeCells count="1">
    <mergeCell ref="A2:G2"/>
  </mergeCells>
  <pageMargins left="0.7" right="0.7" top="0.75" bottom="0.75" header="0.3" footer="0.3"/>
  <pageSetup paperSize="9" scale="72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кл.I.3</vt:lpstr>
      <vt:lpstr>кл.I.4</vt:lpstr>
      <vt:lpstr>кл.I.5</vt:lpstr>
      <vt:lpstr>кл.I.6</vt:lpstr>
      <vt:lpstr>кл.I.7</vt:lpstr>
      <vt:lpstr>кл.I.8</vt:lpstr>
      <vt:lpstr>кл.10.1</vt:lpstr>
      <vt:lpstr>кл.12</vt:lpstr>
      <vt:lpstr>кл.15</vt:lpstr>
      <vt:lpstr>кл.25.1</vt:lpstr>
      <vt:lpstr>кл.25.2</vt:lpstr>
      <vt:lpstr>кл.25.3</vt:lpstr>
      <vt:lpstr>Ед. Цени</vt:lpstr>
      <vt:lpstr>рекапитулация</vt:lpstr>
      <vt:lpstr>Анализи</vt:lpstr>
      <vt:lpstr>'Ед. Цени'!Print_Area</vt:lpstr>
      <vt:lpstr>кл.I.3!Print_Area</vt:lpstr>
      <vt:lpstr>рекапитулация!Print_Area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VELIKOVA</dc:creator>
  <cp:lastModifiedBy>User</cp:lastModifiedBy>
  <cp:lastPrinted>2026-03-02T11:07:47Z</cp:lastPrinted>
  <dcterms:created xsi:type="dcterms:W3CDTF">2025-11-29T14:15:53Z</dcterms:created>
  <dcterms:modified xsi:type="dcterms:W3CDTF">2026-04-06T06:31:44Z</dcterms:modified>
</cp:coreProperties>
</file>