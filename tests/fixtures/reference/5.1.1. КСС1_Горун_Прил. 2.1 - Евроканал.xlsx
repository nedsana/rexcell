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ФИРМИ\ЕВРОКАНАЛ ЕООД\OFERTI\2026\ШАБЛА водопроводи до 16.04.2026\KСС с. Горун\"/>
    </mc:Choice>
  </mc:AlternateContent>
  <bookViews>
    <workbookView xWindow="0" yWindow="0" windowWidth="28800" windowHeight="12180" activeTab="1"/>
  </bookViews>
  <sheets>
    <sheet name="КСС_ОП1" sheetId="1" r:id="rId1"/>
    <sheet name="Ед. Цени" sheetId="2" r:id="rId2"/>
    <sheet name="Анализи" sheetId="3" r:id="rId3"/>
  </sheets>
  <definedNames>
    <definedName name="_xlnm._FilterDatabase" localSheetId="1" hidden="1">'Ед. Цени'!$B$9:$E$72</definedName>
    <definedName name="_xlnm._FilterDatabase" localSheetId="0" hidden="1">КСС_ОП1!$A$9:$G$490</definedName>
    <definedName name="_Hlk165973344" localSheetId="0">КСС_ОП1!$A$7</definedName>
    <definedName name="_xlnm.Print_Area" localSheetId="0">КСС_ОП1!$A$1:$H$489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11" i="2"/>
  <c r="F71" i="2" l="1"/>
  <c r="I490" i="1"/>
  <c r="K490" i="1" l="1"/>
  <c r="F464" i="1" l="1"/>
  <c r="F365" i="1"/>
  <c r="F326" i="1"/>
  <c r="F364" i="1"/>
  <c r="F325" i="1"/>
  <c r="F363" i="1"/>
  <c r="F324" i="1"/>
  <c r="F357" i="1"/>
  <c r="F318" i="1"/>
  <c r="F272" i="1"/>
  <c r="F434" i="1"/>
  <c r="F406" i="1"/>
  <c r="F300" i="1"/>
  <c r="F271" i="1"/>
  <c r="F247" i="1"/>
  <c r="F206" i="1"/>
  <c r="F174" i="1"/>
  <c r="F135" i="1"/>
  <c r="F371" i="1"/>
  <c r="F332" i="1"/>
  <c r="F208" i="1"/>
  <c r="F169" i="1"/>
  <c r="F130" i="1"/>
  <c r="F370" i="1"/>
  <c r="F331" i="1"/>
  <c r="F207" i="1"/>
  <c r="F168" i="1"/>
  <c r="F129" i="1"/>
  <c r="F369" i="1"/>
  <c r="F330" i="1"/>
  <c r="F167" i="1"/>
  <c r="F128" i="1"/>
  <c r="F368" i="1"/>
  <c r="F329" i="1"/>
  <c r="F205" i="1"/>
  <c r="F166" i="1"/>
  <c r="F127" i="1"/>
  <c r="F202" i="1"/>
  <c r="F163" i="1"/>
  <c r="F124" i="1"/>
  <c r="F162" i="1"/>
  <c r="F123" i="1"/>
  <c r="F200" i="1"/>
  <c r="F161" i="1"/>
  <c r="F122" i="1"/>
  <c r="F358" i="1"/>
  <c r="F319" i="1"/>
  <c r="F195" i="1"/>
  <c r="F156" i="1"/>
  <c r="F117" i="1"/>
  <c r="F194" i="1"/>
  <c r="F155" i="1"/>
  <c r="F116" i="1"/>
  <c r="F356" i="1"/>
  <c r="F317" i="1"/>
  <c r="F193" i="1"/>
  <c r="F154" i="1"/>
  <c r="F115" i="1"/>
  <c r="F455" i="1"/>
  <c r="F427" i="1"/>
  <c r="F398" i="1"/>
  <c r="F292" i="1"/>
  <c r="F242" i="1"/>
  <c r="F87" i="1"/>
  <c r="F266" i="1"/>
  <c r="F64" i="1"/>
  <c r="F485" i="1"/>
  <c r="F446" i="1"/>
  <c r="F418" i="1"/>
  <c r="F312" i="1"/>
  <c r="F390" i="1"/>
  <c r="F352" i="1"/>
  <c r="F234" i="1"/>
  <c r="F189" i="1"/>
  <c r="F150" i="1"/>
  <c r="F111" i="1"/>
  <c r="F79" i="1"/>
  <c r="F56" i="1"/>
  <c r="F484" i="1"/>
  <c r="F447" i="1"/>
  <c r="F419" i="1"/>
  <c r="F313" i="1"/>
  <c r="F284" i="1"/>
  <c r="F258" i="1"/>
  <c r="F233" i="1"/>
  <c r="F110" i="1"/>
  <c r="F55" i="1"/>
  <c r="F483" i="1"/>
  <c r="F445" i="1"/>
  <c r="F417" i="1"/>
  <c r="F389" i="1"/>
  <c r="F351" i="1"/>
  <c r="F311" i="1"/>
  <c r="F283" i="1"/>
  <c r="F257" i="1"/>
  <c r="F232" i="1"/>
  <c r="F188" i="1"/>
  <c r="F149" i="1"/>
  <c r="F109" i="1"/>
  <c r="F78" i="1"/>
  <c r="F54" i="1"/>
  <c r="F482" i="1"/>
  <c r="F444" i="1"/>
  <c r="F416" i="1"/>
  <c r="F388" i="1"/>
  <c r="F350" i="1"/>
  <c r="F310" i="1"/>
  <c r="F282" i="1"/>
  <c r="F256" i="1"/>
  <c r="F231" i="1"/>
  <c r="F187" i="1"/>
  <c r="F148" i="1"/>
  <c r="F108" i="1"/>
  <c r="F77" i="1"/>
  <c r="F53" i="1"/>
  <c r="F481" i="1"/>
  <c r="F443" i="1"/>
  <c r="F415" i="1"/>
  <c r="F387" i="1"/>
  <c r="F349" i="1"/>
  <c r="F309" i="1"/>
  <c r="F281" i="1"/>
  <c r="F255" i="1"/>
  <c r="F230" i="1"/>
  <c r="F186" i="1"/>
  <c r="F147" i="1"/>
  <c r="F107" i="1"/>
  <c r="F76" i="1"/>
  <c r="F52" i="1"/>
  <c r="F480" i="1"/>
  <c r="F442" i="1"/>
  <c r="F414" i="1"/>
  <c r="F386" i="1"/>
  <c r="F348" i="1"/>
  <c r="F308" i="1"/>
  <c r="F280" i="1"/>
  <c r="F254" i="1"/>
  <c r="F229" i="1"/>
  <c r="F185" i="1"/>
  <c r="F146" i="1"/>
  <c r="F106" i="1"/>
  <c r="F75" i="1"/>
  <c r="F51" i="1"/>
  <c r="F476" i="1"/>
  <c r="F382" i="1"/>
  <c r="F344" i="1"/>
  <c r="F225" i="1"/>
  <c r="F181" i="1"/>
  <c r="F142" i="1"/>
  <c r="F102" i="1"/>
  <c r="F71" i="1"/>
  <c r="F47" i="1"/>
  <c r="F479" i="1"/>
  <c r="F441" i="1"/>
  <c r="F413" i="1"/>
  <c r="F385" i="1"/>
  <c r="F347" i="1"/>
  <c r="F307" i="1"/>
  <c r="F278" i="1"/>
  <c r="F253" i="1"/>
  <c r="F228" i="1"/>
  <c r="F184" i="1"/>
  <c r="F145" i="1"/>
  <c r="F105" i="1"/>
  <c r="F74" i="1"/>
  <c r="F50" i="1"/>
  <c r="F44" i="1"/>
  <c r="F478" i="1"/>
  <c r="F440" i="1"/>
  <c r="F412" i="1"/>
  <c r="F384" i="1"/>
  <c r="F346" i="1"/>
  <c r="F306" i="1"/>
  <c r="F277" i="1"/>
  <c r="F252" i="1"/>
  <c r="F227" i="1"/>
  <c r="F183" i="1"/>
  <c r="F144" i="1"/>
  <c r="F104" i="1"/>
  <c r="F73" i="1"/>
  <c r="F49" i="1"/>
  <c r="F43" i="1"/>
  <c r="F477" i="1"/>
  <c r="F439" i="1"/>
  <c r="F411" i="1"/>
  <c r="F383" i="1"/>
  <c r="F345" i="1"/>
  <c r="F305" i="1"/>
  <c r="F276" i="1"/>
  <c r="F251" i="1"/>
  <c r="F226" i="1"/>
  <c r="F182" i="1"/>
  <c r="F143" i="1"/>
  <c r="F103" i="1"/>
  <c r="F72" i="1"/>
  <c r="F48" i="1"/>
  <c r="F42" i="1"/>
  <c r="F438" i="1"/>
  <c r="F410" i="1"/>
  <c r="F304" i="1"/>
  <c r="F275" i="1"/>
  <c r="F250" i="1"/>
  <c r="F41" i="1"/>
  <c r="F475" i="1"/>
  <c r="F437" i="1"/>
  <c r="F409" i="1"/>
  <c r="F381" i="1"/>
  <c r="F343" i="1"/>
  <c r="F303" i="1"/>
  <c r="F274" i="1"/>
  <c r="F249" i="1"/>
  <c r="F224" i="1"/>
  <c r="F180" i="1"/>
  <c r="F141" i="1"/>
  <c r="F101" i="1"/>
  <c r="F70" i="1"/>
  <c r="F46" i="1"/>
  <c r="F40" i="1"/>
  <c r="F466" i="1"/>
  <c r="F38" i="1"/>
  <c r="F468" i="1"/>
  <c r="F37" i="1"/>
  <c r="F473" i="1"/>
  <c r="F36" i="1"/>
  <c r="F472" i="1"/>
  <c r="F379" i="1"/>
  <c r="F341" i="1"/>
  <c r="F279" i="1"/>
  <c r="F222" i="1"/>
  <c r="F178" i="1"/>
  <c r="F139" i="1"/>
  <c r="F99" i="1"/>
  <c r="F35" i="1"/>
  <c r="F470" i="1"/>
  <c r="F435" i="1"/>
  <c r="F407" i="1"/>
  <c r="F378" i="1"/>
  <c r="F340" i="1"/>
  <c r="F301" i="1"/>
  <c r="F220" i="1"/>
  <c r="F177" i="1"/>
  <c r="F138" i="1"/>
  <c r="F98" i="1"/>
  <c r="F34" i="1"/>
  <c r="F471" i="1"/>
  <c r="F221" i="1"/>
  <c r="F33" i="1"/>
  <c r="F469" i="1"/>
  <c r="F377" i="1"/>
  <c r="F339" i="1"/>
  <c r="F218" i="1"/>
  <c r="F176" i="1"/>
  <c r="F137" i="1"/>
  <c r="F97" i="1"/>
  <c r="F32" i="1"/>
  <c r="F219" i="1"/>
  <c r="F31" i="1"/>
  <c r="F467" i="1"/>
  <c r="F376" i="1"/>
  <c r="F338" i="1"/>
  <c r="F217" i="1"/>
  <c r="F175" i="1"/>
  <c r="F136" i="1"/>
  <c r="F96" i="1"/>
  <c r="F30" i="1"/>
  <c r="F216" i="1"/>
  <c r="F29" i="1"/>
  <c r="F465" i="1"/>
  <c r="F27" i="1"/>
  <c r="F337" i="1"/>
  <c r="F214" i="1"/>
  <c r="F26" i="1"/>
  <c r="F433" i="1"/>
  <c r="F405" i="1"/>
  <c r="F299" i="1"/>
  <c r="F95" i="1"/>
  <c r="F25" i="1"/>
  <c r="F215" i="1"/>
  <c r="F24" i="1"/>
  <c r="F463" i="1"/>
  <c r="F375" i="1"/>
  <c r="F336" i="1"/>
  <c r="F213" i="1"/>
  <c r="F173" i="1"/>
  <c r="F134" i="1"/>
  <c r="F94" i="1"/>
  <c r="F23" i="1"/>
  <c r="F462" i="1"/>
  <c r="F212" i="1"/>
  <c r="F22" i="1"/>
  <c r="F461" i="1"/>
  <c r="F432" i="1"/>
  <c r="F404" i="1"/>
  <c r="F374" i="1"/>
  <c r="F335" i="1"/>
  <c r="F298" i="1"/>
  <c r="F211" i="1"/>
  <c r="F172" i="1"/>
  <c r="F133" i="1"/>
  <c r="F93" i="1"/>
  <c r="F21" i="1"/>
  <c r="F431" i="1"/>
  <c r="F403" i="1"/>
  <c r="F297" i="1"/>
  <c r="F270" i="1"/>
  <c r="F246" i="1"/>
  <c r="F20" i="1"/>
  <c r="F460" i="1"/>
  <c r="F373" i="1"/>
  <c r="F334" i="1"/>
  <c r="F210" i="1"/>
  <c r="F171" i="1"/>
  <c r="F132" i="1"/>
  <c r="F92" i="1"/>
  <c r="F68" i="1"/>
  <c r="F19" i="1"/>
  <c r="F458" i="1"/>
  <c r="F401" i="1"/>
  <c r="F295" i="1"/>
  <c r="F90" i="1"/>
  <c r="F17" i="1"/>
  <c r="F457" i="1"/>
  <c r="F429" i="1"/>
  <c r="F400" i="1"/>
  <c r="F367" i="1"/>
  <c r="F328" i="1"/>
  <c r="F294" i="1"/>
  <c r="F268" i="1"/>
  <c r="F244" i="1"/>
  <c r="F204" i="1"/>
  <c r="F165" i="1"/>
  <c r="F126" i="1"/>
  <c r="F89" i="1"/>
  <c r="F66" i="1"/>
  <c r="F16" i="1"/>
  <c r="F456" i="1"/>
  <c r="F428" i="1"/>
  <c r="F399" i="1"/>
  <c r="F366" i="1"/>
  <c r="F327" i="1"/>
  <c r="F293" i="1"/>
  <c r="F267" i="1"/>
  <c r="F243" i="1"/>
  <c r="F203" i="1"/>
  <c r="F164" i="1"/>
  <c r="F125" i="1"/>
  <c r="F88" i="1"/>
  <c r="F65" i="1"/>
  <c r="F15" i="1"/>
  <c r="F201" i="1"/>
  <c r="F14" i="1"/>
  <c r="F454" i="1"/>
  <c r="F426" i="1"/>
  <c r="F397" i="1"/>
  <c r="F362" i="1"/>
  <c r="F323" i="1"/>
  <c r="F291" i="1"/>
  <c r="F265" i="1"/>
  <c r="F241" i="1"/>
  <c r="F199" i="1"/>
  <c r="F160" i="1"/>
  <c r="F121" i="1"/>
  <c r="F86" i="1"/>
  <c r="F63" i="1"/>
  <c r="F13" i="1"/>
  <c r="F453" i="1"/>
  <c r="F425" i="1"/>
  <c r="F396" i="1"/>
  <c r="F361" i="1"/>
  <c r="F322" i="1"/>
  <c r="F290" i="1"/>
  <c r="F264" i="1"/>
  <c r="F240" i="1"/>
  <c r="F198" i="1"/>
  <c r="F159" i="1"/>
  <c r="F120" i="1"/>
  <c r="F85" i="1"/>
  <c r="F62" i="1"/>
  <c r="F12" i="1"/>
  <c r="F452" i="1"/>
  <c r="F424" i="1"/>
  <c r="F395" i="1"/>
  <c r="F360" i="1"/>
  <c r="F321" i="1"/>
  <c r="F289" i="1"/>
  <c r="F263" i="1"/>
  <c r="F239" i="1"/>
  <c r="F197" i="1"/>
  <c r="F158" i="1"/>
  <c r="F119" i="1"/>
  <c r="F84" i="1"/>
  <c r="F61" i="1"/>
  <c r="F11" i="1"/>
  <c r="F28" i="1"/>
  <c r="G485" i="1" l="1"/>
  <c r="G480" i="1"/>
  <c r="G481" i="1"/>
  <c r="G482" i="1"/>
  <c r="G483" i="1"/>
  <c r="G484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60" i="1"/>
  <c r="G453" i="1"/>
  <c r="G454" i="1"/>
  <c r="G455" i="1"/>
  <c r="G456" i="1"/>
  <c r="G457" i="1"/>
  <c r="G458" i="1"/>
  <c r="G452" i="1"/>
  <c r="G442" i="1"/>
  <c r="G443" i="1"/>
  <c r="G444" i="1"/>
  <c r="G445" i="1"/>
  <c r="G446" i="1"/>
  <c r="G447" i="1"/>
  <c r="G432" i="1"/>
  <c r="G433" i="1"/>
  <c r="G434" i="1"/>
  <c r="G435" i="1"/>
  <c r="G431" i="1"/>
  <c r="G425" i="1"/>
  <c r="G426" i="1"/>
  <c r="G427" i="1"/>
  <c r="G428" i="1"/>
  <c r="G429" i="1"/>
  <c r="G424" i="1"/>
  <c r="G414" i="1"/>
  <c r="G415" i="1"/>
  <c r="G416" i="1"/>
  <c r="G417" i="1"/>
  <c r="G418" i="1"/>
  <c r="G419" i="1"/>
  <c r="G404" i="1"/>
  <c r="G405" i="1"/>
  <c r="G406" i="1"/>
  <c r="G407" i="1"/>
  <c r="G403" i="1"/>
  <c r="G396" i="1"/>
  <c r="G397" i="1"/>
  <c r="G398" i="1"/>
  <c r="G399" i="1"/>
  <c r="G400" i="1"/>
  <c r="G401" i="1"/>
  <c r="G395" i="1"/>
  <c r="G386" i="1"/>
  <c r="G387" i="1"/>
  <c r="G388" i="1"/>
  <c r="G389" i="1"/>
  <c r="G390" i="1"/>
  <c r="G374" i="1"/>
  <c r="G375" i="1"/>
  <c r="G376" i="1"/>
  <c r="G377" i="1"/>
  <c r="G378" i="1"/>
  <c r="G379" i="1"/>
  <c r="G373" i="1"/>
  <c r="G357" i="1"/>
  <c r="G358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56" i="1"/>
  <c r="G348" i="1"/>
  <c r="G349" i="1"/>
  <c r="G350" i="1"/>
  <c r="G351" i="1"/>
  <c r="G352" i="1"/>
  <c r="G335" i="1"/>
  <c r="G336" i="1"/>
  <c r="G337" i="1"/>
  <c r="G338" i="1"/>
  <c r="G339" i="1"/>
  <c r="G340" i="1"/>
  <c r="G341" i="1"/>
  <c r="G334" i="1"/>
  <c r="G318" i="1"/>
  <c r="G319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17" i="1"/>
  <c r="G308" i="1"/>
  <c r="G309" i="1"/>
  <c r="G310" i="1"/>
  <c r="G311" i="1"/>
  <c r="G312" i="1"/>
  <c r="G313" i="1"/>
  <c r="G298" i="1"/>
  <c r="G299" i="1"/>
  <c r="G300" i="1"/>
  <c r="G301" i="1"/>
  <c r="G297" i="1"/>
  <c r="G290" i="1"/>
  <c r="G291" i="1"/>
  <c r="G292" i="1"/>
  <c r="G293" i="1"/>
  <c r="G294" i="1"/>
  <c r="G295" i="1"/>
  <c r="G289" i="1"/>
  <c r="G279" i="1"/>
  <c r="G280" i="1"/>
  <c r="G281" i="1"/>
  <c r="G282" i="1"/>
  <c r="G283" i="1"/>
  <c r="G284" i="1"/>
  <c r="G271" i="1"/>
  <c r="G272" i="1"/>
  <c r="G270" i="1"/>
  <c r="G264" i="1"/>
  <c r="G265" i="1"/>
  <c r="G266" i="1"/>
  <c r="G267" i="1"/>
  <c r="G268" i="1"/>
  <c r="G263" i="1"/>
  <c r="G254" i="1"/>
  <c r="G255" i="1"/>
  <c r="G256" i="1"/>
  <c r="G257" i="1"/>
  <c r="G258" i="1"/>
  <c r="G247" i="1"/>
  <c r="G246" i="1"/>
  <c r="G240" i="1"/>
  <c r="G241" i="1"/>
  <c r="G242" i="1"/>
  <c r="G243" i="1"/>
  <c r="G244" i="1"/>
  <c r="G239" i="1"/>
  <c r="G229" i="1"/>
  <c r="G230" i="1"/>
  <c r="G231" i="1"/>
  <c r="G232" i="1"/>
  <c r="G233" i="1"/>
  <c r="G234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10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193" i="1"/>
  <c r="G185" i="1"/>
  <c r="G186" i="1"/>
  <c r="G187" i="1"/>
  <c r="G188" i="1"/>
  <c r="G189" i="1"/>
  <c r="G172" i="1"/>
  <c r="G173" i="1"/>
  <c r="G174" i="1"/>
  <c r="G175" i="1"/>
  <c r="G176" i="1"/>
  <c r="G177" i="1"/>
  <c r="G178" i="1"/>
  <c r="G171" i="1"/>
  <c r="G155" i="1"/>
  <c r="G156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54" i="1"/>
  <c r="G146" i="1"/>
  <c r="G147" i="1"/>
  <c r="G148" i="1"/>
  <c r="G149" i="1"/>
  <c r="G150" i="1"/>
  <c r="G133" i="1"/>
  <c r="G134" i="1"/>
  <c r="G135" i="1"/>
  <c r="G136" i="1"/>
  <c r="G137" i="1"/>
  <c r="G138" i="1"/>
  <c r="G139" i="1"/>
  <c r="G132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15" i="1"/>
  <c r="G106" i="1"/>
  <c r="G107" i="1"/>
  <c r="G108" i="1"/>
  <c r="G109" i="1"/>
  <c r="G110" i="1"/>
  <c r="G111" i="1"/>
  <c r="G93" i="1"/>
  <c r="G94" i="1"/>
  <c r="G95" i="1"/>
  <c r="G96" i="1"/>
  <c r="G97" i="1"/>
  <c r="G98" i="1"/>
  <c r="G99" i="1"/>
  <c r="G92" i="1"/>
  <c r="G85" i="1"/>
  <c r="G86" i="1"/>
  <c r="G87" i="1"/>
  <c r="G88" i="1"/>
  <c r="G89" i="1"/>
  <c r="G90" i="1"/>
  <c r="G84" i="1"/>
  <c r="G75" i="1"/>
  <c r="G76" i="1"/>
  <c r="G77" i="1"/>
  <c r="G78" i="1"/>
  <c r="G79" i="1"/>
  <c r="G68" i="1"/>
  <c r="G62" i="1"/>
  <c r="G63" i="1"/>
  <c r="G64" i="1"/>
  <c r="G65" i="1"/>
  <c r="G66" i="1"/>
  <c r="G61" i="1"/>
  <c r="G51" i="1"/>
  <c r="G52" i="1"/>
  <c r="G53" i="1"/>
  <c r="G54" i="1"/>
  <c r="G55" i="1"/>
  <c r="G56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19" i="1"/>
  <c r="G12" i="1"/>
  <c r="G13" i="1"/>
  <c r="G14" i="1"/>
  <c r="G15" i="1"/>
  <c r="G16" i="1"/>
  <c r="G17" i="1"/>
  <c r="G11" i="1"/>
  <c r="E479" i="1" l="1"/>
  <c r="G479" i="1" s="1"/>
  <c r="E478" i="1"/>
  <c r="G478" i="1" s="1"/>
  <c r="E477" i="1"/>
  <c r="G477" i="1" s="1"/>
  <c r="E476" i="1"/>
  <c r="G476" i="1" s="1"/>
  <c r="E475" i="1"/>
  <c r="G475" i="1" s="1"/>
  <c r="E441" i="1"/>
  <c r="G441" i="1" s="1"/>
  <c r="E440" i="1"/>
  <c r="G440" i="1" s="1"/>
  <c r="E439" i="1"/>
  <c r="G439" i="1" s="1"/>
  <c r="E438" i="1"/>
  <c r="G438" i="1" s="1"/>
  <c r="E437" i="1"/>
  <c r="G437" i="1" s="1"/>
  <c r="E413" i="1"/>
  <c r="G413" i="1" s="1"/>
  <c r="E412" i="1"/>
  <c r="G412" i="1" s="1"/>
  <c r="E411" i="1"/>
  <c r="G411" i="1" s="1"/>
  <c r="E410" i="1"/>
  <c r="G410" i="1" s="1"/>
  <c r="E409" i="1"/>
  <c r="G409" i="1" s="1"/>
  <c r="E385" i="1"/>
  <c r="G385" i="1" s="1"/>
  <c r="E384" i="1"/>
  <c r="G384" i="1" s="1"/>
  <c r="E383" i="1"/>
  <c r="G383" i="1" s="1"/>
  <c r="E382" i="1"/>
  <c r="G382" i="1" s="1"/>
  <c r="E381" i="1"/>
  <c r="G381" i="1" s="1"/>
  <c r="E347" i="1"/>
  <c r="G347" i="1" s="1"/>
  <c r="E346" i="1"/>
  <c r="G346" i="1" s="1"/>
  <c r="E345" i="1"/>
  <c r="G345" i="1" s="1"/>
  <c r="E344" i="1"/>
  <c r="G344" i="1" s="1"/>
  <c r="E343" i="1"/>
  <c r="G343" i="1" s="1"/>
  <c r="E307" i="1"/>
  <c r="G307" i="1" s="1"/>
  <c r="E306" i="1"/>
  <c r="G306" i="1" s="1"/>
  <c r="E305" i="1"/>
  <c r="G305" i="1" s="1"/>
  <c r="E304" i="1"/>
  <c r="G304" i="1" s="1"/>
  <c r="E303" i="1"/>
  <c r="G303" i="1" s="1"/>
  <c r="E278" i="1"/>
  <c r="G278" i="1" s="1"/>
  <c r="E277" i="1"/>
  <c r="G277" i="1" s="1"/>
  <c r="E276" i="1"/>
  <c r="G276" i="1" s="1"/>
  <c r="E275" i="1"/>
  <c r="G275" i="1" s="1"/>
  <c r="E274" i="1"/>
  <c r="G274" i="1" s="1"/>
  <c r="E253" i="1"/>
  <c r="G253" i="1" s="1"/>
  <c r="E252" i="1"/>
  <c r="G252" i="1" s="1"/>
  <c r="E251" i="1"/>
  <c r="G251" i="1" s="1"/>
  <c r="E250" i="1"/>
  <c r="G250" i="1" s="1"/>
  <c r="E249" i="1"/>
  <c r="G249" i="1" s="1"/>
  <c r="E228" i="1"/>
  <c r="G228" i="1" s="1"/>
  <c r="E227" i="1"/>
  <c r="G227" i="1" s="1"/>
  <c r="E226" i="1"/>
  <c r="G226" i="1" s="1"/>
  <c r="E225" i="1"/>
  <c r="G225" i="1" s="1"/>
  <c r="E224" i="1"/>
  <c r="G224" i="1" s="1"/>
  <c r="E184" i="1"/>
  <c r="G184" i="1" s="1"/>
  <c r="E183" i="1"/>
  <c r="G183" i="1" s="1"/>
  <c r="E182" i="1"/>
  <c r="G182" i="1" s="1"/>
  <c r="E181" i="1"/>
  <c r="G181" i="1" s="1"/>
  <c r="E180" i="1"/>
  <c r="G180" i="1" s="1"/>
  <c r="E145" i="1"/>
  <c r="G145" i="1" s="1"/>
  <c r="E144" i="1"/>
  <c r="G144" i="1" s="1"/>
  <c r="E143" i="1"/>
  <c r="G143" i="1" s="1"/>
  <c r="E142" i="1"/>
  <c r="G142" i="1" s="1"/>
  <c r="E141" i="1"/>
  <c r="G141" i="1" s="1"/>
  <c r="E105" i="1"/>
  <c r="G105" i="1" s="1"/>
  <c r="E104" i="1"/>
  <c r="G104" i="1" s="1"/>
  <c r="E103" i="1"/>
  <c r="G103" i="1" s="1"/>
  <c r="E102" i="1"/>
  <c r="G102" i="1" s="1"/>
  <c r="E101" i="1"/>
  <c r="G101" i="1" s="1"/>
  <c r="E74" i="1"/>
  <c r="G74" i="1" s="1"/>
  <c r="E73" i="1"/>
  <c r="G73" i="1" s="1"/>
  <c r="E72" i="1"/>
  <c r="G72" i="1" s="1"/>
  <c r="E71" i="1"/>
  <c r="G71" i="1" s="1"/>
  <c r="E70" i="1"/>
  <c r="E50" i="1"/>
  <c r="G50" i="1" s="1"/>
  <c r="E49" i="1"/>
  <c r="G49" i="1" s="1"/>
  <c r="E48" i="1"/>
  <c r="G48" i="1" s="1"/>
  <c r="E47" i="1"/>
  <c r="G47" i="1" s="1"/>
  <c r="E46" i="1"/>
  <c r="G46" i="1" s="1"/>
  <c r="E44" i="1"/>
  <c r="G44" i="1" s="1"/>
  <c r="E43" i="1"/>
  <c r="G43" i="1" s="1"/>
  <c r="E42" i="1"/>
  <c r="G42" i="1" s="1"/>
  <c r="E41" i="1"/>
  <c r="G41" i="1" s="1"/>
  <c r="E40" i="1"/>
  <c r="G40" i="1" l="1"/>
  <c r="G57" i="1" s="1"/>
  <c r="G70" i="1"/>
  <c r="G80" i="1" s="1"/>
  <c r="G391" i="1"/>
  <c r="G151" i="1"/>
  <c r="G314" i="1"/>
  <c r="G486" i="1"/>
  <c r="G259" i="1"/>
  <c r="G420" i="1"/>
  <c r="G190" i="1"/>
  <c r="G112" i="1"/>
  <c r="G285" i="1"/>
  <c r="G353" i="1"/>
  <c r="G448" i="1"/>
  <c r="G235" i="1"/>
  <c r="G487" i="1" l="1"/>
  <c r="G488" i="1" l="1"/>
  <c r="G489" i="1" s="1"/>
  <c r="L487" i="1"/>
</calcChain>
</file>

<file path=xl/sharedStrings.xml><?xml version="1.0" encoding="utf-8"?>
<sst xmlns="http://schemas.openxmlformats.org/spreadsheetml/2006/main" count="1613" uniqueCount="192">
  <si>
    <t>№ по ред</t>
  </si>
  <si>
    <t>Наименование на работите</t>
  </si>
  <si>
    <t>Ед. мярка</t>
  </si>
  <si>
    <t>Колич.</t>
  </si>
  <si>
    <t>Водопроводен клон 3 - по ул. "3-та"от ОТ17 до ОТ39 и до края на улицата след ОТ36 - L=418 m'</t>
  </si>
  <si>
    <t>I.</t>
  </si>
  <si>
    <t>Строителна част</t>
  </si>
  <si>
    <t xml:space="preserve">Направа на изкоп по детайл на транспорт за основен водопровод(0,80x1,70m')  и СВО(0,50x1,20m') </t>
  </si>
  <si>
    <t xml:space="preserve">      - машинен в земни почви 100 %</t>
  </si>
  <si>
    <r>
      <t>m</t>
    </r>
    <r>
      <rPr>
        <vertAlign val="superscript"/>
        <sz val="11"/>
        <color theme="1"/>
        <rFont val="Times New Roman"/>
        <family val="1"/>
        <charset val="204"/>
      </rPr>
      <t>3</t>
    </r>
  </si>
  <si>
    <t>Извозване на излишни земни маси от масов изкоп за водопровод и СВО за оползотворяване или депониране (до 5 км)</t>
  </si>
  <si>
    <t>Неплътно укрепване и разкрепване за основен водопровод  - 1,8 m2/m'</t>
  </si>
  <si>
    <r>
      <t>m</t>
    </r>
    <r>
      <rPr>
        <vertAlign val="superscript"/>
        <sz val="11"/>
        <color theme="1"/>
        <rFont val="Times New Roman"/>
        <family val="1"/>
        <charset val="204"/>
      </rPr>
      <t>2</t>
    </r>
  </si>
  <si>
    <t>Направа на подложка, странична засипка и пласт насип над тръби (20см) за основен водопровод и СВО в макадамови и непланирани улици и тротоари от дребнозърнест скален материал (трошен пясък) фракция     0-4 мм, вкл. доставка от 100 km, складиране и уплътняване</t>
  </si>
  <si>
    <t xml:space="preserve">Обратна засипка на основна траншея и СВО със земна маса (0-30 mm) и уплътняване с вибро трамбовка през 30см </t>
  </si>
  <si>
    <t>Водочерпене по време на строителството</t>
  </si>
  <si>
    <t>мсм</t>
  </si>
  <si>
    <t>Доставка и полагане на пътна основа в макадамови улици от трошен камък с непрекъсната зърнометрия, вкл.превоз и уплътняване (фракция 0-63) Е=250 Mpa  (до 80km)</t>
  </si>
  <si>
    <t>II.</t>
  </si>
  <si>
    <t>Монтажна част</t>
  </si>
  <si>
    <t>m'</t>
  </si>
  <si>
    <t>бр.</t>
  </si>
  <si>
    <t>Доставка и монтаж на СК DN50 шибърен ,чугун, с гумиран клин, с охранителна гарнитура</t>
  </si>
  <si>
    <t>Доставка и монтаж на СК DN80 шибърен ,чугун, с гумиран клин, с охранителна гарнитура</t>
  </si>
  <si>
    <t xml:space="preserve">Доставка и монтаж на хидрант за източване DN50/60 подземен с пета </t>
  </si>
  <si>
    <t xml:space="preserve">Доставка и монтаж на ПХ DN70/80 надземен с пета </t>
  </si>
  <si>
    <t>Доставка и монтаж на свободен фланец, гумен уплътнител и болтове М16/80, шайби и гайки за фланшова връзка DN50</t>
  </si>
  <si>
    <t>Доставка и монтаж на свободен фланец, гумен уплътнител и болтове М16/80, шайби и гайки за фланшова връзка DN80</t>
  </si>
  <si>
    <t>Доставка и монтаж на бетонови опорни блокове</t>
  </si>
  <si>
    <t>Доставка и монтаж на автоматичен въздушник 2" - безшахтов монтаж</t>
  </si>
  <si>
    <t>Доставка и монтаж на детекторна сигнална лента с метална нишка</t>
  </si>
  <si>
    <t>Доставка и монтаж на сигнална лента "Водопровод"</t>
  </si>
  <si>
    <t>Изпитване на водопровода</t>
  </si>
  <si>
    <t>Дезинфекция на водопровода</t>
  </si>
  <si>
    <t>Водопроводен клон 4 - по ул. "4-та"от ОТ35 до ОТ36 - L=150 m'</t>
  </si>
  <si>
    <t>Направа на подложка, странична засипка и пласт насип над тръби (20см) за основен водопровод и СВО в непланирани улици и тротоари от дребнозърнест скален материал (трошен пясък) фракция     0-4 мм, вкл. доставка от 100 km, складиране и уплътняване</t>
  </si>
  <si>
    <t>Водопроводен клон 5 - по ул."3-та" от ОТ17 до ОТ19  - L=264 m'</t>
  </si>
  <si>
    <t>Направа на подложка, странична засипка и пласт насип над тръби (20см) за основен водопровод и СВО в макадамови улици и тротоари от дребнозърнест скален материал (трошен пясък) фракция     0-4 мм, вкл. доставка от 100 km, складиране и уплътняване</t>
  </si>
  <si>
    <t>Водопроводен клон 6 - по ул. "6-та"от ОТ3 до ОТ41 - L=187 m'</t>
  </si>
  <si>
    <t xml:space="preserve">Рязане на асфалтова настилка </t>
  </si>
  <si>
    <t xml:space="preserve">Разкъртване на асфалтова настилка за основен водопровод и СВО - механизирано (10см пласт) </t>
  </si>
  <si>
    <t>Натоварване и извозване на строителни отпадъци на постоянно депо (до 100 км)</t>
  </si>
  <si>
    <t>Направа на подложка, странична засипка и пласт насип над тръби (20см) за основен водопровод и СВО в асфалтови улици от дребнозърнест скален материал (трошен пясък) фракция 0-4 мм, вкл. доставка от 100 km, складиране и уплътняване</t>
  </si>
  <si>
    <t>Направа на подложка, странична засипка и пласт насип над тръби (20см) за СВО в  тротоар от дребнозърнест скален материал (трошен пясък) фракция  0-4 мм, вкл. доставка от 100 km, складиране и уплътняване</t>
  </si>
  <si>
    <t xml:space="preserve">Доставка на материал за обратна засипка на основна траншея и СВО -  несортиран трошен камък (фракция 0-63 mm) и уплътняване с вибро трамбовка през 30см - до 70 km </t>
  </si>
  <si>
    <t xml:space="preserve">Доставка и полагане на плътен асфалтобетон  E=1200 MPa  (до 70km) </t>
  </si>
  <si>
    <t>t</t>
  </si>
  <si>
    <t>Доставка и полагане на пътна основа в асфалтови улици от трошен камък с непрекъсната зърнометрия, вкл.превоз и уплътняване (фракция 0-63) Е=250 Mpa  (до 80km)</t>
  </si>
  <si>
    <t>Заливка на фуги с битум</t>
  </si>
  <si>
    <t>Вземане на проби за доказване на процента на уплътняване на обратната засипка</t>
  </si>
  <si>
    <t>Водопроводен клон 7 - по ул. "7-ма"от ОТ4 до ОТ44 - L=133 m'</t>
  </si>
  <si>
    <t>Водопроводен клон 8 - по ул."8-ма" от ОТ4 до ОТ19 и по ул. 3-та" от ОТ19 до ОТ20  - L=459 m'</t>
  </si>
  <si>
    <t>Доставка и полагане на пътна основа в асфалтови и макадамови улици от трошен камък с непрекъсната зърнометрия, вкл.превоз и уплътняване (фракция 0-63) Е=250 Mpa  (до 80km)</t>
  </si>
  <si>
    <t>Водопроводен клон 10 - по ул. "8-ма"от ОТ19 до края на улицата - L=65 m'</t>
  </si>
  <si>
    <t>Водопроводен клон 11 - по ул. "9-та"от ОТ20 до края на улицата - L=70 m'</t>
  </si>
  <si>
    <t>Водопроводен клон 12 - по ул. "10-та"от ОТ5 до ОТ45 - L=129 m'</t>
  </si>
  <si>
    <t>Водопроводен клон 14 - по ул. "9-та"от ОТ12 до ОТ20 и по ул."3-та" от ОТ20 до ОТ26 - L=494 m'</t>
  </si>
  <si>
    <t xml:space="preserve">Разкъртване на асфалтова настилка за основен водопровод - механизирано (10см пласт) </t>
  </si>
  <si>
    <t>Направа на подложка, странична засипка и пласт насип над тръби (20см) за основен водопровод в асфалтови улици от дребнозърнест скален материал (трошен пясък) фракция 0-4 мм, вкл. доставка от 100 km, складиране и уплътняване</t>
  </si>
  <si>
    <t>Направа на подложка, странична засипка и пласт насип над тръби (20см) за СВО в  тротоари от дребнозърнест скален материал (трошен пясък) фракция  0-4 мм, вкл. доставка от 100 km, складиране и уплътняване</t>
  </si>
  <si>
    <t xml:space="preserve">Доставка на материал за обратна засипка на основна траншея -  несортиран трошен камък (фракция 0-63 mm) и уплътняване с вибро трамбовка през 30см - до 70 km </t>
  </si>
  <si>
    <t>Водопроводен клон 15 - по ул. "14-та"от ОТ11 до ОТ23 - L=226 m'</t>
  </si>
  <si>
    <t>Водопроводен клон 16 - по ул. "11-та"от ОТ7 до края на улицата - L=117 m'</t>
  </si>
  <si>
    <t>Водопроводен клон 17 - по ул. "12-та"от ОТ8 до ОТ48 - L=98 m'</t>
  </si>
  <si>
    <t>Водопроводен клон 18 - по ул."13-та" от ОТ9 до ОТ26  - L=388 m'</t>
  </si>
  <si>
    <t xml:space="preserve">Доставка, полагане и монтаж на тръби ∅90 PE100 PN10 </t>
  </si>
  <si>
    <t xml:space="preserve">Доставка, полагане и монтаж на тръби ∅63 PE100 PN10 </t>
  </si>
  <si>
    <t xml:space="preserve">Доставка и монтаж на предфланшова връзка ∅90 PE100 PN10 </t>
  </si>
  <si>
    <t xml:space="preserve">Доставка и монтаж на предфланшова връзка ∅63 PE100 PN10 </t>
  </si>
  <si>
    <t>Доставка и монтаж на тройник  ∅90-90-90  PE100 PN10</t>
  </si>
  <si>
    <t>Доставка и монтаж на тройник  намалител ∅90-63-90  PE100 PN10</t>
  </si>
  <si>
    <t>Доставка и монтаж на намалител ∅90-63  PE100 PN10</t>
  </si>
  <si>
    <t>Доставка и монтаж на коляно 90гр. ∅90 РЕ100 PN10</t>
  </si>
  <si>
    <t>Доставка и монтаж на коляно 90гр. ∅63 РЕ100 PN10</t>
  </si>
  <si>
    <t>Доставка и монтаж на тапа ∅63РЕ100 PN10</t>
  </si>
  <si>
    <t xml:space="preserve">Доставка и монтаж на ТСК ∅2" </t>
  </si>
  <si>
    <t xml:space="preserve">Доставка и монтаж на преход с електрозаваряема муфа PE-метал     ∅63-2" с външна резба </t>
  </si>
  <si>
    <t>СВО ∅63-3/4"</t>
  </si>
  <si>
    <t>СВО ∅90-3/4"</t>
  </si>
  <si>
    <t>Доставка и монтаж на муфа електрозаваряема ∅63 (вкл.самата заварка)</t>
  </si>
  <si>
    <t>Доставка и монтаж на муфа електрозаваряема ∅90 (вкл.самата заварка)</t>
  </si>
  <si>
    <t>Доставка и монтаж на тапа  ∅90  PE100 PN10</t>
  </si>
  <si>
    <t>Доставка и монтаж на тапа  ∅63  PE100 PN10</t>
  </si>
  <si>
    <t>Доставка и монтаж на коляно 30гр. ∅63 РЕ100 PN10</t>
  </si>
  <si>
    <t>Доставка и монтаж на тройник намалител ∅90-63-90  PE100 PN10</t>
  </si>
  <si>
    <t>Доставка и монтаж на тръби ∅25 PE100 PN10 за сградни водопроводни отклонения- 1 брой СВО</t>
  </si>
  <si>
    <t>Доставка и монтаж на водовземна скоба за РЕ електрозаваряема ∅63-3/4"</t>
  </si>
  <si>
    <t>Доставка и монтаж на преход външна резба ∅25-3/4" вкл. електрозаваряема муфа ∅25</t>
  </si>
  <si>
    <t xml:space="preserve">Доставка и монтаж на ТСК ∅3/4" </t>
  </si>
  <si>
    <t xml:space="preserve">Доставка и монтаж на преход с електрозаваряема муфа PE-метал ∅25-3/4" с вътрешна резба </t>
  </si>
  <si>
    <t>Доставка и монтаж на водовземна скоба за РЕ електрозаваряема ∅90-3/4" вкл. муфа ∅25</t>
  </si>
  <si>
    <t>-</t>
  </si>
  <si>
    <t>Ед. цена</t>
  </si>
  <si>
    <t>Стойност</t>
  </si>
  <si>
    <t>III.</t>
  </si>
  <si>
    <t>ОБЩА СТОЙНОСТ СМР ВОДОПРОВОДЕН КЛОН 3:</t>
  </si>
  <si>
    <t>IV.</t>
  </si>
  <si>
    <t>V.</t>
  </si>
  <si>
    <t>VI.</t>
  </si>
  <si>
    <t>VII.</t>
  </si>
  <si>
    <t>VIII.</t>
  </si>
  <si>
    <t>IX</t>
  </si>
  <si>
    <t>X.</t>
  </si>
  <si>
    <t>XI.</t>
  </si>
  <si>
    <t>XII.</t>
  </si>
  <si>
    <t>XIII.</t>
  </si>
  <si>
    <t>XIV.</t>
  </si>
  <si>
    <t>ОБЩА СТОЙНОСТ СМР ВОДОПРОВОДЕН КЛОН 5:</t>
  </si>
  <si>
    <t>ОБЩА СТОЙНОСТ СМР ВОДОПРОВОДЕН КЛОН 4:</t>
  </si>
  <si>
    <t>ОБЩА СТОЙНОСТ СМР ВОДОПРОВОДЕН КЛОН 6:</t>
  </si>
  <si>
    <t>ОБЩА СТОЙНОСТ СМР ВОДОПРОВОДЕН КЛОН 7:</t>
  </si>
  <si>
    <t>ОБЩА СТОЙНОСТ СМР ВОДОПРОВОДЕН КЛОН 8:</t>
  </si>
  <si>
    <t>ОБЩА СТОЙНОСТ СМР ВОДОПРОВОДЕН КЛОН 10:</t>
  </si>
  <si>
    <t>ОБЩА СТОЙНОСТ СМР ВОДОПРОВОДЕН КЛОН 11:</t>
  </si>
  <si>
    <t>ОБЩА СТОЙНОСТ СМР ВОДОПРОВОДЕН КЛОН 12:</t>
  </si>
  <si>
    <t>ОБЩА СТОЙНОСТ СМР ВОДОПРОВОДЕН КЛОН 14:</t>
  </si>
  <si>
    <t>ОБЩА СТОЙНОСТ СМР ВОДОПРОВОДЕН КЛОН 15:</t>
  </si>
  <si>
    <t>ОБЩА СТОЙНОСТ СМР ВОДОПРОВОДЕН КЛОН 16:</t>
  </si>
  <si>
    <t>ОБЩА СТОЙНОСТ СМР ВОДОПРОВОДЕН КЛОН 17:</t>
  </si>
  <si>
    <t>ОБЩА СТОЙНОСТ СМР ВОДОПРОВОДЕН КЛОН 18:</t>
  </si>
  <si>
    <t>XV.</t>
  </si>
  <si>
    <r>
      <t xml:space="preserve">ОБЕКТ: „Реконструкция и рехабилитация на водоснабдителни системи и съоръжения в община Шабла по 3 (три) обособени позиции: </t>
    </r>
    <r>
      <rPr>
        <b/>
        <u/>
        <sz val="12"/>
        <rFont val="Times New Roman"/>
        <family val="1"/>
        <charset val="204"/>
      </rPr>
      <t>Обособена позиция №1: „Реконструкция и рехабилитация на водоснабдителни системи и съоръжения в с. Горун, община Шабла“</t>
    </r>
  </si>
  <si>
    <t>ВЪЗЛОЖИТЕЛ: ОБЩИНА ШАБЛА</t>
  </si>
  <si>
    <t>КОЛИЧЕСТВЕНО - СТОЙНОСТНА СМЕТКА (КСС)</t>
  </si>
  <si>
    <t>Приложение 2.1</t>
  </si>
  <si>
    <t>ДДС 20 %</t>
  </si>
  <si>
    <t>XVI.</t>
  </si>
  <si>
    <t>XVII.</t>
  </si>
  <si>
    <t>ОБЩА СТОЙНОСТ В ЕВРО БЕЗ ДДС (I+II+III+IV+V+VI+VII+VIII+IX+X+XI+XII+XIII+XIV):</t>
  </si>
  <si>
    <t>ОБЩО ВСИЧКО В ЕВРО С ДДС (XV+XVI):</t>
  </si>
  <si>
    <t>Анализ 1</t>
  </si>
  <si>
    <t>Анализ 2</t>
  </si>
  <si>
    <t>Анализ 3</t>
  </si>
  <si>
    <t>Анализ 4</t>
  </si>
  <si>
    <t>Анализ 5</t>
  </si>
  <si>
    <t>Анализ 6</t>
  </si>
  <si>
    <t>Анализ 7</t>
  </si>
  <si>
    <t>Анализ 8</t>
  </si>
  <si>
    <t>Анализ 9</t>
  </si>
  <si>
    <t>Анализ 10</t>
  </si>
  <si>
    <t>Анализ 11</t>
  </si>
  <si>
    <t>Анализ 12</t>
  </si>
  <si>
    <t>Анализ 13</t>
  </si>
  <si>
    <t>Анализ 14</t>
  </si>
  <si>
    <t>Анализ 15</t>
  </si>
  <si>
    <t>Анализ 16</t>
  </si>
  <si>
    <t>Анализ 17</t>
  </si>
  <si>
    <t>Анализ 18</t>
  </si>
  <si>
    <t>Анализ 19</t>
  </si>
  <si>
    <t>Анализ 20</t>
  </si>
  <si>
    <t>Анализ 21</t>
  </si>
  <si>
    <t>Анализ 22</t>
  </si>
  <si>
    <t>Анализ 23</t>
  </si>
  <si>
    <t>Анализ 24</t>
  </si>
  <si>
    <t>Анализ 25</t>
  </si>
  <si>
    <t>Анализ 26</t>
  </si>
  <si>
    <t>Анализ 27</t>
  </si>
  <si>
    <t>Анализ 28</t>
  </si>
  <si>
    <t>Анализ 29</t>
  </si>
  <si>
    <t>Анализ 30</t>
  </si>
  <si>
    <t>Анализ 31</t>
  </si>
  <si>
    <t>Анализ 32</t>
  </si>
  <si>
    <t>Анализ 33</t>
  </si>
  <si>
    <t>Анализ 34</t>
  </si>
  <si>
    <t>Анализ 35</t>
  </si>
  <si>
    <t>Анализ 36</t>
  </si>
  <si>
    <t>Анализ 37</t>
  </si>
  <si>
    <t>Анализ 38</t>
  </si>
  <si>
    <t>Анализ 39</t>
  </si>
  <si>
    <t>Анализ 40</t>
  </si>
  <si>
    <t>Анализ 41</t>
  </si>
  <si>
    <t>Анализ 42</t>
  </si>
  <si>
    <t>Анализ 43</t>
  </si>
  <si>
    <t>Анализ 44</t>
  </si>
  <si>
    <t>Анализ 45</t>
  </si>
  <si>
    <t>Анализ 46</t>
  </si>
  <si>
    <t>Анализ 47</t>
  </si>
  <si>
    <t>Анализ 48</t>
  </si>
  <si>
    <t>Анализ 49</t>
  </si>
  <si>
    <t>Анализ 50</t>
  </si>
  <si>
    <t>Анализ 51</t>
  </si>
  <si>
    <t>Анализ 52</t>
  </si>
  <si>
    <t>Анализ 53</t>
  </si>
  <si>
    <t>Анализ 54</t>
  </si>
  <si>
    <t>Анализ 55</t>
  </si>
  <si>
    <t>Анализ 56</t>
  </si>
  <si>
    <t>Анализ 57</t>
  </si>
  <si>
    <t>Анализ 58</t>
  </si>
  <si>
    <t>Анализ 59</t>
  </si>
  <si>
    <t>Анализ 60</t>
  </si>
  <si>
    <t>макс цена</t>
  </si>
  <si>
    <t>ЕДИНИЧНИ ЦЕНИ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</si>
</sst>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#\ ##0.00"/>
    <numFmt numFmtId="166" formatCode="#\ ##0.0000"/>
    <numFmt numFmtId="167" formatCode="#\ ##0"/>
  </numFmts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u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8"/>
      <name val="Courier New"/>
      <family val="3"/>
      <charset val="204"/>
    </font>
    <font>
      <b/>
      <sz val="18"/>
      <name val="Courier New"/>
      <family val="3"/>
      <charset val="204"/>
    </font>
    <font>
      <b/>
      <sz val="8"/>
      <name val="Courier New"/>
      <family val="3"/>
      <charset val="204"/>
    </font>
    <font>
      <sz val="7"/>
      <name val="Courier New"/>
      <family val="3"/>
      <charset val="204"/>
    </font>
    <font>
      <sz val="11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DEB340"/>
        <bgColor indexed="64"/>
      </patternFill>
    </fill>
    <fill>
      <patternFill patternType="solid">
        <fgColor rgb="FFF8EF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D66A"/>
        <bgColor indexed="64"/>
      </patternFill>
    </fill>
    <fill>
      <patternFill patternType="solid">
        <fgColor rgb="FFEAF1C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</patternFill>
    </fill>
    <fill>
      <patternFill patternType="solid">
        <f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justify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justify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164" fontId="13" fillId="0" borderId="0" xfId="1" applyFont="1" applyAlignment="1">
      <alignment horizontal="center"/>
    </xf>
    <xf numFmtId="164" fontId="13" fillId="0" borderId="0" xfId="1" applyFont="1"/>
    <xf numFmtId="0" fontId="9" fillId="0" borderId="0" xfId="0" applyFont="1" applyAlignment="1">
      <alignment horizontal="left" vertical="center" wrapText="1"/>
    </xf>
    <xf numFmtId="0" fontId="9" fillId="8" borderId="11" xfId="0" applyFont="1" applyFill="1" applyBorder="1" applyAlignment="1">
      <alignment horizontal="center"/>
    </xf>
    <xf numFmtId="4" fontId="9" fillId="8" borderId="9" xfId="0" applyNumberFormat="1" applyFont="1" applyFill="1" applyBorder="1" applyAlignment="1">
      <alignment horizontal="right" vertical="center"/>
    </xf>
    <xf numFmtId="0" fontId="15" fillId="0" borderId="0" xfId="0" applyFont="1"/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" fontId="8" fillId="10" borderId="1" xfId="0" applyNumberFormat="1" applyFont="1" applyFill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5" fontId="17" fillId="0" borderId="0" xfId="0" applyNumberFormat="1" applyFont="1"/>
    <xf numFmtId="165" fontId="18" fillId="0" borderId="0" xfId="0" applyNumberFormat="1" applyFont="1" applyAlignment="1">
      <alignment horizontal="right"/>
    </xf>
    <xf numFmtId="165" fontId="17" fillId="0" borderId="0" xfId="0" applyNumberFormat="1" applyFont="1" applyAlignment="1">
      <alignment horizontal="center"/>
    </xf>
    <xf numFmtId="165" fontId="19" fillId="11" borderId="0" xfId="0" applyNumberFormat="1" applyFont="1" applyFill="1" applyAlignment="1">
      <alignment horizontal="left"/>
    </xf>
    <xf numFmtId="165" fontId="19" fillId="11" borderId="0" xfId="0" applyNumberFormat="1" applyFont="1" applyFill="1" applyAlignment="1">
      <alignment horizontal="center"/>
    </xf>
    <xf numFmtId="165" fontId="20" fillId="0" borderId="0" xfId="0" applyNumberFormat="1" applyFont="1" applyAlignment="1">
      <alignment horizontal="center"/>
    </xf>
    <xf numFmtId="165" fontId="19" fillId="12" borderId="0" xfId="0" applyNumberFormat="1" applyFont="1" applyFill="1"/>
    <xf numFmtId="165" fontId="19" fillId="12" borderId="0" xfId="0" applyNumberFormat="1" applyFont="1" applyFill="1" applyAlignment="1">
      <alignment horizontal="center"/>
    </xf>
    <xf numFmtId="165" fontId="19" fillId="0" borderId="0" xfId="0" applyNumberFormat="1" applyFont="1"/>
    <xf numFmtId="165" fontId="19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/>
    </xf>
    <xf numFmtId="166" fontId="17" fillId="0" borderId="0" xfId="0" applyNumberFormat="1" applyFont="1"/>
    <xf numFmtId="167" fontId="17" fillId="0" borderId="0" xfId="0" applyNumberFormat="1" applyFont="1" applyAlignment="1">
      <alignment horizontal="center"/>
    </xf>
    <xf numFmtId="166" fontId="19" fillId="0" borderId="0" xfId="0" applyNumberFormat="1" applyFont="1"/>
    <xf numFmtId="2" fontId="10" fillId="0" borderId="0" xfId="0" applyNumberFormat="1" applyFont="1" applyAlignment="1">
      <alignment vertical="center"/>
    </xf>
    <xf numFmtId="0" fontId="21" fillId="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8" borderId="12" xfId="0" applyFont="1" applyFill="1" applyBorder="1" applyAlignment="1">
      <alignment horizontal="right"/>
    </xf>
    <xf numFmtId="0" fontId="9" fillId="8" borderId="13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right" vertical="center" wrapText="1"/>
    </xf>
    <xf numFmtId="0" fontId="1" fillId="7" borderId="6" xfId="0" applyFont="1" applyFill="1" applyBorder="1" applyAlignment="1">
      <alignment horizontal="right" vertical="center" wrapText="1"/>
    </xf>
    <xf numFmtId="0" fontId="1" fillId="7" borderId="7" xfId="0" applyFont="1" applyFill="1" applyBorder="1" applyAlignment="1">
      <alignment horizontal="right" vertical="center" wrapText="1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right" vertical="center"/>
    </xf>
    <xf numFmtId="0" fontId="1" fillId="7" borderId="7" xfId="0" applyFont="1" applyFill="1" applyBorder="1" applyAlignment="1">
      <alignment horizontal="right" vertical="center"/>
    </xf>
    <xf numFmtId="0" fontId="4" fillId="7" borderId="6" xfId="0" applyFont="1" applyFill="1" applyBorder="1" applyAlignment="1">
      <alignment horizontal="right" vertical="center"/>
    </xf>
    <xf numFmtId="0" fontId="4" fillId="7" borderId="7" xfId="0" applyFont="1" applyFill="1" applyBorder="1" applyAlignment="1">
      <alignment horizontal="right" vertical="center"/>
    </xf>
    <xf numFmtId="0" fontId="1" fillId="7" borderId="3" xfId="0" applyFont="1" applyFill="1" applyBorder="1" applyAlignment="1">
      <alignment horizontal="right" vertical="center"/>
    </xf>
    <xf numFmtId="0" fontId="1" fillId="7" borderId="4" xfId="0" applyFont="1" applyFill="1" applyBorder="1" applyAlignment="1">
      <alignment horizontal="right" vertical="center"/>
    </xf>
    <xf numFmtId="0" fontId="1" fillId="7" borderId="10" xfId="0" applyFont="1" applyFill="1" applyBorder="1" applyAlignment="1">
      <alignment horizontal="right" vertical="center"/>
    </xf>
    <xf numFmtId="0" fontId="8" fillId="9" borderId="5" xfId="0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right" vertical="center"/>
    </xf>
    <xf numFmtId="0" fontId="8" fillId="10" borderId="5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EB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6</xdr:col>
      <xdr:colOff>1026531</xdr:colOff>
      <xdr:row>5</xdr:row>
      <xdr:rowOff>17447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1076325"/>
          <a:ext cx="1740906" cy="3889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647700</xdr:rowOff>
    </xdr:from>
    <xdr:to>
      <xdr:col>6</xdr:col>
      <xdr:colOff>416931</xdr:colOff>
      <xdr:row>4</xdr:row>
      <xdr:rowOff>169847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0" y="1028700"/>
          <a:ext cx="1740906" cy="38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4"/>
  <sheetViews>
    <sheetView view="pageBreakPreview" topLeftCell="A466" zoomScaleNormal="100" zoomScaleSheetLayoutView="100" workbookViewId="0">
      <selection activeCell="L488" sqref="L488"/>
    </sheetView>
  </sheetViews>
  <sheetFormatPr defaultRowHeight="15" x14ac:dyDescent="0.25"/>
  <cols>
    <col min="1" max="1" width="10.140625" style="1" bestFit="1" customWidth="1"/>
    <col min="2" max="2" width="17" style="1" customWidth="1"/>
    <col min="3" max="3" width="68.42578125" style="1" bestFit="1" customWidth="1"/>
    <col min="4" max="4" width="10.7109375" style="1" bestFit="1" customWidth="1"/>
    <col min="5" max="5" width="7.85546875" style="1" bestFit="1" customWidth="1"/>
    <col min="6" max="6" width="10.7109375" style="1" customWidth="1"/>
    <col min="7" max="7" width="16.28515625" style="1" customWidth="1"/>
    <col min="8" max="8" width="9.140625" style="1"/>
    <col min="9" max="9" width="11.85546875" style="1" customWidth="1"/>
    <col min="10" max="16384" width="9.140625" style="1"/>
  </cols>
  <sheetData>
    <row r="1" spans="1:9" customFormat="1" ht="15" customHeight="1" x14ac:dyDescent="0.25">
      <c r="A1" s="28"/>
      <c r="B1" s="28"/>
      <c r="C1" s="29"/>
      <c r="D1" s="28"/>
      <c r="E1" s="30"/>
      <c r="F1" s="31"/>
      <c r="G1" s="35" t="s">
        <v>124</v>
      </c>
      <c r="H1" s="21"/>
      <c r="I1" s="21"/>
    </row>
    <row r="2" spans="1:9" customFormat="1" ht="15" customHeight="1" x14ac:dyDescent="0.25">
      <c r="A2" s="91" t="s">
        <v>122</v>
      </c>
      <c r="B2" s="91"/>
      <c r="C2" s="91"/>
      <c r="D2" s="91"/>
      <c r="E2" s="91"/>
      <c r="F2" s="91"/>
      <c r="G2" s="91"/>
      <c r="H2" s="21"/>
      <c r="I2" s="21"/>
    </row>
    <row r="3" spans="1:9" customFormat="1" ht="54.75" customHeight="1" x14ac:dyDescent="0.25">
      <c r="A3" s="70" t="s">
        <v>121</v>
      </c>
      <c r="B3" s="70"/>
      <c r="C3" s="70"/>
      <c r="D3" s="70"/>
      <c r="E3" s="70"/>
      <c r="F3" s="70"/>
      <c r="G3" s="70"/>
      <c r="H3" s="22"/>
      <c r="I3" s="22"/>
    </row>
    <row r="4" spans="1:9" customFormat="1" ht="13.5" customHeight="1" x14ac:dyDescent="0.25">
      <c r="A4" s="32"/>
      <c r="B4" s="40"/>
      <c r="C4" s="32"/>
      <c r="D4" s="32"/>
      <c r="E4" s="32"/>
      <c r="F4" s="32"/>
      <c r="G4" s="32"/>
      <c r="H4" s="22"/>
      <c r="I4" s="22"/>
    </row>
    <row r="5" spans="1:9" customFormat="1" ht="15.75" x14ac:dyDescent="0.25">
      <c r="A5" s="92"/>
      <c r="B5" s="92"/>
      <c r="C5" s="92"/>
      <c r="D5" s="92"/>
      <c r="E5" s="92"/>
      <c r="F5" s="92"/>
      <c r="G5" s="92"/>
      <c r="H5" s="4"/>
      <c r="I5" s="5"/>
    </row>
    <row r="6" spans="1:9" customFormat="1" ht="15.75" x14ac:dyDescent="0.25">
      <c r="A6" s="93" t="s">
        <v>123</v>
      </c>
      <c r="B6" s="93"/>
      <c r="C6" s="93"/>
      <c r="D6" s="93"/>
      <c r="E6" s="93"/>
      <c r="F6" s="93"/>
      <c r="G6" s="93"/>
      <c r="H6" s="23"/>
      <c r="I6" s="23"/>
    </row>
    <row r="7" spans="1:9" x14ac:dyDescent="0.25">
      <c r="A7" s="6" t="s">
        <v>0</v>
      </c>
      <c r="B7" s="6"/>
      <c r="C7" s="6" t="s">
        <v>1</v>
      </c>
      <c r="D7" s="6" t="s">
        <v>2</v>
      </c>
      <c r="E7" s="6" t="s">
        <v>3</v>
      </c>
      <c r="F7" s="6" t="s">
        <v>92</v>
      </c>
      <c r="G7" s="6" t="s">
        <v>93</v>
      </c>
    </row>
    <row r="8" spans="1:9" x14ac:dyDescent="0.25">
      <c r="A8" s="73" t="s">
        <v>4</v>
      </c>
      <c r="B8" s="73"/>
      <c r="C8" s="73"/>
      <c r="D8" s="73"/>
      <c r="E8" s="73"/>
      <c r="F8" s="73"/>
      <c r="G8" s="73"/>
    </row>
    <row r="9" spans="1:9" x14ac:dyDescent="0.25">
      <c r="A9" s="7" t="s">
        <v>5</v>
      </c>
      <c r="B9" s="7"/>
      <c r="C9" s="8" t="s">
        <v>6</v>
      </c>
      <c r="D9" s="9"/>
      <c r="E9" s="9"/>
      <c r="F9" s="9"/>
      <c r="G9" s="9"/>
    </row>
    <row r="10" spans="1:9" ht="30" x14ac:dyDescent="0.25">
      <c r="A10" s="74">
        <v>1</v>
      </c>
      <c r="B10" s="39"/>
      <c r="C10" s="11" t="s">
        <v>7</v>
      </c>
      <c r="D10" s="12"/>
      <c r="E10" s="12"/>
      <c r="F10" s="12"/>
      <c r="G10" s="12"/>
    </row>
    <row r="11" spans="1:9" ht="18" x14ac:dyDescent="0.25">
      <c r="A11" s="74"/>
      <c r="B11" s="39" t="s">
        <v>130</v>
      </c>
      <c r="C11" s="13" t="s">
        <v>8</v>
      </c>
      <c r="D11" s="12" t="s">
        <v>9</v>
      </c>
      <c r="E11" s="12">
        <v>605</v>
      </c>
      <c r="F11" s="12">
        <f>'Ед. Цени'!E11</f>
        <v>5.57</v>
      </c>
      <c r="G11" s="12">
        <f>ROUND(E11*F11,2)</f>
        <v>3369.85</v>
      </c>
    </row>
    <row r="12" spans="1:9" ht="30" x14ac:dyDescent="0.25">
      <c r="A12" s="10">
        <v>2</v>
      </c>
      <c r="B12" s="41" t="s">
        <v>131</v>
      </c>
      <c r="C12" s="11" t="s">
        <v>10</v>
      </c>
      <c r="D12" s="12" t="s">
        <v>9</v>
      </c>
      <c r="E12" s="12">
        <v>181</v>
      </c>
      <c r="F12" s="12">
        <f>'Ед. Цени'!E12</f>
        <v>2.79</v>
      </c>
      <c r="G12" s="12">
        <f t="shared" ref="G12:G56" si="0">ROUND(E12*F12,2)</f>
        <v>504.99</v>
      </c>
    </row>
    <row r="13" spans="1:9" ht="18" x14ac:dyDescent="0.25">
      <c r="A13" s="10">
        <v>3</v>
      </c>
      <c r="B13" s="41" t="s">
        <v>132</v>
      </c>
      <c r="C13" s="13" t="s">
        <v>11</v>
      </c>
      <c r="D13" s="12" t="s">
        <v>12</v>
      </c>
      <c r="E13" s="12">
        <v>752</v>
      </c>
      <c r="F13" s="12">
        <f>'Ед. Цени'!E13</f>
        <v>1.38</v>
      </c>
      <c r="G13" s="12">
        <f t="shared" si="0"/>
        <v>1037.76</v>
      </c>
    </row>
    <row r="14" spans="1:9" ht="60" x14ac:dyDescent="0.25">
      <c r="A14" s="12">
        <v>4</v>
      </c>
      <c r="B14" s="41" t="s">
        <v>133</v>
      </c>
      <c r="C14" s="11" t="s">
        <v>13</v>
      </c>
      <c r="D14" s="12" t="s">
        <v>9</v>
      </c>
      <c r="E14" s="12">
        <v>140</v>
      </c>
      <c r="F14" s="12">
        <f>'Ед. Цени'!E14</f>
        <v>36.6</v>
      </c>
      <c r="G14" s="12">
        <f t="shared" si="0"/>
        <v>5124</v>
      </c>
    </row>
    <row r="15" spans="1:9" ht="30" x14ac:dyDescent="0.25">
      <c r="A15" s="12">
        <v>5</v>
      </c>
      <c r="B15" s="41" t="s">
        <v>134</v>
      </c>
      <c r="C15" s="11" t="s">
        <v>14</v>
      </c>
      <c r="D15" s="12" t="s">
        <v>9</v>
      </c>
      <c r="E15" s="12">
        <v>424</v>
      </c>
      <c r="F15" s="12">
        <f>'Ед. Цени'!E15</f>
        <v>8.8800000000000008</v>
      </c>
      <c r="G15" s="12">
        <f t="shared" si="0"/>
        <v>3765.12</v>
      </c>
    </row>
    <row r="16" spans="1:9" x14ac:dyDescent="0.25">
      <c r="A16" s="12">
        <v>6</v>
      </c>
      <c r="B16" s="41" t="s">
        <v>135</v>
      </c>
      <c r="C16" s="13" t="s">
        <v>15</v>
      </c>
      <c r="D16" s="12" t="s">
        <v>16</v>
      </c>
      <c r="E16" s="12">
        <v>8</v>
      </c>
      <c r="F16" s="12">
        <f>'Ед. Цени'!E16</f>
        <v>17.329999999999998</v>
      </c>
      <c r="G16" s="12">
        <f t="shared" si="0"/>
        <v>138.63999999999999</v>
      </c>
    </row>
    <row r="17" spans="1:7" ht="45" x14ac:dyDescent="0.25">
      <c r="A17" s="12">
        <v>7</v>
      </c>
      <c r="B17" s="41" t="s">
        <v>136</v>
      </c>
      <c r="C17" s="11" t="s">
        <v>17</v>
      </c>
      <c r="D17" s="10" t="s">
        <v>9</v>
      </c>
      <c r="E17" s="10">
        <v>41</v>
      </c>
      <c r="F17" s="12">
        <f>'Ед. Цени'!E17</f>
        <v>33.08</v>
      </c>
      <c r="G17" s="12">
        <f t="shared" si="0"/>
        <v>1356.28</v>
      </c>
    </row>
    <row r="18" spans="1:7" x14ac:dyDescent="0.25">
      <c r="A18" s="7" t="s">
        <v>18</v>
      </c>
      <c r="B18" s="7"/>
      <c r="C18" s="8" t="s">
        <v>19</v>
      </c>
      <c r="D18" s="9"/>
      <c r="E18" s="9"/>
      <c r="F18" s="9"/>
      <c r="G18" s="9"/>
    </row>
    <row r="19" spans="1:7" x14ac:dyDescent="0.25">
      <c r="A19" s="12">
        <v>1</v>
      </c>
      <c r="B19" s="12" t="s">
        <v>137</v>
      </c>
      <c r="C19" s="13" t="s">
        <v>65</v>
      </c>
      <c r="D19" s="12" t="s">
        <v>20</v>
      </c>
      <c r="E19" s="12">
        <v>299</v>
      </c>
      <c r="F19" s="12">
        <f>'Ед. Цени'!E18</f>
        <v>18.440000000000001</v>
      </c>
      <c r="G19" s="12">
        <f t="shared" si="0"/>
        <v>5513.56</v>
      </c>
    </row>
    <row r="20" spans="1:7" x14ac:dyDescent="0.25">
      <c r="A20" s="12">
        <v>2</v>
      </c>
      <c r="B20" s="12" t="s">
        <v>138</v>
      </c>
      <c r="C20" s="13" t="s">
        <v>66</v>
      </c>
      <c r="D20" s="12" t="s">
        <v>20</v>
      </c>
      <c r="E20" s="12">
        <v>119</v>
      </c>
      <c r="F20" s="12">
        <f>'Ед. Цени'!E19</f>
        <v>7.05</v>
      </c>
      <c r="G20" s="12">
        <f t="shared" si="0"/>
        <v>838.95</v>
      </c>
    </row>
    <row r="21" spans="1:7" x14ac:dyDescent="0.25">
      <c r="A21" s="12">
        <v>3</v>
      </c>
      <c r="B21" s="12" t="s">
        <v>139</v>
      </c>
      <c r="C21" s="11" t="s">
        <v>67</v>
      </c>
      <c r="D21" s="12" t="s">
        <v>21</v>
      </c>
      <c r="E21" s="12">
        <v>2</v>
      </c>
      <c r="F21" s="12">
        <f>'Ед. Цени'!E20</f>
        <v>36.21</v>
      </c>
      <c r="G21" s="12">
        <f t="shared" si="0"/>
        <v>72.42</v>
      </c>
    </row>
    <row r="22" spans="1:7" x14ac:dyDescent="0.25">
      <c r="A22" s="12">
        <v>4</v>
      </c>
      <c r="B22" s="12" t="s">
        <v>140</v>
      </c>
      <c r="C22" s="11" t="s">
        <v>68</v>
      </c>
      <c r="D22" s="12" t="s">
        <v>21</v>
      </c>
      <c r="E22" s="12">
        <v>1</v>
      </c>
      <c r="F22" s="12">
        <f>'Ед. Цени'!E21</f>
        <v>26.26</v>
      </c>
      <c r="G22" s="12">
        <f t="shared" si="0"/>
        <v>26.26</v>
      </c>
    </row>
    <row r="23" spans="1:7" x14ac:dyDescent="0.25">
      <c r="A23" s="12">
        <v>5</v>
      </c>
      <c r="B23" s="12" t="s">
        <v>141</v>
      </c>
      <c r="C23" s="14" t="s">
        <v>69</v>
      </c>
      <c r="D23" s="15" t="s">
        <v>21</v>
      </c>
      <c r="E23" s="15">
        <v>3</v>
      </c>
      <c r="F23" s="12">
        <f>'Ед. Цени'!E22</f>
        <v>48.31</v>
      </c>
      <c r="G23" s="12">
        <f t="shared" si="0"/>
        <v>144.93</v>
      </c>
    </row>
    <row r="24" spans="1:7" x14ac:dyDescent="0.25">
      <c r="A24" s="12">
        <v>6</v>
      </c>
      <c r="B24" s="12" t="s">
        <v>142</v>
      </c>
      <c r="C24" s="11" t="s">
        <v>70</v>
      </c>
      <c r="D24" s="12" t="s">
        <v>21</v>
      </c>
      <c r="E24" s="12">
        <v>2</v>
      </c>
      <c r="F24" s="12">
        <f>'Ед. Цени'!E23</f>
        <v>50.73</v>
      </c>
      <c r="G24" s="12">
        <f t="shared" si="0"/>
        <v>101.46</v>
      </c>
    </row>
    <row r="25" spans="1:7" x14ac:dyDescent="0.25">
      <c r="A25" s="12">
        <v>7</v>
      </c>
      <c r="B25" s="12" t="s">
        <v>143</v>
      </c>
      <c r="C25" s="11" t="s">
        <v>71</v>
      </c>
      <c r="D25" s="12" t="s">
        <v>21</v>
      </c>
      <c r="E25" s="12">
        <v>1</v>
      </c>
      <c r="F25" s="12">
        <f>'Ед. Цени'!E24</f>
        <v>26.86</v>
      </c>
      <c r="G25" s="12">
        <f t="shared" si="0"/>
        <v>26.86</v>
      </c>
    </row>
    <row r="26" spans="1:7" x14ac:dyDescent="0.25">
      <c r="A26" s="12">
        <v>8</v>
      </c>
      <c r="B26" s="12" t="s">
        <v>144</v>
      </c>
      <c r="C26" s="11" t="s">
        <v>72</v>
      </c>
      <c r="D26" s="12" t="s">
        <v>21</v>
      </c>
      <c r="E26" s="12">
        <v>1</v>
      </c>
      <c r="F26" s="12">
        <f>'Ед. Цени'!E25</f>
        <v>32.58</v>
      </c>
      <c r="G26" s="12">
        <f t="shared" si="0"/>
        <v>32.58</v>
      </c>
    </row>
    <row r="27" spans="1:7" x14ac:dyDescent="0.25">
      <c r="A27" s="12">
        <v>9</v>
      </c>
      <c r="B27" s="12" t="s">
        <v>145</v>
      </c>
      <c r="C27" s="11" t="s">
        <v>73</v>
      </c>
      <c r="D27" s="12" t="s">
        <v>21</v>
      </c>
      <c r="E27" s="12">
        <v>1</v>
      </c>
      <c r="F27" s="12">
        <f>'Ед. Цени'!E26</f>
        <v>27.47</v>
      </c>
      <c r="G27" s="12">
        <f t="shared" si="0"/>
        <v>27.47</v>
      </c>
    </row>
    <row r="28" spans="1:7" x14ac:dyDescent="0.25">
      <c r="A28" s="12">
        <v>10</v>
      </c>
      <c r="B28" s="12" t="s">
        <v>146</v>
      </c>
      <c r="C28" s="11" t="s">
        <v>74</v>
      </c>
      <c r="D28" s="12" t="s">
        <v>21</v>
      </c>
      <c r="E28" s="12">
        <v>1</v>
      </c>
      <c r="F28" s="12">
        <f>'Ед. Цени'!E27</f>
        <v>23.84</v>
      </c>
      <c r="G28" s="12">
        <f t="shared" si="0"/>
        <v>23.84</v>
      </c>
    </row>
    <row r="29" spans="1:7" ht="30" x14ac:dyDescent="0.25">
      <c r="A29" s="12">
        <v>11</v>
      </c>
      <c r="B29" s="12" t="s">
        <v>147</v>
      </c>
      <c r="C29" s="11" t="s">
        <v>22</v>
      </c>
      <c r="D29" s="12" t="s">
        <v>21</v>
      </c>
      <c r="E29" s="12">
        <v>1</v>
      </c>
      <c r="F29" s="12">
        <f>'Ед. Цени'!E28</f>
        <v>138.6</v>
      </c>
      <c r="G29" s="12">
        <f t="shared" si="0"/>
        <v>138.6</v>
      </c>
    </row>
    <row r="30" spans="1:7" ht="30" x14ac:dyDescent="0.25">
      <c r="A30" s="12">
        <v>12</v>
      </c>
      <c r="B30" s="12" t="s">
        <v>148</v>
      </c>
      <c r="C30" s="11" t="s">
        <v>23</v>
      </c>
      <c r="D30" s="12" t="s">
        <v>21</v>
      </c>
      <c r="E30" s="12">
        <v>2</v>
      </c>
      <c r="F30" s="12">
        <f>'Ед. Цени'!E29</f>
        <v>150.69999999999999</v>
      </c>
      <c r="G30" s="12">
        <f t="shared" si="0"/>
        <v>301.39999999999998</v>
      </c>
    </row>
    <row r="31" spans="1:7" x14ac:dyDescent="0.25">
      <c r="A31" s="12">
        <v>13</v>
      </c>
      <c r="B31" s="12" t="s">
        <v>149</v>
      </c>
      <c r="C31" s="11" t="s">
        <v>24</v>
      </c>
      <c r="D31" s="12" t="s">
        <v>21</v>
      </c>
      <c r="E31" s="12">
        <v>1</v>
      </c>
      <c r="F31" s="12">
        <f>'Ед. Цени'!E30</f>
        <v>239.8</v>
      </c>
      <c r="G31" s="12">
        <f t="shared" si="0"/>
        <v>239.8</v>
      </c>
    </row>
    <row r="32" spans="1:7" x14ac:dyDescent="0.25">
      <c r="A32" s="12">
        <v>14</v>
      </c>
      <c r="B32" s="12" t="s">
        <v>150</v>
      </c>
      <c r="C32" s="11" t="s">
        <v>25</v>
      </c>
      <c r="D32" s="12" t="s">
        <v>21</v>
      </c>
      <c r="E32" s="12">
        <v>2</v>
      </c>
      <c r="F32" s="12">
        <f>'Ед. Цени'!E31</f>
        <v>324.5</v>
      </c>
      <c r="G32" s="12">
        <f t="shared" si="0"/>
        <v>649</v>
      </c>
    </row>
    <row r="33" spans="1:7" ht="30" x14ac:dyDescent="0.25">
      <c r="A33" s="12">
        <v>15</v>
      </c>
      <c r="B33" s="12" t="s">
        <v>151</v>
      </c>
      <c r="C33" s="11" t="s">
        <v>26</v>
      </c>
      <c r="D33" s="12" t="s">
        <v>21</v>
      </c>
      <c r="E33" s="12">
        <v>1</v>
      </c>
      <c r="F33" s="12">
        <f>'Ед. Цени'!E32</f>
        <v>25.77</v>
      </c>
      <c r="G33" s="12">
        <f t="shared" si="0"/>
        <v>25.77</v>
      </c>
    </row>
    <row r="34" spans="1:7" ht="30" x14ac:dyDescent="0.25">
      <c r="A34" s="12">
        <v>16</v>
      </c>
      <c r="B34" s="12" t="s">
        <v>152</v>
      </c>
      <c r="C34" s="11" t="s">
        <v>27</v>
      </c>
      <c r="D34" s="12" t="s">
        <v>21</v>
      </c>
      <c r="E34" s="12">
        <v>2</v>
      </c>
      <c r="F34" s="12">
        <f>'Ед. Цени'!E33</f>
        <v>34.49</v>
      </c>
      <c r="G34" s="12">
        <f t="shared" si="0"/>
        <v>68.98</v>
      </c>
    </row>
    <row r="35" spans="1:7" x14ac:dyDescent="0.25">
      <c r="A35" s="12">
        <v>17</v>
      </c>
      <c r="B35" s="12" t="s">
        <v>153</v>
      </c>
      <c r="C35" s="11" t="s">
        <v>28</v>
      </c>
      <c r="D35" s="12" t="s">
        <v>21</v>
      </c>
      <c r="E35" s="12">
        <v>7</v>
      </c>
      <c r="F35" s="12">
        <f>'Ед. Цени'!E34</f>
        <v>20.92</v>
      </c>
      <c r="G35" s="12">
        <f t="shared" si="0"/>
        <v>146.44</v>
      </c>
    </row>
    <row r="36" spans="1:7" x14ac:dyDescent="0.25">
      <c r="A36" s="12">
        <v>18</v>
      </c>
      <c r="B36" s="12" t="s">
        <v>154</v>
      </c>
      <c r="C36" s="11" t="s">
        <v>29</v>
      </c>
      <c r="D36" s="12" t="s">
        <v>21</v>
      </c>
      <c r="E36" s="12">
        <v>1</v>
      </c>
      <c r="F36" s="12">
        <f>'Ед. Цени'!E35</f>
        <v>101.09</v>
      </c>
      <c r="G36" s="12">
        <f t="shared" si="0"/>
        <v>101.09</v>
      </c>
    </row>
    <row r="37" spans="1:7" x14ac:dyDescent="0.25">
      <c r="A37" s="12">
        <v>19</v>
      </c>
      <c r="B37" s="12" t="s">
        <v>155</v>
      </c>
      <c r="C37" s="11" t="s">
        <v>75</v>
      </c>
      <c r="D37" s="12" t="s">
        <v>21</v>
      </c>
      <c r="E37" s="12">
        <v>1</v>
      </c>
      <c r="F37" s="12">
        <f>'Ед. Цени'!E36</f>
        <v>134.97</v>
      </c>
      <c r="G37" s="12">
        <f t="shared" si="0"/>
        <v>134.97</v>
      </c>
    </row>
    <row r="38" spans="1:7" ht="30" x14ac:dyDescent="0.25">
      <c r="A38" s="12">
        <v>20</v>
      </c>
      <c r="B38" s="12" t="s">
        <v>156</v>
      </c>
      <c r="C38" s="11" t="s">
        <v>76</v>
      </c>
      <c r="D38" s="12" t="s">
        <v>21</v>
      </c>
      <c r="E38" s="12">
        <v>2</v>
      </c>
      <c r="F38" s="12">
        <f>'Ед. Цени'!E37</f>
        <v>32.450000000000003</v>
      </c>
      <c r="G38" s="12">
        <f t="shared" si="0"/>
        <v>64.900000000000006</v>
      </c>
    </row>
    <row r="39" spans="1:7" x14ac:dyDescent="0.25">
      <c r="A39" s="16">
        <v>21</v>
      </c>
      <c r="B39" s="16"/>
      <c r="C39" s="17" t="s">
        <v>77</v>
      </c>
      <c r="D39" s="16" t="s">
        <v>21</v>
      </c>
      <c r="E39" s="16">
        <v>4</v>
      </c>
      <c r="F39" s="16"/>
      <c r="G39" s="16"/>
    </row>
    <row r="40" spans="1:7" ht="31.5" x14ac:dyDescent="0.25">
      <c r="A40" s="2" t="s">
        <v>91</v>
      </c>
      <c r="B40" s="2" t="s">
        <v>157</v>
      </c>
      <c r="C40" s="3" t="s">
        <v>85</v>
      </c>
      <c r="D40" s="2" t="s">
        <v>20</v>
      </c>
      <c r="E40" s="2">
        <f t="shared" ref="E40" si="1">E39*6</f>
        <v>24</v>
      </c>
      <c r="F40" s="2">
        <f>'Ед. Цени'!E38</f>
        <v>5.29</v>
      </c>
      <c r="G40" s="12">
        <f t="shared" si="0"/>
        <v>126.96</v>
      </c>
    </row>
    <row r="41" spans="1:7" ht="31.5" x14ac:dyDescent="0.25">
      <c r="A41" s="2" t="s">
        <v>91</v>
      </c>
      <c r="B41" s="2" t="s">
        <v>158</v>
      </c>
      <c r="C41" s="3" t="s">
        <v>86</v>
      </c>
      <c r="D41" s="2" t="s">
        <v>21</v>
      </c>
      <c r="E41" s="2">
        <f t="shared" ref="E41" si="2">E39*1</f>
        <v>4</v>
      </c>
      <c r="F41" s="2">
        <f>'Ед. Цени'!E39</f>
        <v>43.11</v>
      </c>
      <c r="G41" s="12">
        <f t="shared" si="0"/>
        <v>172.44</v>
      </c>
    </row>
    <row r="42" spans="1:7" ht="31.5" x14ac:dyDescent="0.25">
      <c r="A42" s="2" t="s">
        <v>91</v>
      </c>
      <c r="B42" s="2" t="s">
        <v>159</v>
      </c>
      <c r="C42" s="3" t="s">
        <v>87</v>
      </c>
      <c r="D42" s="2" t="s">
        <v>21</v>
      </c>
      <c r="E42" s="2">
        <f t="shared" ref="E42" si="3">E39*2</f>
        <v>8</v>
      </c>
      <c r="F42" s="2">
        <f>'Ед. Цени'!E40</f>
        <v>24.34</v>
      </c>
      <c r="G42" s="12">
        <f t="shared" si="0"/>
        <v>194.72</v>
      </c>
    </row>
    <row r="43" spans="1:7" ht="15.75" x14ac:dyDescent="0.25">
      <c r="A43" s="2" t="s">
        <v>91</v>
      </c>
      <c r="B43" s="2" t="s">
        <v>160</v>
      </c>
      <c r="C43" s="3" t="s">
        <v>88</v>
      </c>
      <c r="D43" s="2" t="s">
        <v>21</v>
      </c>
      <c r="E43" s="2">
        <f t="shared" ref="E43" si="4">E39*1</f>
        <v>4</v>
      </c>
      <c r="F43" s="2">
        <f>'Ед. Цени'!E41</f>
        <v>128.91999999999999</v>
      </c>
      <c r="G43" s="12">
        <f t="shared" si="0"/>
        <v>515.67999999999995</v>
      </c>
    </row>
    <row r="44" spans="1:7" ht="31.5" x14ac:dyDescent="0.25">
      <c r="A44" s="2" t="s">
        <v>91</v>
      </c>
      <c r="B44" s="2" t="s">
        <v>161</v>
      </c>
      <c r="C44" s="3" t="s">
        <v>89</v>
      </c>
      <c r="D44" s="2" t="s">
        <v>21</v>
      </c>
      <c r="E44" s="2">
        <f t="shared" ref="E44" si="5">E39*1</f>
        <v>4</v>
      </c>
      <c r="F44" s="2">
        <f>'Ед. Цени'!E42</f>
        <v>25.8</v>
      </c>
      <c r="G44" s="12">
        <f t="shared" si="0"/>
        <v>103.2</v>
      </c>
    </row>
    <row r="45" spans="1:7" x14ac:dyDescent="0.25">
      <c r="A45" s="16">
        <v>22</v>
      </c>
      <c r="B45" s="16"/>
      <c r="C45" s="17" t="s">
        <v>78</v>
      </c>
      <c r="D45" s="16" t="s">
        <v>21</v>
      </c>
      <c r="E45" s="16">
        <v>10</v>
      </c>
      <c r="F45" s="16"/>
      <c r="G45" s="16"/>
    </row>
    <row r="46" spans="1:7" ht="31.5" x14ac:dyDescent="0.25">
      <c r="A46" s="2" t="s">
        <v>91</v>
      </c>
      <c r="B46" s="2" t="s">
        <v>157</v>
      </c>
      <c r="C46" s="3" t="s">
        <v>85</v>
      </c>
      <c r="D46" s="2" t="s">
        <v>20</v>
      </c>
      <c r="E46" s="2">
        <f t="shared" ref="E46" si="6">E45*6</f>
        <v>60</v>
      </c>
      <c r="F46" s="2">
        <f>'Ед. Цени'!E38</f>
        <v>5.29</v>
      </c>
      <c r="G46" s="12">
        <f t="shared" si="0"/>
        <v>317.39999999999998</v>
      </c>
    </row>
    <row r="47" spans="1:7" ht="31.5" x14ac:dyDescent="0.25">
      <c r="A47" s="2" t="s">
        <v>91</v>
      </c>
      <c r="B47" s="2" t="s">
        <v>162</v>
      </c>
      <c r="C47" s="3" t="s">
        <v>90</v>
      </c>
      <c r="D47" s="2" t="s">
        <v>21</v>
      </c>
      <c r="E47" s="2">
        <f t="shared" ref="E47" si="7">E45*1</f>
        <v>10</v>
      </c>
      <c r="F47" s="2">
        <f>'Ед. Цени'!E43</f>
        <v>64.92</v>
      </c>
      <c r="G47" s="12">
        <f t="shared" si="0"/>
        <v>649.20000000000005</v>
      </c>
    </row>
    <row r="48" spans="1:7" ht="31.5" x14ac:dyDescent="0.25">
      <c r="A48" s="2" t="s">
        <v>91</v>
      </c>
      <c r="B48" s="2" t="s">
        <v>159</v>
      </c>
      <c r="C48" s="3" t="s">
        <v>87</v>
      </c>
      <c r="D48" s="2" t="s">
        <v>21</v>
      </c>
      <c r="E48" s="2">
        <f t="shared" ref="E48" si="8">E45*2</f>
        <v>20</v>
      </c>
      <c r="F48" s="2">
        <f>'Ед. Цени'!E40</f>
        <v>24.34</v>
      </c>
      <c r="G48" s="12">
        <f t="shared" si="0"/>
        <v>486.8</v>
      </c>
    </row>
    <row r="49" spans="1:7" ht="15.75" x14ac:dyDescent="0.25">
      <c r="A49" s="2" t="s">
        <v>91</v>
      </c>
      <c r="B49" s="2" t="s">
        <v>160</v>
      </c>
      <c r="C49" s="3" t="s">
        <v>88</v>
      </c>
      <c r="D49" s="2" t="s">
        <v>21</v>
      </c>
      <c r="E49" s="2">
        <f t="shared" ref="E49" si="9">E45*1</f>
        <v>10</v>
      </c>
      <c r="F49" s="2">
        <f>'Ед. Цени'!E41</f>
        <v>128.91999999999999</v>
      </c>
      <c r="G49" s="12">
        <f t="shared" si="0"/>
        <v>1289.2</v>
      </c>
    </row>
    <row r="50" spans="1:7" ht="31.5" x14ac:dyDescent="0.25">
      <c r="A50" s="2" t="s">
        <v>91</v>
      </c>
      <c r="B50" s="2" t="s">
        <v>161</v>
      </c>
      <c r="C50" s="3" t="s">
        <v>89</v>
      </c>
      <c r="D50" s="2" t="s">
        <v>21</v>
      </c>
      <c r="E50" s="2">
        <f t="shared" ref="E50" si="10">E45*1</f>
        <v>10</v>
      </c>
      <c r="F50" s="2">
        <f>'Ед. Цени'!E42</f>
        <v>25.8</v>
      </c>
      <c r="G50" s="12">
        <f t="shared" si="0"/>
        <v>258</v>
      </c>
    </row>
    <row r="51" spans="1:7" x14ac:dyDescent="0.25">
      <c r="A51" s="12">
        <v>23</v>
      </c>
      <c r="B51" s="12" t="s">
        <v>163</v>
      </c>
      <c r="C51" s="13" t="s">
        <v>30</v>
      </c>
      <c r="D51" s="12" t="s">
        <v>20</v>
      </c>
      <c r="E51" s="12">
        <v>418</v>
      </c>
      <c r="F51" s="12">
        <f>'Ед. Цени'!E44</f>
        <v>1.5</v>
      </c>
      <c r="G51" s="12">
        <f t="shared" si="0"/>
        <v>627</v>
      </c>
    </row>
    <row r="52" spans="1:7" x14ac:dyDescent="0.25">
      <c r="A52" s="12">
        <v>24</v>
      </c>
      <c r="B52" s="12" t="s">
        <v>164</v>
      </c>
      <c r="C52" s="13" t="s">
        <v>31</v>
      </c>
      <c r="D52" s="12" t="s">
        <v>20</v>
      </c>
      <c r="E52" s="12">
        <v>418</v>
      </c>
      <c r="F52" s="12">
        <f>'Ед. Цени'!E45</f>
        <v>0.9</v>
      </c>
      <c r="G52" s="12">
        <f t="shared" si="0"/>
        <v>376.2</v>
      </c>
    </row>
    <row r="53" spans="1:7" x14ac:dyDescent="0.25">
      <c r="A53" s="12">
        <v>25</v>
      </c>
      <c r="B53" s="12" t="s">
        <v>165</v>
      </c>
      <c r="C53" s="13" t="s">
        <v>32</v>
      </c>
      <c r="D53" s="12" t="s">
        <v>20</v>
      </c>
      <c r="E53" s="12">
        <v>418</v>
      </c>
      <c r="F53" s="12">
        <f>'Ед. Цени'!E46</f>
        <v>2.23</v>
      </c>
      <c r="G53" s="12">
        <f t="shared" si="0"/>
        <v>932.14</v>
      </c>
    </row>
    <row r="54" spans="1:7" x14ac:dyDescent="0.25">
      <c r="A54" s="12">
        <v>26</v>
      </c>
      <c r="B54" s="12" t="s">
        <v>166</v>
      </c>
      <c r="C54" s="13" t="s">
        <v>33</v>
      </c>
      <c r="D54" s="12" t="s">
        <v>20</v>
      </c>
      <c r="E54" s="12">
        <v>418</v>
      </c>
      <c r="F54" s="12">
        <f>'Ед. Цени'!E47</f>
        <v>1.75</v>
      </c>
      <c r="G54" s="12">
        <f t="shared" si="0"/>
        <v>731.5</v>
      </c>
    </row>
    <row r="55" spans="1:7" x14ac:dyDescent="0.25">
      <c r="A55" s="12">
        <v>27</v>
      </c>
      <c r="B55" s="12" t="s">
        <v>167</v>
      </c>
      <c r="C55" s="13" t="s">
        <v>79</v>
      </c>
      <c r="D55" s="12" t="s">
        <v>21</v>
      </c>
      <c r="E55" s="12">
        <v>20</v>
      </c>
      <c r="F55" s="12">
        <f>'Ед. Цени'!E48</f>
        <v>20.149999999999999</v>
      </c>
      <c r="G55" s="12">
        <f t="shared" si="0"/>
        <v>403</v>
      </c>
    </row>
    <row r="56" spans="1:7" x14ac:dyDescent="0.25">
      <c r="A56" s="12">
        <v>28</v>
      </c>
      <c r="B56" s="12" t="s">
        <v>168</v>
      </c>
      <c r="C56" s="13" t="s">
        <v>80</v>
      </c>
      <c r="D56" s="12" t="s">
        <v>21</v>
      </c>
      <c r="E56" s="12">
        <v>38</v>
      </c>
      <c r="F56" s="12">
        <f>'Ед. Цени'!E49</f>
        <v>24.99</v>
      </c>
      <c r="G56" s="12">
        <f t="shared" si="0"/>
        <v>949.62</v>
      </c>
    </row>
    <row r="57" spans="1:7" ht="18.75" customHeight="1" x14ac:dyDescent="0.25">
      <c r="A57" s="24" t="s">
        <v>5</v>
      </c>
      <c r="B57" s="42"/>
      <c r="C57" s="76" t="s">
        <v>95</v>
      </c>
      <c r="D57" s="77"/>
      <c r="E57" s="77"/>
      <c r="F57" s="78"/>
      <c r="G57" s="24">
        <f>SUM(G10:G56)</f>
        <v>32108.980000000003</v>
      </c>
    </row>
    <row r="58" spans="1:7" x14ac:dyDescent="0.25">
      <c r="A58" s="73" t="s">
        <v>34</v>
      </c>
      <c r="B58" s="73"/>
      <c r="C58" s="73"/>
      <c r="D58" s="73"/>
      <c r="E58" s="73"/>
      <c r="F58" s="73"/>
      <c r="G58" s="73"/>
    </row>
    <row r="59" spans="1:7" x14ac:dyDescent="0.25">
      <c r="A59" s="7" t="s">
        <v>5</v>
      </c>
      <c r="B59" s="7"/>
      <c r="C59" s="8" t="s">
        <v>6</v>
      </c>
      <c r="D59" s="9"/>
      <c r="E59" s="9"/>
      <c r="F59" s="9"/>
      <c r="G59" s="9"/>
    </row>
    <row r="60" spans="1:7" ht="30" x14ac:dyDescent="0.25">
      <c r="A60" s="74">
        <v>1</v>
      </c>
      <c r="B60" s="39"/>
      <c r="C60" s="11" t="s">
        <v>7</v>
      </c>
      <c r="D60" s="12"/>
      <c r="E60" s="12"/>
      <c r="F60" s="12"/>
      <c r="G60" s="12"/>
    </row>
    <row r="61" spans="1:7" ht="18" x14ac:dyDescent="0.25">
      <c r="A61" s="74"/>
      <c r="B61" s="41" t="s">
        <v>130</v>
      </c>
      <c r="C61" s="13" t="s">
        <v>8</v>
      </c>
      <c r="D61" s="12" t="s">
        <v>9</v>
      </c>
      <c r="E61" s="12">
        <v>223</v>
      </c>
      <c r="F61" s="12">
        <f>'Ед. Цени'!E11</f>
        <v>5.57</v>
      </c>
      <c r="G61" s="12">
        <f t="shared" ref="G61:G79" si="11">ROUND(E61*F61,2)</f>
        <v>1242.1099999999999</v>
      </c>
    </row>
    <row r="62" spans="1:7" ht="30" x14ac:dyDescent="0.25">
      <c r="A62" s="10">
        <v>2</v>
      </c>
      <c r="B62" s="41" t="s">
        <v>131</v>
      </c>
      <c r="C62" s="11" t="s">
        <v>10</v>
      </c>
      <c r="D62" s="12" t="s">
        <v>9</v>
      </c>
      <c r="E62" s="12">
        <v>51</v>
      </c>
      <c r="F62" s="12">
        <f>'Ед. Цени'!E12</f>
        <v>2.79</v>
      </c>
      <c r="G62" s="12">
        <f t="shared" si="11"/>
        <v>142.29</v>
      </c>
    </row>
    <row r="63" spans="1:7" ht="18" x14ac:dyDescent="0.25">
      <c r="A63" s="10">
        <v>3</v>
      </c>
      <c r="B63" s="41" t="s">
        <v>132</v>
      </c>
      <c r="C63" s="13" t="s">
        <v>11</v>
      </c>
      <c r="D63" s="12" t="s">
        <v>12</v>
      </c>
      <c r="E63" s="12">
        <v>270</v>
      </c>
      <c r="F63" s="12">
        <f>'Ед. Цени'!E13</f>
        <v>1.38</v>
      </c>
      <c r="G63" s="12">
        <f t="shared" si="11"/>
        <v>372.6</v>
      </c>
    </row>
    <row r="64" spans="1:7" ht="60" x14ac:dyDescent="0.25">
      <c r="A64" s="10">
        <v>4</v>
      </c>
      <c r="B64" s="39" t="s">
        <v>169</v>
      </c>
      <c r="C64" s="11" t="s">
        <v>35</v>
      </c>
      <c r="D64" s="12" t="s">
        <v>9</v>
      </c>
      <c r="E64" s="12">
        <v>51</v>
      </c>
      <c r="F64" s="12">
        <f>'Ед. Цени'!E50</f>
        <v>36.6</v>
      </c>
      <c r="G64" s="12">
        <f t="shared" si="11"/>
        <v>1866.6</v>
      </c>
    </row>
    <row r="65" spans="1:7" ht="30" x14ac:dyDescent="0.25">
      <c r="A65" s="10">
        <v>5</v>
      </c>
      <c r="B65" s="41" t="s">
        <v>134</v>
      </c>
      <c r="C65" s="11" t="s">
        <v>14</v>
      </c>
      <c r="D65" s="12" t="s">
        <v>9</v>
      </c>
      <c r="E65" s="12">
        <v>172</v>
      </c>
      <c r="F65" s="12">
        <f>'Ед. Цени'!E15</f>
        <v>8.8800000000000008</v>
      </c>
      <c r="G65" s="12">
        <f t="shared" si="11"/>
        <v>1527.36</v>
      </c>
    </row>
    <row r="66" spans="1:7" x14ac:dyDescent="0.25">
      <c r="A66" s="10">
        <v>6</v>
      </c>
      <c r="B66" s="41" t="s">
        <v>135</v>
      </c>
      <c r="C66" s="13" t="s">
        <v>15</v>
      </c>
      <c r="D66" s="12" t="s">
        <v>16</v>
      </c>
      <c r="E66" s="12">
        <v>3</v>
      </c>
      <c r="F66" s="12">
        <f>'Ед. Цени'!E16</f>
        <v>17.329999999999998</v>
      </c>
      <c r="G66" s="12">
        <f t="shared" si="11"/>
        <v>51.99</v>
      </c>
    </row>
    <row r="67" spans="1:7" x14ac:dyDescent="0.25">
      <c r="A67" s="7" t="s">
        <v>18</v>
      </c>
      <c r="B67" s="7"/>
      <c r="C67" s="8" t="s">
        <v>19</v>
      </c>
      <c r="D67" s="9"/>
      <c r="E67" s="9"/>
      <c r="F67" s="9"/>
      <c r="G67" s="9"/>
    </row>
    <row r="68" spans="1:7" x14ac:dyDescent="0.25">
      <c r="A68" s="12">
        <v>1</v>
      </c>
      <c r="B68" s="12" t="s">
        <v>137</v>
      </c>
      <c r="C68" s="13" t="s">
        <v>65</v>
      </c>
      <c r="D68" s="12" t="s">
        <v>20</v>
      </c>
      <c r="E68" s="12">
        <v>150</v>
      </c>
      <c r="F68" s="12">
        <f>'Ед. Цени'!E18</f>
        <v>18.440000000000001</v>
      </c>
      <c r="G68" s="12">
        <f t="shared" si="11"/>
        <v>2766</v>
      </c>
    </row>
    <row r="69" spans="1:7" x14ac:dyDescent="0.25">
      <c r="A69" s="16">
        <v>2</v>
      </c>
      <c r="B69" s="16"/>
      <c r="C69" s="17" t="s">
        <v>78</v>
      </c>
      <c r="D69" s="16" t="s">
        <v>21</v>
      </c>
      <c r="E69" s="16">
        <v>7</v>
      </c>
      <c r="F69" s="16"/>
      <c r="G69" s="16"/>
    </row>
    <row r="70" spans="1:7" ht="31.5" x14ac:dyDescent="0.25">
      <c r="A70" s="2" t="s">
        <v>91</v>
      </c>
      <c r="B70" s="2" t="s">
        <v>157</v>
      </c>
      <c r="C70" s="3" t="s">
        <v>85</v>
      </c>
      <c r="D70" s="2" t="s">
        <v>20</v>
      </c>
      <c r="E70" s="2">
        <f t="shared" ref="E70" si="12">E69*6</f>
        <v>42</v>
      </c>
      <c r="F70" s="2">
        <f>'Ед. Цени'!E38</f>
        <v>5.29</v>
      </c>
      <c r="G70" s="12">
        <f t="shared" si="11"/>
        <v>222.18</v>
      </c>
    </row>
    <row r="71" spans="1:7" ht="31.5" x14ac:dyDescent="0.25">
      <c r="A71" s="2" t="s">
        <v>91</v>
      </c>
      <c r="B71" s="2" t="s">
        <v>162</v>
      </c>
      <c r="C71" s="3" t="s">
        <v>90</v>
      </c>
      <c r="D71" s="2" t="s">
        <v>21</v>
      </c>
      <c r="E71" s="2">
        <f t="shared" ref="E71" si="13">E69*1</f>
        <v>7</v>
      </c>
      <c r="F71" s="2">
        <f>'Ед. Цени'!E43</f>
        <v>64.92</v>
      </c>
      <c r="G71" s="12">
        <f t="shared" si="11"/>
        <v>454.44</v>
      </c>
    </row>
    <row r="72" spans="1:7" ht="31.5" x14ac:dyDescent="0.25">
      <c r="A72" s="2" t="s">
        <v>91</v>
      </c>
      <c r="B72" s="2" t="s">
        <v>159</v>
      </c>
      <c r="C72" s="3" t="s">
        <v>87</v>
      </c>
      <c r="D72" s="2" t="s">
        <v>21</v>
      </c>
      <c r="E72" s="2">
        <f t="shared" ref="E72" si="14">E69*2</f>
        <v>14</v>
      </c>
      <c r="F72" s="2">
        <f>'Ед. Цени'!E40</f>
        <v>24.34</v>
      </c>
      <c r="G72" s="12">
        <f t="shared" si="11"/>
        <v>340.76</v>
      </c>
    </row>
    <row r="73" spans="1:7" ht="15.75" x14ac:dyDescent="0.25">
      <c r="A73" s="2" t="s">
        <v>91</v>
      </c>
      <c r="B73" s="2" t="s">
        <v>160</v>
      </c>
      <c r="C73" s="3" t="s">
        <v>88</v>
      </c>
      <c r="D73" s="2" t="s">
        <v>21</v>
      </c>
      <c r="E73" s="2">
        <f t="shared" ref="E73" si="15">E69*1</f>
        <v>7</v>
      </c>
      <c r="F73" s="2">
        <f>'Ед. Цени'!E41</f>
        <v>128.91999999999999</v>
      </c>
      <c r="G73" s="12">
        <f t="shared" si="11"/>
        <v>902.44</v>
      </c>
    </row>
    <row r="74" spans="1:7" ht="31.5" x14ac:dyDescent="0.25">
      <c r="A74" s="2" t="s">
        <v>91</v>
      </c>
      <c r="B74" s="2" t="s">
        <v>161</v>
      </c>
      <c r="C74" s="3" t="s">
        <v>89</v>
      </c>
      <c r="D74" s="2" t="s">
        <v>21</v>
      </c>
      <c r="E74" s="2">
        <f t="shared" ref="E74" si="16">E69*1</f>
        <v>7</v>
      </c>
      <c r="F74" s="2">
        <f>'Ед. Цени'!E42</f>
        <v>25.8</v>
      </c>
      <c r="G74" s="12">
        <f t="shared" si="11"/>
        <v>180.6</v>
      </c>
    </row>
    <row r="75" spans="1:7" x14ac:dyDescent="0.25">
      <c r="A75" s="12">
        <v>3</v>
      </c>
      <c r="B75" s="12" t="s">
        <v>163</v>
      </c>
      <c r="C75" s="13" t="s">
        <v>30</v>
      </c>
      <c r="D75" s="12" t="s">
        <v>20</v>
      </c>
      <c r="E75" s="12">
        <v>150</v>
      </c>
      <c r="F75" s="12">
        <f>'Ед. Цени'!E44</f>
        <v>1.5</v>
      </c>
      <c r="G75" s="12">
        <f t="shared" si="11"/>
        <v>225</v>
      </c>
    </row>
    <row r="76" spans="1:7" x14ac:dyDescent="0.25">
      <c r="A76" s="12">
        <v>4</v>
      </c>
      <c r="B76" s="12" t="s">
        <v>164</v>
      </c>
      <c r="C76" s="13" t="s">
        <v>31</v>
      </c>
      <c r="D76" s="12" t="s">
        <v>20</v>
      </c>
      <c r="E76" s="12">
        <v>150</v>
      </c>
      <c r="F76" s="12">
        <f>'Ед. Цени'!E45</f>
        <v>0.9</v>
      </c>
      <c r="G76" s="12">
        <f t="shared" si="11"/>
        <v>135</v>
      </c>
    </row>
    <row r="77" spans="1:7" x14ac:dyDescent="0.25">
      <c r="A77" s="12">
        <v>5</v>
      </c>
      <c r="B77" s="12" t="s">
        <v>165</v>
      </c>
      <c r="C77" s="13" t="s">
        <v>32</v>
      </c>
      <c r="D77" s="12" t="s">
        <v>20</v>
      </c>
      <c r="E77" s="12">
        <v>150</v>
      </c>
      <c r="F77" s="12">
        <f>'Ед. Цени'!E46</f>
        <v>2.23</v>
      </c>
      <c r="G77" s="12">
        <f t="shared" si="11"/>
        <v>334.5</v>
      </c>
    </row>
    <row r="78" spans="1:7" x14ac:dyDescent="0.25">
      <c r="A78" s="12">
        <v>6</v>
      </c>
      <c r="B78" s="12" t="s">
        <v>166</v>
      </c>
      <c r="C78" s="13" t="s">
        <v>33</v>
      </c>
      <c r="D78" s="12" t="s">
        <v>20</v>
      </c>
      <c r="E78" s="12">
        <v>150</v>
      </c>
      <c r="F78" s="12">
        <f>'Ед. Цени'!E47</f>
        <v>1.75</v>
      </c>
      <c r="G78" s="12">
        <f t="shared" si="11"/>
        <v>262.5</v>
      </c>
    </row>
    <row r="79" spans="1:7" x14ac:dyDescent="0.25">
      <c r="A79" s="12">
        <v>7</v>
      </c>
      <c r="B79" s="12" t="s">
        <v>168</v>
      </c>
      <c r="C79" s="13" t="s">
        <v>80</v>
      </c>
      <c r="D79" s="12" t="s">
        <v>21</v>
      </c>
      <c r="E79" s="12">
        <v>13</v>
      </c>
      <c r="F79" s="12">
        <f>'Ед. Цени'!E49</f>
        <v>24.99</v>
      </c>
      <c r="G79" s="12">
        <f t="shared" si="11"/>
        <v>324.87</v>
      </c>
    </row>
    <row r="80" spans="1:7" x14ac:dyDescent="0.25">
      <c r="A80" s="24" t="s">
        <v>18</v>
      </c>
      <c r="B80" s="42"/>
      <c r="C80" s="79" t="s">
        <v>108</v>
      </c>
      <c r="D80" s="80"/>
      <c r="E80" s="80"/>
      <c r="F80" s="81"/>
      <c r="G80" s="25">
        <f>SUM(G60:G79)</f>
        <v>11351.240000000002</v>
      </c>
    </row>
    <row r="81" spans="1:7" x14ac:dyDescent="0.25">
      <c r="A81" s="73" t="s">
        <v>36</v>
      </c>
      <c r="B81" s="73"/>
      <c r="C81" s="73"/>
      <c r="D81" s="73"/>
      <c r="E81" s="73"/>
      <c r="F81" s="73"/>
      <c r="G81" s="73"/>
    </row>
    <row r="82" spans="1:7" x14ac:dyDescent="0.25">
      <c r="A82" s="7" t="s">
        <v>5</v>
      </c>
      <c r="B82" s="7"/>
      <c r="C82" s="8" t="s">
        <v>6</v>
      </c>
      <c r="D82" s="9"/>
      <c r="E82" s="9"/>
      <c r="F82" s="9"/>
      <c r="G82" s="9"/>
    </row>
    <row r="83" spans="1:7" ht="30" x14ac:dyDescent="0.25">
      <c r="A83" s="74">
        <v>1</v>
      </c>
      <c r="B83" s="39"/>
      <c r="C83" s="11" t="s">
        <v>7</v>
      </c>
      <c r="D83" s="12"/>
      <c r="E83" s="12"/>
      <c r="F83" s="12"/>
      <c r="G83" s="12"/>
    </row>
    <row r="84" spans="1:7" ht="18" x14ac:dyDescent="0.25">
      <c r="A84" s="74"/>
      <c r="B84" s="41" t="s">
        <v>130</v>
      </c>
      <c r="C84" s="13" t="s">
        <v>8</v>
      </c>
      <c r="D84" s="12" t="s">
        <v>9</v>
      </c>
      <c r="E84" s="12">
        <v>411</v>
      </c>
      <c r="F84" s="12">
        <f>'Ед. Цени'!E11</f>
        <v>5.57</v>
      </c>
      <c r="G84" s="12">
        <f t="shared" ref="G84:G111" si="17">ROUND(E84*F84,2)</f>
        <v>2289.27</v>
      </c>
    </row>
    <row r="85" spans="1:7" ht="30" x14ac:dyDescent="0.25">
      <c r="A85" s="10">
        <v>2</v>
      </c>
      <c r="B85" s="41" t="s">
        <v>131</v>
      </c>
      <c r="C85" s="11" t="s">
        <v>10</v>
      </c>
      <c r="D85" s="12" t="s">
        <v>9</v>
      </c>
      <c r="E85" s="12">
        <v>182</v>
      </c>
      <c r="F85" s="12">
        <f>'Ед. Цени'!E12</f>
        <v>2.79</v>
      </c>
      <c r="G85" s="12">
        <f t="shared" si="17"/>
        <v>507.78</v>
      </c>
    </row>
    <row r="86" spans="1:7" ht="18" x14ac:dyDescent="0.25">
      <c r="A86" s="10">
        <v>3</v>
      </c>
      <c r="B86" s="41" t="s">
        <v>132</v>
      </c>
      <c r="C86" s="13" t="s">
        <v>11</v>
      </c>
      <c r="D86" s="12" t="s">
        <v>12</v>
      </c>
      <c r="E86" s="12">
        <v>475</v>
      </c>
      <c r="F86" s="12">
        <f>'Ед. Цени'!E13</f>
        <v>1.38</v>
      </c>
      <c r="G86" s="12">
        <f t="shared" si="17"/>
        <v>655.5</v>
      </c>
    </row>
    <row r="87" spans="1:7" ht="60" x14ac:dyDescent="0.25">
      <c r="A87" s="10">
        <v>4</v>
      </c>
      <c r="B87" s="39" t="s">
        <v>170</v>
      </c>
      <c r="C87" s="11" t="s">
        <v>37</v>
      </c>
      <c r="D87" s="12" t="s">
        <v>9</v>
      </c>
      <c r="E87" s="12">
        <v>95</v>
      </c>
      <c r="F87" s="12">
        <f>'Ед. Цени'!E51</f>
        <v>36.6</v>
      </c>
      <c r="G87" s="12">
        <f t="shared" si="17"/>
        <v>3477</v>
      </c>
    </row>
    <row r="88" spans="1:7" ht="30" x14ac:dyDescent="0.25">
      <c r="A88" s="10">
        <v>5</v>
      </c>
      <c r="B88" s="41" t="s">
        <v>134</v>
      </c>
      <c r="C88" s="11" t="s">
        <v>14</v>
      </c>
      <c r="D88" s="12" t="s">
        <v>9</v>
      </c>
      <c r="E88" s="12">
        <v>228</v>
      </c>
      <c r="F88" s="12">
        <f>'Ед. Цени'!E15</f>
        <v>8.8800000000000008</v>
      </c>
      <c r="G88" s="12">
        <f t="shared" si="17"/>
        <v>2024.64</v>
      </c>
    </row>
    <row r="89" spans="1:7" x14ac:dyDescent="0.25">
      <c r="A89" s="10">
        <v>6</v>
      </c>
      <c r="B89" s="41" t="s">
        <v>135</v>
      </c>
      <c r="C89" s="13" t="s">
        <v>15</v>
      </c>
      <c r="D89" s="12" t="s">
        <v>16</v>
      </c>
      <c r="E89" s="12">
        <v>5</v>
      </c>
      <c r="F89" s="12">
        <f>'Ед. Цени'!E16</f>
        <v>17.329999999999998</v>
      </c>
      <c r="G89" s="12">
        <f t="shared" si="17"/>
        <v>86.65</v>
      </c>
    </row>
    <row r="90" spans="1:7" ht="45" x14ac:dyDescent="0.25">
      <c r="A90" s="10">
        <v>7</v>
      </c>
      <c r="B90" s="41" t="s">
        <v>136</v>
      </c>
      <c r="C90" s="11" t="s">
        <v>17</v>
      </c>
      <c r="D90" s="10" t="s">
        <v>9</v>
      </c>
      <c r="E90" s="10">
        <v>87</v>
      </c>
      <c r="F90" s="50">
        <f>'Ед. Цени'!E17</f>
        <v>33.08</v>
      </c>
      <c r="G90" s="12">
        <f t="shared" si="17"/>
        <v>2877.96</v>
      </c>
    </row>
    <row r="91" spans="1:7" x14ac:dyDescent="0.25">
      <c r="A91" s="7" t="s">
        <v>18</v>
      </c>
      <c r="B91" s="7"/>
      <c r="C91" s="8" t="s">
        <v>19</v>
      </c>
      <c r="D91" s="9"/>
      <c r="E91" s="9"/>
      <c r="F91" s="9"/>
      <c r="G91" s="9"/>
    </row>
    <row r="92" spans="1:7" x14ac:dyDescent="0.25">
      <c r="A92" s="12">
        <v>1</v>
      </c>
      <c r="B92" s="12" t="s">
        <v>137</v>
      </c>
      <c r="C92" s="13" t="s">
        <v>65</v>
      </c>
      <c r="D92" s="12" t="s">
        <v>20</v>
      </c>
      <c r="E92" s="12">
        <v>264</v>
      </c>
      <c r="F92" s="12">
        <f>'Ед. Цени'!E18</f>
        <v>18.440000000000001</v>
      </c>
      <c r="G92" s="12">
        <f t="shared" si="17"/>
        <v>4868.16</v>
      </c>
    </row>
    <row r="93" spans="1:7" x14ac:dyDescent="0.25">
      <c r="A93" s="12">
        <v>2</v>
      </c>
      <c r="B93" s="12" t="s">
        <v>139</v>
      </c>
      <c r="C93" s="11" t="s">
        <v>67</v>
      </c>
      <c r="D93" s="12" t="s">
        <v>21</v>
      </c>
      <c r="E93" s="12">
        <v>3</v>
      </c>
      <c r="F93" s="12">
        <f>'Ед. Цени'!E20</f>
        <v>36.21</v>
      </c>
      <c r="G93" s="12">
        <f t="shared" si="17"/>
        <v>108.63</v>
      </c>
    </row>
    <row r="94" spans="1:7" x14ac:dyDescent="0.25">
      <c r="A94" s="12">
        <v>3</v>
      </c>
      <c r="B94" s="12" t="s">
        <v>141</v>
      </c>
      <c r="C94" s="14" t="s">
        <v>69</v>
      </c>
      <c r="D94" s="15" t="s">
        <v>21</v>
      </c>
      <c r="E94" s="15">
        <v>3</v>
      </c>
      <c r="F94" s="15">
        <f>'Ед. Цени'!E22</f>
        <v>48.31</v>
      </c>
      <c r="G94" s="12">
        <f t="shared" si="17"/>
        <v>144.93</v>
      </c>
    </row>
    <row r="95" spans="1:7" x14ac:dyDescent="0.25">
      <c r="A95" s="12">
        <v>4</v>
      </c>
      <c r="B95" s="12" t="s">
        <v>143</v>
      </c>
      <c r="C95" s="11" t="s">
        <v>71</v>
      </c>
      <c r="D95" s="12" t="s">
        <v>21</v>
      </c>
      <c r="E95" s="12">
        <v>1</v>
      </c>
      <c r="F95" s="12">
        <f>'Ед. Цени'!E24</f>
        <v>26.86</v>
      </c>
      <c r="G95" s="12">
        <f t="shared" si="17"/>
        <v>26.86</v>
      </c>
    </row>
    <row r="96" spans="1:7" ht="30" x14ac:dyDescent="0.25">
      <c r="A96" s="12">
        <v>5</v>
      </c>
      <c r="B96" s="12" t="s">
        <v>148</v>
      </c>
      <c r="C96" s="11" t="s">
        <v>23</v>
      </c>
      <c r="D96" s="12" t="s">
        <v>21</v>
      </c>
      <c r="E96" s="12">
        <v>2</v>
      </c>
      <c r="F96" s="12">
        <f>'Ед. Цени'!E29</f>
        <v>150.69999999999999</v>
      </c>
      <c r="G96" s="12">
        <f t="shared" si="17"/>
        <v>301.39999999999998</v>
      </c>
    </row>
    <row r="97" spans="1:7" x14ac:dyDescent="0.25">
      <c r="A97" s="12">
        <v>6</v>
      </c>
      <c r="B97" s="12" t="s">
        <v>150</v>
      </c>
      <c r="C97" s="11" t="s">
        <v>25</v>
      </c>
      <c r="D97" s="12" t="s">
        <v>21</v>
      </c>
      <c r="E97" s="12">
        <v>1</v>
      </c>
      <c r="F97" s="12">
        <f>'Ед. Цени'!E31</f>
        <v>324.5</v>
      </c>
      <c r="G97" s="12">
        <f t="shared" si="17"/>
        <v>324.5</v>
      </c>
    </row>
    <row r="98" spans="1:7" ht="30" x14ac:dyDescent="0.25">
      <c r="A98" s="12">
        <v>7</v>
      </c>
      <c r="B98" s="12" t="s">
        <v>152</v>
      </c>
      <c r="C98" s="11" t="s">
        <v>27</v>
      </c>
      <c r="D98" s="12" t="s">
        <v>21</v>
      </c>
      <c r="E98" s="12">
        <v>3</v>
      </c>
      <c r="F98" s="12">
        <f>'Ед. Цени'!E33</f>
        <v>34.49</v>
      </c>
      <c r="G98" s="12">
        <f t="shared" si="17"/>
        <v>103.47</v>
      </c>
    </row>
    <row r="99" spans="1:7" x14ac:dyDescent="0.25">
      <c r="A99" s="12">
        <v>8</v>
      </c>
      <c r="B99" s="12" t="s">
        <v>153</v>
      </c>
      <c r="C99" s="11" t="s">
        <v>28</v>
      </c>
      <c r="D99" s="12" t="s">
        <v>21</v>
      </c>
      <c r="E99" s="12">
        <v>5</v>
      </c>
      <c r="F99" s="12">
        <f>'Ед. Цени'!E34</f>
        <v>20.92</v>
      </c>
      <c r="G99" s="12">
        <f t="shared" si="17"/>
        <v>104.6</v>
      </c>
    </row>
    <row r="100" spans="1:7" x14ac:dyDescent="0.25">
      <c r="A100" s="16">
        <v>9</v>
      </c>
      <c r="B100" s="16"/>
      <c r="C100" s="17" t="s">
        <v>78</v>
      </c>
      <c r="D100" s="16" t="s">
        <v>21</v>
      </c>
      <c r="E100" s="16">
        <v>18</v>
      </c>
      <c r="F100" s="16"/>
      <c r="G100" s="16"/>
    </row>
    <row r="101" spans="1:7" ht="31.5" x14ac:dyDescent="0.25">
      <c r="A101" s="2" t="s">
        <v>91</v>
      </c>
      <c r="B101" s="2" t="s">
        <v>157</v>
      </c>
      <c r="C101" s="3" t="s">
        <v>85</v>
      </c>
      <c r="D101" s="2" t="s">
        <v>20</v>
      </c>
      <c r="E101" s="2">
        <f t="shared" ref="E101" si="18">E100*6</f>
        <v>108</v>
      </c>
      <c r="F101" s="2">
        <f>'Ед. Цени'!E38</f>
        <v>5.29</v>
      </c>
      <c r="G101" s="12">
        <f t="shared" si="17"/>
        <v>571.32000000000005</v>
      </c>
    </row>
    <row r="102" spans="1:7" ht="31.5" x14ac:dyDescent="0.25">
      <c r="A102" s="2" t="s">
        <v>91</v>
      </c>
      <c r="B102" s="2" t="s">
        <v>162</v>
      </c>
      <c r="C102" s="3" t="s">
        <v>90</v>
      </c>
      <c r="D102" s="2" t="s">
        <v>21</v>
      </c>
      <c r="E102" s="2">
        <f t="shared" ref="E102" si="19">E100*1</f>
        <v>18</v>
      </c>
      <c r="F102" s="2">
        <f>'Ед. Цени'!E43</f>
        <v>64.92</v>
      </c>
      <c r="G102" s="12">
        <f t="shared" si="17"/>
        <v>1168.56</v>
      </c>
    </row>
    <row r="103" spans="1:7" ht="31.5" x14ac:dyDescent="0.25">
      <c r="A103" s="2" t="s">
        <v>91</v>
      </c>
      <c r="B103" s="2" t="s">
        <v>159</v>
      </c>
      <c r="C103" s="3" t="s">
        <v>87</v>
      </c>
      <c r="D103" s="2" t="s">
        <v>21</v>
      </c>
      <c r="E103" s="2">
        <f t="shared" ref="E103" si="20">E100*2</f>
        <v>36</v>
      </c>
      <c r="F103" s="2">
        <f>'Ед. Цени'!E40</f>
        <v>24.34</v>
      </c>
      <c r="G103" s="12">
        <f t="shared" si="17"/>
        <v>876.24</v>
      </c>
    </row>
    <row r="104" spans="1:7" ht="15.75" x14ac:dyDescent="0.25">
      <c r="A104" s="2" t="s">
        <v>91</v>
      </c>
      <c r="B104" s="2" t="s">
        <v>160</v>
      </c>
      <c r="C104" s="3" t="s">
        <v>88</v>
      </c>
      <c r="D104" s="2" t="s">
        <v>21</v>
      </c>
      <c r="E104" s="2">
        <f t="shared" ref="E104" si="21">E100*1</f>
        <v>18</v>
      </c>
      <c r="F104" s="2">
        <f>'Ед. Цени'!E41</f>
        <v>128.91999999999999</v>
      </c>
      <c r="G104" s="12">
        <f t="shared" si="17"/>
        <v>2320.56</v>
      </c>
    </row>
    <row r="105" spans="1:7" ht="31.5" x14ac:dyDescent="0.25">
      <c r="A105" s="2" t="s">
        <v>91</v>
      </c>
      <c r="B105" s="2" t="s">
        <v>161</v>
      </c>
      <c r="C105" s="3" t="s">
        <v>89</v>
      </c>
      <c r="D105" s="2" t="s">
        <v>21</v>
      </c>
      <c r="E105" s="2">
        <f t="shared" ref="E105" si="22">E100*1</f>
        <v>18</v>
      </c>
      <c r="F105" s="2">
        <f>'Ед. Цени'!E42</f>
        <v>25.8</v>
      </c>
      <c r="G105" s="12">
        <f t="shared" si="17"/>
        <v>464.4</v>
      </c>
    </row>
    <row r="106" spans="1:7" x14ac:dyDescent="0.25">
      <c r="A106" s="12">
        <v>10</v>
      </c>
      <c r="B106" s="12" t="s">
        <v>163</v>
      </c>
      <c r="C106" s="13" t="s">
        <v>30</v>
      </c>
      <c r="D106" s="12" t="s">
        <v>20</v>
      </c>
      <c r="E106" s="12">
        <v>264</v>
      </c>
      <c r="F106" s="12">
        <f>'Ед. Цени'!E44</f>
        <v>1.5</v>
      </c>
      <c r="G106" s="12">
        <f t="shared" si="17"/>
        <v>396</v>
      </c>
    </row>
    <row r="107" spans="1:7" x14ac:dyDescent="0.25">
      <c r="A107" s="12">
        <v>11</v>
      </c>
      <c r="B107" s="12" t="s">
        <v>164</v>
      </c>
      <c r="C107" s="13" t="s">
        <v>31</v>
      </c>
      <c r="D107" s="12" t="s">
        <v>20</v>
      </c>
      <c r="E107" s="12">
        <v>264</v>
      </c>
      <c r="F107" s="12">
        <f>'Ед. Цени'!E45</f>
        <v>0.9</v>
      </c>
      <c r="G107" s="12">
        <f t="shared" si="17"/>
        <v>237.6</v>
      </c>
    </row>
    <row r="108" spans="1:7" x14ac:dyDescent="0.25">
      <c r="A108" s="12">
        <v>12</v>
      </c>
      <c r="B108" s="12" t="s">
        <v>165</v>
      </c>
      <c r="C108" s="13" t="s">
        <v>32</v>
      </c>
      <c r="D108" s="12" t="s">
        <v>20</v>
      </c>
      <c r="E108" s="12">
        <v>264</v>
      </c>
      <c r="F108" s="12">
        <f>'Ед. Цени'!E46</f>
        <v>2.23</v>
      </c>
      <c r="G108" s="12">
        <f t="shared" si="17"/>
        <v>588.72</v>
      </c>
    </row>
    <row r="109" spans="1:7" x14ac:dyDescent="0.25">
      <c r="A109" s="12">
        <v>13</v>
      </c>
      <c r="B109" s="12" t="s">
        <v>166</v>
      </c>
      <c r="C109" s="13" t="s">
        <v>33</v>
      </c>
      <c r="D109" s="12" t="s">
        <v>20</v>
      </c>
      <c r="E109" s="12">
        <v>264</v>
      </c>
      <c r="F109" s="12">
        <f>'Ед. Цени'!E47</f>
        <v>1.75</v>
      </c>
      <c r="G109" s="12">
        <f t="shared" si="17"/>
        <v>462</v>
      </c>
    </row>
    <row r="110" spans="1:7" x14ac:dyDescent="0.25">
      <c r="A110" s="12">
        <v>14</v>
      </c>
      <c r="B110" s="12" t="s">
        <v>167</v>
      </c>
      <c r="C110" s="13" t="s">
        <v>79</v>
      </c>
      <c r="D110" s="12" t="s">
        <v>21</v>
      </c>
      <c r="E110" s="12">
        <v>1</v>
      </c>
      <c r="F110" s="12">
        <f>'Ед. Цени'!E48</f>
        <v>20.149999999999999</v>
      </c>
      <c r="G110" s="12">
        <f t="shared" si="17"/>
        <v>20.149999999999999</v>
      </c>
    </row>
    <row r="111" spans="1:7" x14ac:dyDescent="0.25">
      <c r="A111" s="12">
        <v>15</v>
      </c>
      <c r="B111" s="12" t="s">
        <v>168</v>
      </c>
      <c r="C111" s="13" t="s">
        <v>80</v>
      </c>
      <c r="D111" s="12" t="s">
        <v>21</v>
      </c>
      <c r="E111" s="12">
        <v>32</v>
      </c>
      <c r="F111" s="12">
        <f>'Ед. Цени'!E49</f>
        <v>24.99</v>
      </c>
      <c r="G111" s="12">
        <f t="shared" si="17"/>
        <v>799.68</v>
      </c>
    </row>
    <row r="112" spans="1:7" x14ac:dyDescent="0.25">
      <c r="A112" s="24" t="s">
        <v>94</v>
      </c>
      <c r="B112" s="42"/>
      <c r="C112" s="79" t="s">
        <v>107</v>
      </c>
      <c r="D112" s="82"/>
      <c r="E112" s="82"/>
      <c r="F112" s="83"/>
      <c r="G112" s="25">
        <f>SUM(G83:G111)</f>
        <v>25806.580000000009</v>
      </c>
    </row>
    <row r="113" spans="1:7" x14ac:dyDescent="0.25">
      <c r="A113" s="73" t="s">
        <v>38</v>
      </c>
      <c r="B113" s="73"/>
      <c r="C113" s="73"/>
      <c r="D113" s="73"/>
      <c r="E113" s="73"/>
      <c r="F113" s="73"/>
      <c r="G113" s="73"/>
    </row>
    <row r="114" spans="1:7" x14ac:dyDescent="0.25">
      <c r="A114" s="7" t="s">
        <v>5</v>
      </c>
      <c r="B114" s="7"/>
      <c r="C114" s="8" t="s">
        <v>6</v>
      </c>
      <c r="D114" s="9"/>
      <c r="E114" s="9"/>
      <c r="F114" s="9"/>
      <c r="G114" s="9"/>
    </row>
    <row r="115" spans="1:7" x14ac:dyDescent="0.25">
      <c r="A115" s="12">
        <v>1</v>
      </c>
      <c r="B115" s="12" t="s">
        <v>171</v>
      </c>
      <c r="C115" s="11" t="s">
        <v>39</v>
      </c>
      <c r="D115" s="12" t="s">
        <v>20</v>
      </c>
      <c r="E115" s="12">
        <v>398</v>
      </c>
      <c r="F115" s="12">
        <f>'Ед. Цени'!E52</f>
        <v>1.74</v>
      </c>
      <c r="G115" s="12">
        <f t="shared" ref="G115:G150" si="23">ROUND(E115*F115,2)</f>
        <v>692.52</v>
      </c>
    </row>
    <row r="116" spans="1:7" ht="30" x14ac:dyDescent="0.25">
      <c r="A116" s="12">
        <v>2</v>
      </c>
      <c r="B116" s="12" t="s">
        <v>172</v>
      </c>
      <c r="C116" s="11" t="s">
        <v>40</v>
      </c>
      <c r="D116" s="12" t="s">
        <v>12</v>
      </c>
      <c r="E116" s="12">
        <v>156</v>
      </c>
      <c r="F116" s="12">
        <f>'Ед. Цени'!E53</f>
        <v>3.43</v>
      </c>
      <c r="G116" s="12">
        <f t="shared" si="23"/>
        <v>535.08000000000004</v>
      </c>
    </row>
    <row r="117" spans="1:7" ht="30" x14ac:dyDescent="0.25">
      <c r="A117" s="12">
        <v>3</v>
      </c>
      <c r="B117" s="12" t="s">
        <v>173</v>
      </c>
      <c r="C117" s="11" t="s">
        <v>41</v>
      </c>
      <c r="D117" s="12" t="s">
        <v>9</v>
      </c>
      <c r="E117" s="12">
        <v>16</v>
      </c>
      <c r="F117" s="12">
        <f>'Ед. Цени'!E54</f>
        <v>4.08</v>
      </c>
      <c r="G117" s="12">
        <f t="shared" si="23"/>
        <v>65.28</v>
      </c>
    </row>
    <row r="118" spans="1:7" ht="30" x14ac:dyDescent="0.25">
      <c r="A118" s="74">
        <v>4</v>
      </c>
      <c r="B118" s="39"/>
      <c r="C118" s="11" t="s">
        <v>7</v>
      </c>
      <c r="D118" s="12"/>
      <c r="E118" s="12"/>
      <c r="F118" s="12"/>
      <c r="G118" s="12"/>
    </row>
    <row r="119" spans="1:7" ht="18" x14ac:dyDescent="0.25">
      <c r="A119" s="74"/>
      <c r="B119" s="41" t="s">
        <v>130</v>
      </c>
      <c r="C119" s="13" t="s">
        <v>8</v>
      </c>
      <c r="D119" s="12" t="s">
        <v>9</v>
      </c>
      <c r="E119" s="12">
        <v>280</v>
      </c>
      <c r="F119" s="12">
        <f>'Ед. Цени'!E11</f>
        <v>5.57</v>
      </c>
      <c r="G119" s="12">
        <f t="shared" si="23"/>
        <v>1559.6</v>
      </c>
    </row>
    <row r="120" spans="1:7" ht="30" x14ac:dyDescent="0.25">
      <c r="A120" s="10">
        <v>5</v>
      </c>
      <c r="B120" s="41" t="s">
        <v>131</v>
      </c>
      <c r="C120" s="11" t="s">
        <v>10</v>
      </c>
      <c r="D120" s="12" t="s">
        <v>9</v>
      </c>
      <c r="E120" s="12">
        <v>250</v>
      </c>
      <c r="F120" s="12">
        <f>'Ед. Цени'!E12</f>
        <v>2.79</v>
      </c>
      <c r="G120" s="12">
        <f t="shared" si="23"/>
        <v>697.5</v>
      </c>
    </row>
    <row r="121" spans="1:7" ht="18" x14ac:dyDescent="0.25">
      <c r="A121" s="10">
        <v>6</v>
      </c>
      <c r="B121" s="41" t="s">
        <v>132</v>
      </c>
      <c r="C121" s="13" t="s">
        <v>11</v>
      </c>
      <c r="D121" s="12" t="s">
        <v>12</v>
      </c>
      <c r="E121" s="12">
        <v>337</v>
      </c>
      <c r="F121" s="12">
        <f>'Ед. Цени'!E13</f>
        <v>1.38</v>
      </c>
      <c r="G121" s="12">
        <f t="shared" si="23"/>
        <v>465.06</v>
      </c>
    </row>
    <row r="122" spans="1:7" ht="60" x14ac:dyDescent="0.25">
      <c r="A122" s="10">
        <v>7</v>
      </c>
      <c r="B122" s="39" t="s">
        <v>174</v>
      </c>
      <c r="C122" s="11" t="s">
        <v>42</v>
      </c>
      <c r="D122" s="12" t="s">
        <v>9</v>
      </c>
      <c r="E122" s="12">
        <v>64</v>
      </c>
      <c r="F122" s="12">
        <f>'Ед. Цени'!E55</f>
        <v>36.6</v>
      </c>
      <c r="G122" s="12">
        <f t="shared" si="23"/>
        <v>2342.4</v>
      </c>
    </row>
    <row r="123" spans="1:7" ht="60" x14ac:dyDescent="0.25">
      <c r="A123" s="10">
        <v>8</v>
      </c>
      <c r="B123" s="41" t="s">
        <v>175</v>
      </c>
      <c r="C123" s="11" t="s">
        <v>43</v>
      </c>
      <c r="D123" s="12" t="s">
        <v>9</v>
      </c>
      <c r="E123" s="12">
        <v>5</v>
      </c>
      <c r="F123" s="12">
        <f>'Ед. Цени'!E56</f>
        <v>36.6</v>
      </c>
      <c r="G123" s="12">
        <f t="shared" si="23"/>
        <v>183</v>
      </c>
    </row>
    <row r="124" spans="1:7" ht="45" x14ac:dyDescent="0.25">
      <c r="A124" s="10">
        <v>9</v>
      </c>
      <c r="B124" s="41" t="s">
        <v>176</v>
      </c>
      <c r="C124" s="11" t="s">
        <v>44</v>
      </c>
      <c r="D124" s="12" t="s">
        <v>9</v>
      </c>
      <c r="E124" s="12">
        <v>127</v>
      </c>
      <c r="F124" s="12">
        <f>'Ед. Цени'!E57</f>
        <v>32.11</v>
      </c>
      <c r="G124" s="12">
        <f t="shared" si="23"/>
        <v>4077.97</v>
      </c>
    </row>
    <row r="125" spans="1:7" ht="30" x14ac:dyDescent="0.25">
      <c r="A125" s="10">
        <v>10</v>
      </c>
      <c r="B125" s="41" t="s">
        <v>134</v>
      </c>
      <c r="C125" s="11" t="s">
        <v>14</v>
      </c>
      <c r="D125" s="12" t="s">
        <v>9</v>
      </c>
      <c r="E125" s="12">
        <v>13</v>
      </c>
      <c r="F125" s="12">
        <f>'Ед. Цени'!E15</f>
        <v>8.8800000000000008</v>
      </c>
      <c r="G125" s="12">
        <f t="shared" si="23"/>
        <v>115.44</v>
      </c>
    </row>
    <row r="126" spans="1:7" x14ac:dyDescent="0.25">
      <c r="A126" s="10">
        <v>11</v>
      </c>
      <c r="B126" s="41" t="s">
        <v>135</v>
      </c>
      <c r="C126" s="13" t="s">
        <v>15</v>
      </c>
      <c r="D126" s="12" t="s">
        <v>16</v>
      </c>
      <c r="E126" s="12">
        <v>4</v>
      </c>
      <c r="F126" s="12">
        <f>'Ед. Цени'!E16</f>
        <v>17.329999999999998</v>
      </c>
      <c r="G126" s="12">
        <f t="shared" si="23"/>
        <v>69.319999999999993</v>
      </c>
    </row>
    <row r="127" spans="1:7" x14ac:dyDescent="0.25">
      <c r="A127" s="10">
        <v>12</v>
      </c>
      <c r="B127" s="39" t="s">
        <v>177</v>
      </c>
      <c r="C127" s="14" t="s">
        <v>45</v>
      </c>
      <c r="D127" s="12" t="s">
        <v>46</v>
      </c>
      <c r="E127" s="12">
        <v>19</v>
      </c>
      <c r="F127" s="12">
        <f>'Ед. Цени'!E58</f>
        <v>134.12</v>
      </c>
      <c r="G127" s="12">
        <f t="shared" si="23"/>
        <v>2548.2800000000002</v>
      </c>
    </row>
    <row r="128" spans="1:7" ht="45" x14ac:dyDescent="0.25">
      <c r="A128" s="10">
        <v>13</v>
      </c>
      <c r="B128" s="41" t="s">
        <v>178</v>
      </c>
      <c r="C128" s="11" t="s">
        <v>47</v>
      </c>
      <c r="D128" s="10" t="s">
        <v>9</v>
      </c>
      <c r="E128" s="10">
        <v>62</v>
      </c>
      <c r="F128" s="10">
        <f>'Ед. Цени'!E59</f>
        <v>33.08</v>
      </c>
      <c r="G128" s="12">
        <f t="shared" si="23"/>
        <v>2050.96</v>
      </c>
    </row>
    <row r="129" spans="1:7" x14ac:dyDescent="0.25">
      <c r="A129" s="10">
        <v>14</v>
      </c>
      <c r="B129" s="41" t="s">
        <v>179</v>
      </c>
      <c r="C129" s="14" t="s">
        <v>48</v>
      </c>
      <c r="D129" s="10" t="s">
        <v>20</v>
      </c>
      <c r="E129" s="10">
        <v>398</v>
      </c>
      <c r="F129" s="10">
        <f>'Ед. Цени'!E60</f>
        <v>9.17</v>
      </c>
      <c r="G129" s="12">
        <f t="shared" si="23"/>
        <v>3649.66</v>
      </c>
    </row>
    <row r="130" spans="1:7" ht="30" x14ac:dyDescent="0.25">
      <c r="A130" s="10">
        <v>15</v>
      </c>
      <c r="B130" s="41" t="s">
        <v>180</v>
      </c>
      <c r="C130" s="11" t="s">
        <v>49</v>
      </c>
      <c r="D130" s="12" t="s">
        <v>21</v>
      </c>
      <c r="E130" s="10">
        <v>2</v>
      </c>
      <c r="F130" s="10">
        <f>'Ед. Цени'!E61</f>
        <v>38.119999999999997</v>
      </c>
      <c r="G130" s="12">
        <f t="shared" si="23"/>
        <v>76.239999999999995</v>
      </c>
    </row>
    <row r="131" spans="1:7" x14ac:dyDescent="0.25">
      <c r="A131" s="7" t="s">
        <v>18</v>
      </c>
      <c r="B131" s="7"/>
      <c r="C131" s="18" t="s">
        <v>19</v>
      </c>
      <c r="D131" s="9"/>
      <c r="E131" s="9"/>
      <c r="F131" s="9"/>
      <c r="G131" s="9"/>
    </row>
    <row r="132" spans="1:7" x14ac:dyDescent="0.25">
      <c r="A132" s="12">
        <v>1</v>
      </c>
      <c r="B132" s="12" t="s">
        <v>137</v>
      </c>
      <c r="C132" s="13" t="s">
        <v>65</v>
      </c>
      <c r="D132" s="12" t="s">
        <v>20</v>
      </c>
      <c r="E132" s="12">
        <v>187</v>
      </c>
      <c r="F132" s="12">
        <f>'Ед. Цени'!E18</f>
        <v>18.440000000000001</v>
      </c>
      <c r="G132" s="12">
        <f t="shared" si="23"/>
        <v>3448.28</v>
      </c>
    </row>
    <row r="133" spans="1:7" x14ac:dyDescent="0.25">
      <c r="A133" s="12">
        <v>2</v>
      </c>
      <c r="B133" s="12" t="s">
        <v>139</v>
      </c>
      <c r="C133" s="11" t="s">
        <v>67</v>
      </c>
      <c r="D133" s="12" t="s">
        <v>21</v>
      </c>
      <c r="E133" s="12">
        <v>2</v>
      </c>
      <c r="F133" s="12">
        <f>'Ед. Цени'!E20</f>
        <v>36.21</v>
      </c>
      <c r="G133" s="12">
        <f t="shared" si="23"/>
        <v>72.42</v>
      </c>
    </row>
    <row r="134" spans="1:7" x14ac:dyDescent="0.25">
      <c r="A134" s="12">
        <v>3</v>
      </c>
      <c r="B134" s="12" t="s">
        <v>141</v>
      </c>
      <c r="C134" s="14" t="s">
        <v>69</v>
      </c>
      <c r="D134" s="15" t="s">
        <v>21</v>
      </c>
      <c r="E134" s="15">
        <v>1</v>
      </c>
      <c r="F134" s="15">
        <f>'Ед. Цени'!E22</f>
        <v>48.31</v>
      </c>
      <c r="G134" s="12">
        <f t="shared" si="23"/>
        <v>48.31</v>
      </c>
    </row>
    <row r="135" spans="1:7" x14ac:dyDescent="0.25">
      <c r="A135" s="12">
        <v>4</v>
      </c>
      <c r="B135" s="12" t="s">
        <v>181</v>
      </c>
      <c r="C135" s="14" t="s">
        <v>81</v>
      </c>
      <c r="D135" s="15" t="s">
        <v>21</v>
      </c>
      <c r="E135" s="15">
        <v>1</v>
      </c>
      <c r="F135" s="15">
        <f>'Ед. Цени'!E62</f>
        <v>29.8</v>
      </c>
      <c r="G135" s="12">
        <f t="shared" si="23"/>
        <v>29.8</v>
      </c>
    </row>
    <row r="136" spans="1:7" ht="30" x14ac:dyDescent="0.25">
      <c r="A136" s="12">
        <v>5</v>
      </c>
      <c r="B136" s="12" t="s">
        <v>148</v>
      </c>
      <c r="C136" s="11" t="s">
        <v>23</v>
      </c>
      <c r="D136" s="12" t="s">
        <v>21</v>
      </c>
      <c r="E136" s="12">
        <v>1</v>
      </c>
      <c r="F136" s="12">
        <f>'Ед. Цени'!E29</f>
        <v>150.69999999999999</v>
      </c>
      <c r="G136" s="12">
        <f t="shared" si="23"/>
        <v>150.69999999999999</v>
      </c>
    </row>
    <row r="137" spans="1:7" x14ac:dyDescent="0.25">
      <c r="A137" s="12">
        <v>6</v>
      </c>
      <c r="B137" s="12" t="s">
        <v>150</v>
      </c>
      <c r="C137" s="11" t="s">
        <v>25</v>
      </c>
      <c r="D137" s="12" t="s">
        <v>21</v>
      </c>
      <c r="E137" s="12">
        <v>1</v>
      </c>
      <c r="F137" s="12">
        <f>'Ед. Цени'!E31</f>
        <v>324.5</v>
      </c>
      <c r="G137" s="12">
        <f t="shared" si="23"/>
        <v>324.5</v>
      </c>
    </row>
    <row r="138" spans="1:7" ht="30" x14ac:dyDescent="0.25">
      <c r="A138" s="12">
        <v>7</v>
      </c>
      <c r="B138" s="12" t="s">
        <v>152</v>
      </c>
      <c r="C138" s="11" t="s">
        <v>27</v>
      </c>
      <c r="D138" s="12" t="s">
        <v>21</v>
      </c>
      <c r="E138" s="12">
        <v>3</v>
      </c>
      <c r="F138" s="12">
        <f>'Ед. Цени'!E33</f>
        <v>34.49</v>
      </c>
      <c r="G138" s="12">
        <f t="shared" si="23"/>
        <v>103.47</v>
      </c>
    </row>
    <row r="139" spans="1:7" x14ac:dyDescent="0.25">
      <c r="A139" s="12">
        <v>8</v>
      </c>
      <c r="B139" s="12" t="s">
        <v>153</v>
      </c>
      <c r="C139" s="11" t="s">
        <v>28</v>
      </c>
      <c r="D139" s="12" t="s">
        <v>21</v>
      </c>
      <c r="E139" s="12">
        <v>6</v>
      </c>
      <c r="F139" s="12">
        <f>'Ед. Цени'!E34</f>
        <v>20.92</v>
      </c>
      <c r="G139" s="12">
        <f t="shared" si="23"/>
        <v>125.52</v>
      </c>
    </row>
    <row r="140" spans="1:7" x14ac:dyDescent="0.25">
      <c r="A140" s="16">
        <v>9</v>
      </c>
      <c r="B140" s="16"/>
      <c r="C140" s="17" t="s">
        <v>78</v>
      </c>
      <c r="D140" s="16" t="s">
        <v>21</v>
      </c>
      <c r="E140" s="16">
        <v>12</v>
      </c>
      <c r="F140" s="16"/>
      <c r="G140" s="16"/>
    </row>
    <row r="141" spans="1:7" ht="31.5" x14ac:dyDescent="0.25">
      <c r="A141" s="2" t="s">
        <v>91</v>
      </c>
      <c r="B141" s="2" t="s">
        <v>157</v>
      </c>
      <c r="C141" s="3" t="s">
        <v>85</v>
      </c>
      <c r="D141" s="2" t="s">
        <v>20</v>
      </c>
      <c r="E141" s="2">
        <f t="shared" ref="E141" si="24">E140*6</f>
        <v>72</v>
      </c>
      <c r="F141" s="2">
        <f>'Ед. Цени'!E38</f>
        <v>5.29</v>
      </c>
      <c r="G141" s="12">
        <f t="shared" si="23"/>
        <v>380.88</v>
      </c>
    </row>
    <row r="142" spans="1:7" ht="31.5" x14ac:dyDescent="0.25">
      <c r="A142" s="2" t="s">
        <v>91</v>
      </c>
      <c r="B142" s="2" t="s">
        <v>162</v>
      </c>
      <c r="C142" s="3" t="s">
        <v>90</v>
      </c>
      <c r="D142" s="2" t="s">
        <v>21</v>
      </c>
      <c r="E142" s="2">
        <f t="shared" ref="E142" si="25">E140*1</f>
        <v>12</v>
      </c>
      <c r="F142" s="2">
        <f>'Ед. Цени'!E43</f>
        <v>64.92</v>
      </c>
      <c r="G142" s="12">
        <f t="shared" si="23"/>
        <v>779.04</v>
      </c>
    </row>
    <row r="143" spans="1:7" ht="31.5" x14ac:dyDescent="0.25">
      <c r="A143" s="2" t="s">
        <v>91</v>
      </c>
      <c r="B143" s="2" t="s">
        <v>159</v>
      </c>
      <c r="C143" s="3" t="s">
        <v>87</v>
      </c>
      <c r="D143" s="2" t="s">
        <v>21</v>
      </c>
      <c r="E143" s="2">
        <f t="shared" ref="E143" si="26">E140*2</f>
        <v>24</v>
      </c>
      <c r="F143" s="2">
        <f>'Ед. Цени'!E40</f>
        <v>24.34</v>
      </c>
      <c r="G143" s="12">
        <f t="shared" si="23"/>
        <v>584.16</v>
      </c>
    </row>
    <row r="144" spans="1:7" ht="15.75" x14ac:dyDescent="0.25">
      <c r="A144" s="2" t="s">
        <v>91</v>
      </c>
      <c r="B144" s="2" t="s">
        <v>160</v>
      </c>
      <c r="C144" s="3" t="s">
        <v>88</v>
      </c>
      <c r="D144" s="2" t="s">
        <v>21</v>
      </c>
      <c r="E144" s="2">
        <f t="shared" ref="E144" si="27">E140*1</f>
        <v>12</v>
      </c>
      <c r="F144" s="2">
        <f>'Ед. Цени'!E41</f>
        <v>128.91999999999999</v>
      </c>
      <c r="G144" s="12">
        <f t="shared" si="23"/>
        <v>1547.04</v>
      </c>
    </row>
    <row r="145" spans="1:7" ht="31.5" x14ac:dyDescent="0.25">
      <c r="A145" s="2" t="s">
        <v>91</v>
      </c>
      <c r="B145" s="2" t="s">
        <v>161</v>
      </c>
      <c r="C145" s="3" t="s">
        <v>89</v>
      </c>
      <c r="D145" s="2" t="s">
        <v>21</v>
      </c>
      <c r="E145" s="2">
        <f t="shared" ref="E145" si="28">E140*1</f>
        <v>12</v>
      </c>
      <c r="F145" s="2">
        <f>'Ед. Цени'!E42</f>
        <v>25.8</v>
      </c>
      <c r="G145" s="12">
        <f t="shared" si="23"/>
        <v>309.60000000000002</v>
      </c>
    </row>
    <row r="146" spans="1:7" x14ac:dyDescent="0.25">
      <c r="A146" s="12">
        <v>10</v>
      </c>
      <c r="B146" s="12" t="s">
        <v>163</v>
      </c>
      <c r="C146" s="13" t="s">
        <v>30</v>
      </c>
      <c r="D146" s="12" t="s">
        <v>20</v>
      </c>
      <c r="E146" s="12">
        <v>187</v>
      </c>
      <c r="F146" s="12">
        <f>'Ед. Цени'!E44</f>
        <v>1.5</v>
      </c>
      <c r="G146" s="12">
        <f t="shared" si="23"/>
        <v>280.5</v>
      </c>
    </row>
    <row r="147" spans="1:7" x14ac:dyDescent="0.25">
      <c r="A147" s="12">
        <v>11</v>
      </c>
      <c r="B147" s="12" t="s">
        <v>164</v>
      </c>
      <c r="C147" s="13" t="s">
        <v>31</v>
      </c>
      <c r="D147" s="12" t="s">
        <v>20</v>
      </c>
      <c r="E147" s="12">
        <v>187</v>
      </c>
      <c r="F147" s="12">
        <f>'Ед. Цени'!E45</f>
        <v>0.9</v>
      </c>
      <c r="G147" s="12">
        <f t="shared" si="23"/>
        <v>168.3</v>
      </c>
    </row>
    <row r="148" spans="1:7" x14ac:dyDescent="0.25">
      <c r="A148" s="12">
        <v>12</v>
      </c>
      <c r="B148" s="12" t="s">
        <v>165</v>
      </c>
      <c r="C148" s="13" t="s">
        <v>32</v>
      </c>
      <c r="D148" s="12" t="s">
        <v>20</v>
      </c>
      <c r="E148" s="12">
        <v>187</v>
      </c>
      <c r="F148" s="12">
        <f>'Ед. Цени'!E46</f>
        <v>2.23</v>
      </c>
      <c r="G148" s="12">
        <f t="shared" si="23"/>
        <v>417.01</v>
      </c>
    </row>
    <row r="149" spans="1:7" x14ac:dyDescent="0.25">
      <c r="A149" s="12">
        <v>13</v>
      </c>
      <c r="B149" s="12" t="s">
        <v>166</v>
      </c>
      <c r="C149" s="13" t="s">
        <v>33</v>
      </c>
      <c r="D149" s="12" t="s">
        <v>20</v>
      </c>
      <c r="E149" s="12">
        <v>187</v>
      </c>
      <c r="F149" s="12">
        <f>'Ед. Цени'!E47</f>
        <v>1.75</v>
      </c>
      <c r="G149" s="12">
        <f t="shared" si="23"/>
        <v>327.25</v>
      </c>
    </row>
    <row r="150" spans="1:7" x14ac:dyDescent="0.25">
      <c r="A150" s="12">
        <v>14</v>
      </c>
      <c r="B150" s="12" t="s">
        <v>168</v>
      </c>
      <c r="C150" s="13" t="s">
        <v>80</v>
      </c>
      <c r="D150" s="12" t="s">
        <v>21</v>
      </c>
      <c r="E150" s="12">
        <v>28</v>
      </c>
      <c r="F150" s="12">
        <f>'Ед. Цени'!E49</f>
        <v>24.99</v>
      </c>
      <c r="G150" s="12">
        <f t="shared" si="23"/>
        <v>699.72</v>
      </c>
    </row>
    <row r="151" spans="1:7" x14ac:dyDescent="0.25">
      <c r="A151" s="24" t="s">
        <v>96</v>
      </c>
      <c r="B151" s="42"/>
      <c r="C151" s="79" t="s">
        <v>109</v>
      </c>
      <c r="D151" s="80"/>
      <c r="E151" s="80"/>
      <c r="F151" s="81"/>
      <c r="G151" s="25">
        <f>SUM(G115:G150)</f>
        <v>28924.81</v>
      </c>
    </row>
    <row r="152" spans="1:7" x14ac:dyDescent="0.25">
      <c r="A152" s="75" t="s">
        <v>50</v>
      </c>
      <c r="B152" s="75"/>
      <c r="C152" s="75"/>
      <c r="D152" s="75"/>
      <c r="E152" s="75"/>
      <c r="F152" s="75"/>
      <c r="G152" s="75"/>
    </row>
    <row r="153" spans="1:7" x14ac:dyDescent="0.25">
      <c r="A153" s="7" t="s">
        <v>5</v>
      </c>
      <c r="B153" s="7"/>
      <c r="C153" s="18" t="s">
        <v>6</v>
      </c>
      <c r="D153" s="9"/>
      <c r="E153" s="9"/>
      <c r="F153" s="9"/>
      <c r="G153" s="9"/>
    </row>
    <row r="154" spans="1:7" x14ac:dyDescent="0.25">
      <c r="A154" s="12">
        <v>1</v>
      </c>
      <c r="B154" s="12" t="s">
        <v>171</v>
      </c>
      <c r="C154" s="11" t="s">
        <v>39</v>
      </c>
      <c r="D154" s="12" t="s">
        <v>20</v>
      </c>
      <c r="E154" s="12">
        <v>284</v>
      </c>
      <c r="F154" s="12">
        <f>'Ед. Цени'!E52</f>
        <v>1.74</v>
      </c>
      <c r="G154" s="12">
        <f t="shared" ref="G154:G189" si="29">ROUND(E154*F154,2)</f>
        <v>494.16</v>
      </c>
    </row>
    <row r="155" spans="1:7" ht="30" x14ac:dyDescent="0.25">
      <c r="A155" s="12">
        <v>2</v>
      </c>
      <c r="B155" s="12" t="s">
        <v>172</v>
      </c>
      <c r="C155" s="11" t="s">
        <v>40</v>
      </c>
      <c r="D155" s="12" t="s">
        <v>12</v>
      </c>
      <c r="E155" s="12">
        <v>111</v>
      </c>
      <c r="F155" s="12">
        <f>'Ед. Цени'!E53</f>
        <v>3.43</v>
      </c>
      <c r="G155" s="12">
        <f t="shared" si="29"/>
        <v>380.73</v>
      </c>
    </row>
    <row r="156" spans="1:7" ht="30" x14ac:dyDescent="0.25">
      <c r="A156" s="12">
        <v>3</v>
      </c>
      <c r="B156" s="12" t="s">
        <v>173</v>
      </c>
      <c r="C156" s="11" t="s">
        <v>41</v>
      </c>
      <c r="D156" s="12" t="s">
        <v>9</v>
      </c>
      <c r="E156" s="12">
        <v>11</v>
      </c>
      <c r="F156" s="12">
        <f>'Ед. Цени'!E54</f>
        <v>4.08</v>
      </c>
      <c r="G156" s="12">
        <f t="shared" si="29"/>
        <v>44.88</v>
      </c>
    </row>
    <row r="157" spans="1:7" ht="30" x14ac:dyDescent="0.25">
      <c r="A157" s="74">
        <v>4</v>
      </c>
      <c r="B157" s="39"/>
      <c r="C157" s="11" t="s">
        <v>7</v>
      </c>
      <c r="D157" s="12"/>
      <c r="E157" s="12"/>
      <c r="F157" s="12"/>
      <c r="G157" s="12"/>
    </row>
    <row r="158" spans="1:7" ht="18" x14ac:dyDescent="0.25">
      <c r="A158" s="74"/>
      <c r="B158" s="41" t="s">
        <v>130</v>
      </c>
      <c r="C158" s="13" t="s">
        <v>8</v>
      </c>
      <c r="D158" s="12" t="s">
        <v>9</v>
      </c>
      <c r="E158" s="12">
        <v>197</v>
      </c>
      <c r="F158" s="12">
        <f>'Ед. Цени'!E11</f>
        <v>5.57</v>
      </c>
      <c r="G158" s="12">
        <f t="shared" si="29"/>
        <v>1097.29</v>
      </c>
    </row>
    <row r="159" spans="1:7" ht="30" x14ac:dyDescent="0.25">
      <c r="A159" s="10">
        <v>5</v>
      </c>
      <c r="B159" s="41" t="s">
        <v>131</v>
      </c>
      <c r="C159" s="11" t="s">
        <v>10</v>
      </c>
      <c r="D159" s="12" t="s">
        <v>9</v>
      </c>
      <c r="E159" s="12">
        <v>178</v>
      </c>
      <c r="F159" s="12">
        <f>'Ед. Цени'!E12</f>
        <v>2.79</v>
      </c>
      <c r="G159" s="12">
        <f t="shared" si="29"/>
        <v>496.62</v>
      </c>
    </row>
    <row r="160" spans="1:7" ht="18" x14ac:dyDescent="0.25">
      <c r="A160" s="10">
        <v>6</v>
      </c>
      <c r="B160" s="41" t="s">
        <v>132</v>
      </c>
      <c r="C160" s="13" t="s">
        <v>11</v>
      </c>
      <c r="D160" s="12" t="s">
        <v>12</v>
      </c>
      <c r="E160" s="12">
        <v>239</v>
      </c>
      <c r="F160" s="12">
        <f>'Ед. Цени'!E13</f>
        <v>1.38</v>
      </c>
      <c r="G160" s="12">
        <f t="shared" si="29"/>
        <v>329.82</v>
      </c>
    </row>
    <row r="161" spans="1:7" ht="60" x14ac:dyDescent="0.25">
      <c r="A161" s="10">
        <v>7</v>
      </c>
      <c r="B161" s="41" t="s">
        <v>174</v>
      </c>
      <c r="C161" s="11" t="s">
        <v>42</v>
      </c>
      <c r="D161" s="12" t="s">
        <v>9</v>
      </c>
      <c r="E161" s="12">
        <v>45</v>
      </c>
      <c r="F161" s="12">
        <f>'Ед. Цени'!E55</f>
        <v>36.6</v>
      </c>
      <c r="G161" s="12">
        <f t="shared" si="29"/>
        <v>1647</v>
      </c>
    </row>
    <row r="162" spans="1:7" ht="60" x14ac:dyDescent="0.25">
      <c r="A162" s="10">
        <v>8</v>
      </c>
      <c r="B162" s="41" t="s">
        <v>175</v>
      </c>
      <c r="C162" s="11" t="s">
        <v>43</v>
      </c>
      <c r="D162" s="12" t="s">
        <v>9</v>
      </c>
      <c r="E162" s="12">
        <v>3</v>
      </c>
      <c r="F162" s="12">
        <f>'Ед. Цени'!E56</f>
        <v>36.6</v>
      </c>
      <c r="G162" s="12">
        <f t="shared" si="29"/>
        <v>109.8</v>
      </c>
    </row>
    <row r="163" spans="1:7" ht="45" x14ac:dyDescent="0.25">
      <c r="A163" s="10">
        <v>9</v>
      </c>
      <c r="B163" s="41" t="s">
        <v>176</v>
      </c>
      <c r="C163" s="11" t="s">
        <v>44</v>
      </c>
      <c r="D163" s="12" t="s">
        <v>9</v>
      </c>
      <c r="E163" s="12">
        <v>91</v>
      </c>
      <c r="F163" s="12">
        <f>'Ед. Цени'!E57</f>
        <v>32.11</v>
      </c>
      <c r="G163" s="12">
        <f t="shared" si="29"/>
        <v>2922.01</v>
      </c>
    </row>
    <row r="164" spans="1:7" ht="30" x14ac:dyDescent="0.25">
      <c r="A164" s="10">
        <v>10</v>
      </c>
      <c r="B164" s="41" t="s">
        <v>134</v>
      </c>
      <c r="C164" s="11" t="s">
        <v>14</v>
      </c>
      <c r="D164" s="12" t="s">
        <v>9</v>
      </c>
      <c r="E164" s="12">
        <v>8</v>
      </c>
      <c r="F164" s="12">
        <f>'Ед. Цени'!E15</f>
        <v>8.8800000000000008</v>
      </c>
      <c r="G164" s="12">
        <f t="shared" si="29"/>
        <v>71.040000000000006</v>
      </c>
    </row>
    <row r="165" spans="1:7" x14ac:dyDescent="0.25">
      <c r="A165" s="10">
        <v>11</v>
      </c>
      <c r="B165" s="41" t="s">
        <v>135</v>
      </c>
      <c r="C165" s="13" t="s">
        <v>15</v>
      </c>
      <c r="D165" s="12" t="s">
        <v>16</v>
      </c>
      <c r="E165" s="12">
        <v>3</v>
      </c>
      <c r="F165" s="12">
        <f>'Ед. Цени'!E16</f>
        <v>17.329999999999998</v>
      </c>
      <c r="G165" s="12">
        <f t="shared" si="29"/>
        <v>51.99</v>
      </c>
    </row>
    <row r="166" spans="1:7" x14ac:dyDescent="0.25">
      <c r="A166" s="10">
        <v>12</v>
      </c>
      <c r="B166" s="41" t="s">
        <v>177</v>
      </c>
      <c r="C166" s="14" t="s">
        <v>45</v>
      </c>
      <c r="D166" s="12" t="s">
        <v>46</v>
      </c>
      <c r="E166" s="12">
        <v>13</v>
      </c>
      <c r="F166" s="12">
        <f>'Ед. Цени'!E58</f>
        <v>134.12</v>
      </c>
      <c r="G166" s="12">
        <f t="shared" si="29"/>
        <v>1743.56</v>
      </c>
    </row>
    <row r="167" spans="1:7" ht="45" x14ac:dyDescent="0.25">
      <c r="A167" s="10">
        <v>13</v>
      </c>
      <c r="B167" s="41" t="s">
        <v>178</v>
      </c>
      <c r="C167" s="11" t="s">
        <v>47</v>
      </c>
      <c r="D167" s="10" t="s">
        <v>9</v>
      </c>
      <c r="E167" s="10">
        <v>44</v>
      </c>
      <c r="F167" s="50">
        <f>'Ед. Цени'!E59</f>
        <v>33.08</v>
      </c>
      <c r="G167" s="12">
        <f t="shared" si="29"/>
        <v>1455.52</v>
      </c>
    </row>
    <row r="168" spans="1:7" x14ac:dyDescent="0.25">
      <c r="A168" s="10">
        <v>14</v>
      </c>
      <c r="B168" s="41" t="s">
        <v>179</v>
      </c>
      <c r="C168" s="14" t="s">
        <v>48</v>
      </c>
      <c r="D168" s="10" t="s">
        <v>20</v>
      </c>
      <c r="E168" s="10">
        <v>284</v>
      </c>
      <c r="F168" s="50">
        <f>'Ед. Цени'!E60</f>
        <v>9.17</v>
      </c>
      <c r="G168" s="12">
        <f t="shared" si="29"/>
        <v>2604.2800000000002</v>
      </c>
    </row>
    <row r="169" spans="1:7" ht="30" x14ac:dyDescent="0.25">
      <c r="A169" s="10">
        <v>15</v>
      </c>
      <c r="B169" s="41" t="s">
        <v>180</v>
      </c>
      <c r="C169" s="11" t="s">
        <v>49</v>
      </c>
      <c r="D169" s="12" t="s">
        <v>21</v>
      </c>
      <c r="E169" s="10">
        <v>1</v>
      </c>
      <c r="F169" s="50">
        <f>'Ед. Цени'!E61</f>
        <v>38.119999999999997</v>
      </c>
      <c r="G169" s="12">
        <f t="shared" si="29"/>
        <v>38.119999999999997</v>
      </c>
    </row>
    <row r="170" spans="1:7" x14ac:dyDescent="0.25">
      <c r="A170" s="7" t="s">
        <v>18</v>
      </c>
      <c r="B170" s="7"/>
      <c r="C170" s="18" t="s">
        <v>19</v>
      </c>
      <c r="D170" s="9"/>
      <c r="E170" s="9"/>
      <c r="F170" s="9"/>
      <c r="G170" s="9"/>
    </row>
    <row r="171" spans="1:7" x14ac:dyDescent="0.25">
      <c r="A171" s="12">
        <v>1</v>
      </c>
      <c r="B171" s="12" t="s">
        <v>137</v>
      </c>
      <c r="C171" s="13" t="s">
        <v>65</v>
      </c>
      <c r="D171" s="12" t="s">
        <v>20</v>
      </c>
      <c r="E171" s="12">
        <v>133</v>
      </c>
      <c r="F171" s="12">
        <f>'Ед. Цени'!E18</f>
        <v>18.440000000000001</v>
      </c>
      <c r="G171" s="12">
        <f t="shared" si="29"/>
        <v>2452.52</v>
      </c>
    </row>
    <row r="172" spans="1:7" x14ac:dyDescent="0.25">
      <c r="A172" s="12">
        <v>2</v>
      </c>
      <c r="B172" s="12" t="s">
        <v>139</v>
      </c>
      <c r="C172" s="11" t="s">
        <v>67</v>
      </c>
      <c r="D172" s="12" t="s">
        <v>21</v>
      </c>
      <c r="E172" s="12">
        <v>2</v>
      </c>
      <c r="F172" s="12">
        <f>'Ед. Цени'!E20</f>
        <v>36.21</v>
      </c>
      <c r="G172" s="12">
        <f t="shared" si="29"/>
        <v>72.42</v>
      </c>
    </row>
    <row r="173" spans="1:7" x14ac:dyDescent="0.25">
      <c r="A173" s="12">
        <v>3</v>
      </c>
      <c r="B173" s="12" t="s">
        <v>141</v>
      </c>
      <c r="C173" s="14" t="s">
        <v>69</v>
      </c>
      <c r="D173" s="15" t="s">
        <v>21</v>
      </c>
      <c r="E173" s="15">
        <v>1</v>
      </c>
      <c r="F173" s="15">
        <f>'Ед. Цени'!E22</f>
        <v>48.31</v>
      </c>
      <c r="G173" s="12">
        <f t="shared" si="29"/>
        <v>48.31</v>
      </c>
    </row>
    <row r="174" spans="1:7" x14ac:dyDescent="0.25">
      <c r="A174" s="12">
        <v>4</v>
      </c>
      <c r="B174" s="12" t="s">
        <v>181</v>
      </c>
      <c r="C174" s="14" t="s">
        <v>81</v>
      </c>
      <c r="D174" s="15" t="s">
        <v>21</v>
      </c>
      <c r="E174" s="15">
        <v>1</v>
      </c>
      <c r="F174" s="15">
        <f>'Ед. Цени'!E62</f>
        <v>29.8</v>
      </c>
      <c r="G174" s="12">
        <f t="shared" si="29"/>
        <v>29.8</v>
      </c>
    </row>
    <row r="175" spans="1:7" ht="30" x14ac:dyDescent="0.25">
      <c r="A175" s="12">
        <v>5</v>
      </c>
      <c r="B175" s="12" t="s">
        <v>148</v>
      </c>
      <c r="C175" s="11" t="s">
        <v>23</v>
      </c>
      <c r="D175" s="12" t="s">
        <v>21</v>
      </c>
      <c r="E175" s="12">
        <v>1</v>
      </c>
      <c r="F175" s="12">
        <f>'Ед. Цени'!E29</f>
        <v>150.69999999999999</v>
      </c>
      <c r="G175" s="12">
        <f t="shared" si="29"/>
        <v>150.69999999999999</v>
      </c>
    </row>
    <row r="176" spans="1:7" x14ac:dyDescent="0.25">
      <c r="A176" s="12">
        <v>6</v>
      </c>
      <c r="B176" s="12" t="s">
        <v>150</v>
      </c>
      <c r="C176" s="11" t="s">
        <v>25</v>
      </c>
      <c r="D176" s="12" t="s">
        <v>21</v>
      </c>
      <c r="E176" s="12">
        <v>1</v>
      </c>
      <c r="F176" s="12">
        <f>'Ед. Цени'!E31</f>
        <v>324.5</v>
      </c>
      <c r="G176" s="12">
        <f t="shared" si="29"/>
        <v>324.5</v>
      </c>
    </row>
    <row r="177" spans="1:7" ht="30" x14ac:dyDescent="0.25">
      <c r="A177" s="12">
        <v>7</v>
      </c>
      <c r="B177" s="12" t="s">
        <v>152</v>
      </c>
      <c r="C177" s="11" t="s">
        <v>27</v>
      </c>
      <c r="D177" s="12" t="s">
        <v>21</v>
      </c>
      <c r="E177" s="12">
        <v>3</v>
      </c>
      <c r="F177" s="12">
        <f>'Ед. Цени'!E33</f>
        <v>34.49</v>
      </c>
      <c r="G177" s="12">
        <f t="shared" si="29"/>
        <v>103.47</v>
      </c>
    </row>
    <row r="178" spans="1:7" x14ac:dyDescent="0.25">
      <c r="A178" s="12">
        <v>8</v>
      </c>
      <c r="B178" s="12" t="s">
        <v>153</v>
      </c>
      <c r="C178" s="11" t="s">
        <v>28</v>
      </c>
      <c r="D178" s="12" t="s">
        <v>21</v>
      </c>
      <c r="E178" s="12">
        <v>6</v>
      </c>
      <c r="F178" s="12">
        <f>'Ед. Цени'!E34</f>
        <v>20.92</v>
      </c>
      <c r="G178" s="12">
        <f t="shared" si="29"/>
        <v>125.52</v>
      </c>
    </row>
    <row r="179" spans="1:7" x14ac:dyDescent="0.25">
      <c r="A179" s="16">
        <v>9</v>
      </c>
      <c r="B179" s="16"/>
      <c r="C179" s="17" t="s">
        <v>78</v>
      </c>
      <c r="D179" s="16" t="s">
        <v>21</v>
      </c>
      <c r="E179" s="16">
        <v>7</v>
      </c>
      <c r="F179" s="16"/>
      <c r="G179" s="16"/>
    </row>
    <row r="180" spans="1:7" ht="31.5" x14ac:dyDescent="0.25">
      <c r="A180" s="2" t="s">
        <v>91</v>
      </c>
      <c r="B180" s="2" t="s">
        <v>157</v>
      </c>
      <c r="C180" s="3" t="s">
        <v>85</v>
      </c>
      <c r="D180" s="2" t="s">
        <v>20</v>
      </c>
      <c r="E180" s="2">
        <f t="shared" ref="E180" si="30">E179*6</f>
        <v>42</v>
      </c>
      <c r="F180" s="2">
        <f>'Ед. Цени'!E38</f>
        <v>5.29</v>
      </c>
      <c r="G180" s="12">
        <f t="shared" si="29"/>
        <v>222.18</v>
      </c>
    </row>
    <row r="181" spans="1:7" ht="31.5" x14ac:dyDescent="0.25">
      <c r="A181" s="2" t="s">
        <v>91</v>
      </c>
      <c r="B181" s="2" t="s">
        <v>162</v>
      </c>
      <c r="C181" s="3" t="s">
        <v>90</v>
      </c>
      <c r="D181" s="2" t="s">
        <v>21</v>
      </c>
      <c r="E181" s="2">
        <f t="shared" ref="E181" si="31">E179*1</f>
        <v>7</v>
      </c>
      <c r="F181" s="2">
        <f>'Ед. Цени'!E43</f>
        <v>64.92</v>
      </c>
      <c r="G181" s="12">
        <f t="shared" si="29"/>
        <v>454.44</v>
      </c>
    </row>
    <row r="182" spans="1:7" ht="31.5" x14ac:dyDescent="0.25">
      <c r="A182" s="2" t="s">
        <v>91</v>
      </c>
      <c r="B182" s="2" t="s">
        <v>159</v>
      </c>
      <c r="C182" s="3" t="s">
        <v>87</v>
      </c>
      <c r="D182" s="2" t="s">
        <v>21</v>
      </c>
      <c r="E182" s="2">
        <f t="shared" ref="E182" si="32">E179*2</f>
        <v>14</v>
      </c>
      <c r="F182" s="2">
        <f>'Ед. Цени'!E40</f>
        <v>24.34</v>
      </c>
      <c r="G182" s="12">
        <f t="shared" si="29"/>
        <v>340.76</v>
      </c>
    </row>
    <row r="183" spans="1:7" ht="15.75" x14ac:dyDescent="0.25">
      <c r="A183" s="2" t="s">
        <v>91</v>
      </c>
      <c r="B183" s="2" t="s">
        <v>160</v>
      </c>
      <c r="C183" s="3" t="s">
        <v>88</v>
      </c>
      <c r="D183" s="2" t="s">
        <v>21</v>
      </c>
      <c r="E183" s="2">
        <f t="shared" ref="E183" si="33">E179*1</f>
        <v>7</v>
      </c>
      <c r="F183" s="2">
        <f>'Ед. Цени'!E41</f>
        <v>128.91999999999999</v>
      </c>
      <c r="G183" s="12">
        <f t="shared" si="29"/>
        <v>902.44</v>
      </c>
    </row>
    <row r="184" spans="1:7" ht="31.5" x14ac:dyDescent="0.25">
      <c r="A184" s="2" t="s">
        <v>91</v>
      </c>
      <c r="B184" s="2" t="s">
        <v>161</v>
      </c>
      <c r="C184" s="3" t="s">
        <v>89</v>
      </c>
      <c r="D184" s="2" t="s">
        <v>21</v>
      </c>
      <c r="E184" s="2">
        <f t="shared" ref="E184" si="34">E179*1</f>
        <v>7</v>
      </c>
      <c r="F184" s="2">
        <f>'Ед. Цени'!E42</f>
        <v>25.8</v>
      </c>
      <c r="G184" s="12">
        <f t="shared" si="29"/>
        <v>180.6</v>
      </c>
    </row>
    <row r="185" spans="1:7" x14ac:dyDescent="0.25">
      <c r="A185" s="12">
        <v>10</v>
      </c>
      <c r="B185" s="12" t="s">
        <v>163</v>
      </c>
      <c r="C185" s="13" t="s">
        <v>30</v>
      </c>
      <c r="D185" s="12" t="s">
        <v>20</v>
      </c>
      <c r="E185" s="12">
        <v>133</v>
      </c>
      <c r="F185" s="12">
        <f>'Ед. Цени'!E44</f>
        <v>1.5</v>
      </c>
      <c r="G185" s="12">
        <f t="shared" si="29"/>
        <v>199.5</v>
      </c>
    </row>
    <row r="186" spans="1:7" x14ac:dyDescent="0.25">
      <c r="A186" s="12">
        <v>11</v>
      </c>
      <c r="B186" s="12" t="s">
        <v>164</v>
      </c>
      <c r="C186" s="13" t="s">
        <v>31</v>
      </c>
      <c r="D186" s="12" t="s">
        <v>20</v>
      </c>
      <c r="E186" s="12">
        <v>133</v>
      </c>
      <c r="F186" s="12">
        <f>'Ед. Цени'!E45</f>
        <v>0.9</v>
      </c>
      <c r="G186" s="12">
        <f t="shared" si="29"/>
        <v>119.7</v>
      </c>
    </row>
    <row r="187" spans="1:7" x14ac:dyDescent="0.25">
      <c r="A187" s="12">
        <v>12</v>
      </c>
      <c r="B187" s="12" t="s">
        <v>165</v>
      </c>
      <c r="C187" s="13" t="s">
        <v>32</v>
      </c>
      <c r="D187" s="12" t="s">
        <v>20</v>
      </c>
      <c r="E187" s="12">
        <v>133</v>
      </c>
      <c r="F187" s="12">
        <f>'Ед. Цени'!E46</f>
        <v>2.23</v>
      </c>
      <c r="G187" s="12">
        <f t="shared" si="29"/>
        <v>296.58999999999997</v>
      </c>
    </row>
    <row r="188" spans="1:7" x14ac:dyDescent="0.25">
      <c r="A188" s="12">
        <v>13</v>
      </c>
      <c r="B188" s="12" t="s">
        <v>166</v>
      </c>
      <c r="C188" s="13" t="s">
        <v>33</v>
      </c>
      <c r="D188" s="12" t="s">
        <v>20</v>
      </c>
      <c r="E188" s="12">
        <v>133</v>
      </c>
      <c r="F188" s="12">
        <f>'Ед. Цени'!E47</f>
        <v>1.75</v>
      </c>
      <c r="G188" s="12">
        <f t="shared" si="29"/>
        <v>232.75</v>
      </c>
    </row>
    <row r="189" spans="1:7" x14ac:dyDescent="0.25">
      <c r="A189" s="12">
        <v>14</v>
      </c>
      <c r="B189" s="12" t="s">
        <v>168</v>
      </c>
      <c r="C189" s="13" t="s">
        <v>80</v>
      </c>
      <c r="D189" s="12" t="s">
        <v>21</v>
      </c>
      <c r="E189" s="12">
        <v>23</v>
      </c>
      <c r="F189" s="12">
        <f>'Ед. Цени'!E49</f>
        <v>24.99</v>
      </c>
      <c r="G189" s="12">
        <f t="shared" si="29"/>
        <v>574.77</v>
      </c>
    </row>
    <row r="190" spans="1:7" x14ac:dyDescent="0.25">
      <c r="A190" s="24" t="s">
        <v>97</v>
      </c>
      <c r="B190" s="42"/>
      <c r="C190" s="79" t="s">
        <v>110</v>
      </c>
      <c r="D190" s="80"/>
      <c r="E190" s="80"/>
      <c r="F190" s="81"/>
      <c r="G190" s="25">
        <f>SUM(G154:G189)</f>
        <v>20317.789999999997</v>
      </c>
    </row>
    <row r="191" spans="1:7" x14ac:dyDescent="0.25">
      <c r="A191" s="73" t="s">
        <v>51</v>
      </c>
      <c r="B191" s="73"/>
      <c r="C191" s="73"/>
      <c r="D191" s="73"/>
      <c r="E191" s="73"/>
      <c r="F191" s="73"/>
      <c r="G191" s="73"/>
    </row>
    <row r="192" spans="1:7" x14ac:dyDescent="0.25">
      <c r="A192" s="7" t="s">
        <v>5</v>
      </c>
      <c r="B192" s="7"/>
      <c r="C192" s="8" t="s">
        <v>6</v>
      </c>
      <c r="D192" s="9"/>
      <c r="E192" s="9"/>
      <c r="F192" s="9"/>
      <c r="G192" s="9"/>
    </row>
    <row r="193" spans="1:7" x14ac:dyDescent="0.25">
      <c r="A193" s="12">
        <v>1</v>
      </c>
      <c r="B193" s="12" t="s">
        <v>171</v>
      </c>
      <c r="C193" s="11" t="s">
        <v>39</v>
      </c>
      <c r="D193" s="12" t="s">
        <v>20</v>
      </c>
      <c r="E193" s="12">
        <v>322</v>
      </c>
      <c r="F193" s="12">
        <f>'Ед. Цени'!E52</f>
        <v>1.74</v>
      </c>
      <c r="G193" s="12">
        <f t="shared" ref="G193:G234" si="35">ROUND(E193*F193,2)</f>
        <v>560.28</v>
      </c>
    </row>
    <row r="194" spans="1:7" ht="30" x14ac:dyDescent="0.25">
      <c r="A194" s="12">
        <v>2</v>
      </c>
      <c r="B194" s="12" t="s">
        <v>172</v>
      </c>
      <c r="C194" s="11" t="s">
        <v>40</v>
      </c>
      <c r="D194" s="12" t="s">
        <v>12</v>
      </c>
      <c r="E194" s="12">
        <v>128</v>
      </c>
      <c r="F194" s="12">
        <f>'Ед. Цени'!E53</f>
        <v>3.43</v>
      </c>
      <c r="G194" s="12">
        <f t="shared" si="35"/>
        <v>439.04</v>
      </c>
    </row>
    <row r="195" spans="1:7" ht="30" x14ac:dyDescent="0.25">
      <c r="A195" s="12">
        <v>3</v>
      </c>
      <c r="B195" s="12" t="s">
        <v>173</v>
      </c>
      <c r="C195" s="11" t="s">
        <v>41</v>
      </c>
      <c r="D195" s="12" t="s">
        <v>9</v>
      </c>
      <c r="E195" s="12">
        <v>13</v>
      </c>
      <c r="F195" s="12">
        <f>'Ед. Цени'!E54</f>
        <v>4.08</v>
      </c>
      <c r="G195" s="12">
        <f t="shared" si="35"/>
        <v>53.04</v>
      </c>
    </row>
    <row r="196" spans="1:7" ht="30" x14ac:dyDescent="0.25">
      <c r="A196" s="74">
        <v>4</v>
      </c>
      <c r="B196" s="39"/>
      <c r="C196" s="11" t="s">
        <v>7</v>
      </c>
      <c r="D196" s="12"/>
      <c r="E196" s="12"/>
      <c r="F196" s="12"/>
      <c r="G196" s="12"/>
    </row>
    <row r="197" spans="1:7" ht="18" x14ac:dyDescent="0.25">
      <c r="A197" s="74"/>
      <c r="B197" s="41" t="s">
        <v>130</v>
      </c>
      <c r="C197" s="13" t="s">
        <v>8</v>
      </c>
      <c r="D197" s="12" t="s">
        <v>9</v>
      </c>
      <c r="E197" s="12">
        <v>676</v>
      </c>
      <c r="F197" s="12">
        <f>'Ед. Цени'!E11</f>
        <v>5.57</v>
      </c>
      <c r="G197" s="12">
        <f t="shared" si="35"/>
        <v>3765.32</v>
      </c>
    </row>
    <row r="198" spans="1:7" ht="30" x14ac:dyDescent="0.25">
      <c r="A198" s="10">
        <v>5</v>
      </c>
      <c r="B198" s="41" t="s">
        <v>131</v>
      </c>
      <c r="C198" s="11" t="s">
        <v>10</v>
      </c>
      <c r="D198" s="12" t="s">
        <v>9</v>
      </c>
      <c r="E198" s="12">
        <v>311</v>
      </c>
      <c r="F198" s="12">
        <f>'Ед. Цени'!E12</f>
        <v>2.79</v>
      </c>
      <c r="G198" s="12">
        <f t="shared" si="35"/>
        <v>867.69</v>
      </c>
    </row>
    <row r="199" spans="1:7" ht="18" x14ac:dyDescent="0.25">
      <c r="A199" s="10">
        <v>6</v>
      </c>
      <c r="B199" s="41" t="s">
        <v>132</v>
      </c>
      <c r="C199" s="13" t="s">
        <v>11</v>
      </c>
      <c r="D199" s="12" t="s">
        <v>12</v>
      </c>
      <c r="E199" s="12">
        <v>826</v>
      </c>
      <c r="F199" s="12">
        <f>'Ед. Цени'!E13</f>
        <v>1.38</v>
      </c>
      <c r="G199" s="12">
        <f t="shared" si="35"/>
        <v>1139.8800000000001</v>
      </c>
    </row>
    <row r="200" spans="1:7" ht="60" x14ac:dyDescent="0.25">
      <c r="A200" s="12">
        <v>7</v>
      </c>
      <c r="B200" s="41" t="s">
        <v>174</v>
      </c>
      <c r="C200" s="11" t="s">
        <v>42</v>
      </c>
      <c r="D200" s="12" t="s">
        <v>9</v>
      </c>
      <c r="E200" s="12">
        <v>53</v>
      </c>
      <c r="F200" s="12">
        <f>'Ед. Цени'!E55</f>
        <v>36.6</v>
      </c>
      <c r="G200" s="12">
        <f t="shared" si="35"/>
        <v>1939.8</v>
      </c>
    </row>
    <row r="201" spans="1:7" ht="60" x14ac:dyDescent="0.25">
      <c r="A201" s="12">
        <v>8</v>
      </c>
      <c r="B201" s="41" t="s">
        <v>133</v>
      </c>
      <c r="C201" s="11" t="s">
        <v>13</v>
      </c>
      <c r="D201" s="12" t="s">
        <v>9</v>
      </c>
      <c r="E201" s="12">
        <v>106</v>
      </c>
      <c r="F201" s="12">
        <f>'Ед. Цени'!E14</f>
        <v>36.6</v>
      </c>
      <c r="G201" s="12">
        <f t="shared" si="35"/>
        <v>3879.6</v>
      </c>
    </row>
    <row r="202" spans="1:7" ht="45" x14ac:dyDescent="0.25">
      <c r="A202" s="12">
        <v>9</v>
      </c>
      <c r="B202" s="41" t="s">
        <v>176</v>
      </c>
      <c r="C202" s="11" t="s">
        <v>44</v>
      </c>
      <c r="D202" s="12" t="s">
        <v>9</v>
      </c>
      <c r="E202" s="12">
        <v>57</v>
      </c>
      <c r="F202" s="12">
        <f>'Ед. Цени'!E57</f>
        <v>32.11</v>
      </c>
      <c r="G202" s="12">
        <f t="shared" si="35"/>
        <v>1830.27</v>
      </c>
    </row>
    <row r="203" spans="1:7" ht="30" x14ac:dyDescent="0.25">
      <c r="A203" s="12">
        <v>10</v>
      </c>
      <c r="B203" s="41" t="s">
        <v>134</v>
      </c>
      <c r="C203" s="11" t="s">
        <v>14</v>
      </c>
      <c r="D203" s="12" t="s">
        <v>9</v>
      </c>
      <c r="E203" s="12">
        <v>352</v>
      </c>
      <c r="F203" s="12">
        <f>'Ед. Цени'!E15</f>
        <v>8.8800000000000008</v>
      </c>
      <c r="G203" s="12">
        <f t="shared" si="35"/>
        <v>3125.76</v>
      </c>
    </row>
    <row r="204" spans="1:7" x14ac:dyDescent="0.25">
      <c r="A204" s="12">
        <v>11</v>
      </c>
      <c r="B204" s="41" t="s">
        <v>135</v>
      </c>
      <c r="C204" s="13" t="s">
        <v>15</v>
      </c>
      <c r="D204" s="12" t="s">
        <v>16</v>
      </c>
      <c r="E204" s="12">
        <v>9</v>
      </c>
      <c r="F204" s="12">
        <f>'Ед. Цени'!E16</f>
        <v>17.329999999999998</v>
      </c>
      <c r="G204" s="12">
        <f t="shared" si="35"/>
        <v>155.97</v>
      </c>
    </row>
    <row r="205" spans="1:7" x14ac:dyDescent="0.25">
      <c r="A205" s="12">
        <v>12</v>
      </c>
      <c r="B205" s="41" t="s">
        <v>177</v>
      </c>
      <c r="C205" s="14" t="s">
        <v>45</v>
      </c>
      <c r="D205" s="12" t="s">
        <v>46</v>
      </c>
      <c r="E205" s="12">
        <v>15</v>
      </c>
      <c r="F205" s="12">
        <f>'Ед. Цени'!E58</f>
        <v>134.12</v>
      </c>
      <c r="G205" s="12">
        <f t="shared" si="35"/>
        <v>2011.8</v>
      </c>
    </row>
    <row r="206" spans="1:7" ht="45" x14ac:dyDescent="0.25">
      <c r="A206" s="12">
        <v>13</v>
      </c>
      <c r="B206" s="12" t="s">
        <v>182</v>
      </c>
      <c r="C206" s="11" t="s">
        <v>52</v>
      </c>
      <c r="D206" s="10" t="s">
        <v>9</v>
      </c>
      <c r="E206" s="10">
        <v>101</v>
      </c>
      <c r="F206" s="10">
        <f>'Ед. Цени'!E63</f>
        <v>33.08</v>
      </c>
      <c r="G206" s="12">
        <f t="shared" si="35"/>
        <v>3341.08</v>
      </c>
    </row>
    <row r="207" spans="1:7" x14ac:dyDescent="0.25">
      <c r="A207" s="12">
        <v>14</v>
      </c>
      <c r="B207" s="41" t="s">
        <v>179</v>
      </c>
      <c r="C207" s="14" t="s">
        <v>48</v>
      </c>
      <c r="D207" s="10" t="s">
        <v>20</v>
      </c>
      <c r="E207" s="10">
        <v>322</v>
      </c>
      <c r="F207" s="50">
        <f>'Ед. Цени'!E60</f>
        <v>9.17</v>
      </c>
      <c r="G207" s="12">
        <f t="shared" si="35"/>
        <v>2952.74</v>
      </c>
    </row>
    <row r="208" spans="1:7" ht="30" x14ac:dyDescent="0.25">
      <c r="A208" s="12">
        <v>15</v>
      </c>
      <c r="B208" s="41" t="s">
        <v>180</v>
      </c>
      <c r="C208" s="11" t="s">
        <v>49</v>
      </c>
      <c r="D208" s="12" t="s">
        <v>21</v>
      </c>
      <c r="E208" s="10">
        <v>2</v>
      </c>
      <c r="F208" s="50">
        <f>'Ед. Цени'!E61</f>
        <v>38.119999999999997</v>
      </c>
      <c r="G208" s="12">
        <f t="shared" si="35"/>
        <v>76.239999999999995</v>
      </c>
    </row>
    <row r="209" spans="1:7" x14ac:dyDescent="0.25">
      <c r="A209" s="7" t="s">
        <v>18</v>
      </c>
      <c r="B209" s="7"/>
      <c r="C209" s="8" t="s">
        <v>19</v>
      </c>
      <c r="D209" s="9"/>
      <c r="E209" s="9"/>
      <c r="F209" s="9"/>
      <c r="G209" s="9"/>
    </row>
    <row r="210" spans="1:7" x14ac:dyDescent="0.25">
      <c r="A210" s="12">
        <v>1</v>
      </c>
      <c r="B210" s="12" t="s">
        <v>137</v>
      </c>
      <c r="C210" s="13" t="s">
        <v>65</v>
      </c>
      <c r="D210" s="12" t="s">
        <v>20</v>
      </c>
      <c r="E210" s="12">
        <v>459</v>
      </c>
      <c r="F210" s="12">
        <f>'Ед. Цени'!E18</f>
        <v>18.440000000000001</v>
      </c>
      <c r="G210" s="12">
        <f t="shared" si="35"/>
        <v>8463.9599999999991</v>
      </c>
    </row>
    <row r="211" spans="1:7" x14ac:dyDescent="0.25">
      <c r="A211" s="12">
        <v>2</v>
      </c>
      <c r="B211" s="12" t="s">
        <v>139</v>
      </c>
      <c r="C211" s="11" t="s">
        <v>67</v>
      </c>
      <c r="D211" s="12" t="s">
        <v>21</v>
      </c>
      <c r="E211" s="12">
        <v>2</v>
      </c>
      <c r="F211" s="12">
        <f>'Ед. Цени'!E20</f>
        <v>36.21</v>
      </c>
      <c r="G211" s="12">
        <f t="shared" si="35"/>
        <v>72.42</v>
      </c>
    </row>
    <row r="212" spans="1:7" x14ac:dyDescent="0.25">
      <c r="A212" s="12">
        <v>3</v>
      </c>
      <c r="B212" s="12" t="s">
        <v>140</v>
      </c>
      <c r="C212" s="11" t="s">
        <v>68</v>
      </c>
      <c r="D212" s="12" t="s">
        <v>21</v>
      </c>
      <c r="E212" s="12">
        <v>1</v>
      </c>
      <c r="F212" s="12">
        <f>'Ед. Цени'!E21</f>
        <v>26.26</v>
      </c>
      <c r="G212" s="12">
        <f t="shared" si="35"/>
        <v>26.26</v>
      </c>
    </row>
    <row r="213" spans="1:7" x14ac:dyDescent="0.25">
      <c r="A213" s="12">
        <v>4</v>
      </c>
      <c r="B213" s="12" t="s">
        <v>141</v>
      </c>
      <c r="C213" s="14" t="s">
        <v>69</v>
      </c>
      <c r="D213" s="15" t="s">
        <v>21</v>
      </c>
      <c r="E213" s="15">
        <v>1</v>
      </c>
      <c r="F213" s="15">
        <f>'Ед. Цени'!E22</f>
        <v>48.31</v>
      </c>
      <c r="G213" s="12">
        <f t="shared" si="35"/>
        <v>48.31</v>
      </c>
    </row>
    <row r="214" spans="1:7" x14ac:dyDescent="0.25">
      <c r="A214" s="12">
        <v>5</v>
      </c>
      <c r="B214" s="12" t="s">
        <v>144</v>
      </c>
      <c r="C214" s="11" t="s">
        <v>72</v>
      </c>
      <c r="D214" s="12" t="s">
        <v>21</v>
      </c>
      <c r="E214" s="12">
        <v>1</v>
      </c>
      <c r="F214" s="12">
        <f>'Ед. Цени'!E25</f>
        <v>32.58</v>
      </c>
      <c r="G214" s="12">
        <f t="shared" si="35"/>
        <v>32.58</v>
      </c>
    </row>
    <row r="215" spans="1:7" x14ac:dyDescent="0.25">
      <c r="A215" s="12">
        <v>6</v>
      </c>
      <c r="B215" s="12" t="s">
        <v>142</v>
      </c>
      <c r="C215" s="11" t="s">
        <v>70</v>
      </c>
      <c r="D215" s="12" t="s">
        <v>21</v>
      </c>
      <c r="E215" s="12">
        <v>2</v>
      </c>
      <c r="F215" s="12">
        <f>'Ед. Цени'!E23</f>
        <v>50.73</v>
      </c>
      <c r="G215" s="12">
        <f t="shared" si="35"/>
        <v>101.46</v>
      </c>
    </row>
    <row r="216" spans="1:7" ht="30" x14ac:dyDescent="0.25">
      <c r="A216" s="12">
        <v>7</v>
      </c>
      <c r="B216" s="12" t="s">
        <v>147</v>
      </c>
      <c r="C216" s="11" t="s">
        <v>22</v>
      </c>
      <c r="D216" s="12" t="s">
        <v>21</v>
      </c>
      <c r="E216" s="12">
        <v>1</v>
      </c>
      <c r="F216" s="12">
        <f>'Ед. Цени'!E28</f>
        <v>138.6</v>
      </c>
      <c r="G216" s="12">
        <f t="shared" si="35"/>
        <v>138.6</v>
      </c>
    </row>
    <row r="217" spans="1:7" ht="30" x14ac:dyDescent="0.25">
      <c r="A217" s="12">
        <v>8</v>
      </c>
      <c r="B217" s="12" t="s">
        <v>148</v>
      </c>
      <c r="C217" s="11" t="s">
        <v>23</v>
      </c>
      <c r="D217" s="12" t="s">
        <v>21</v>
      </c>
      <c r="E217" s="12">
        <v>2</v>
      </c>
      <c r="F217" s="12">
        <f>'Ед. Цени'!E29</f>
        <v>150.69999999999999</v>
      </c>
      <c r="G217" s="12">
        <f t="shared" si="35"/>
        <v>301.39999999999998</v>
      </c>
    </row>
    <row r="218" spans="1:7" x14ac:dyDescent="0.25">
      <c r="A218" s="12">
        <v>9</v>
      </c>
      <c r="B218" s="12" t="s">
        <v>150</v>
      </c>
      <c r="C218" s="11" t="s">
        <v>25</v>
      </c>
      <c r="D218" s="12" t="s">
        <v>21</v>
      </c>
      <c r="E218" s="12">
        <v>1</v>
      </c>
      <c r="F218" s="12">
        <f>'Ед. Цени'!E31</f>
        <v>324.5</v>
      </c>
      <c r="G218" s="12">
        <f t="shared" si="35"/>
        <v>324.5</v>
      </c>
    </row>
    <row r="219" spans="1:7" x14ac:dyDescent="0.25">
      <c r="A219" s="12">
        <v>10</v>
      </c>
      <c r="B219" s="12" t="s">
        <v>149</v>
      </c>
      <c r="C219" s="11" t="s">
        <v>24</v>
      </c>
      <c r="D219" s="12" t="s">
        <v>21</v>
      </c>
      <c r="E219" s="12">
        <v>1</v>
      </c>
      <c r="F219" s="12">
        <f>'Ед. Цени'!E30</f>
        <v>239.8</v>
      </c>
      <c r="G219" s="12">
        <f t="shared" si="35"/>
        <v>239.8</v>
      </c>
    </row>
    <row r="220" spans="1:7" ht="30" x14ac:dyDescent="0.25">
      <c r="A220" s="12">
        <v>11</v>
      </c>
      <c r="B220" s="12" t="s">
        <v>152</v>
      </c>
      <c r="C220" s="11" t="s">
        <v>27</v>
      </c>
      <c r="D220" s="12" t="s">
        <v>21</v>
      </c>
      <c r="E220" s="12">
        <v>2</v>
      </c>
      <c r="F220" s="12">
        <f>'Ед. Цени'!E33</f>
        <v>34.49</v>
      </c>
      <c r="G220" s="12">
        <f t="shared" si="35"/>
        <v>68.98</v>
      </c>
    </row>
    <row r="221" spans="1:7" ht="30" x14ac:dyDescent="0.25">
      <c r="A221" s="12">
        <v>12</v>
      </c>
      <c r="B221" s="12" t="s">
        <v>151</v>
      </c>
      <c r="C221" s="11" t="s">
        <v>26</v>
      </c>
      <c r="D221" s="12" t="s">
        <v>21</v>
      </c>
      <c r="E221" s="12">
        <v>1</v>
      </c>
      <c r="F221" s="12">
        <f>'Ед. Цени'!E32</f>
        <v>25.77</v>
      </c>
      <c r="G221" s="12">
        <f t="shared" si="35"/>
        <v>25.77</v>
      </c>
    </row>
    <row r="222" spans="1:7" x14ac:dyDescent="0.25">
      <c r="A222" s="12">
        <v>13</v>
      </c>
      <c r="B222" s="12" t="s">
        <v>153</v>
      </c>
      <c r="C222" s="11" t="s">
        <v>28</v>
      </c>
      <c r="D222" s="12" t="s">
        <v>21</v>
      </c>
      <c r="E222" s="12">
        <v>6</v>
      </c>
      <c r="F222" s="12">
        <f>'Ед. Цени'!E34</f>
        <v>20.92</v>
      </c>
      <c r="G222" s="12">
        <f t="shared" si="35"/>
        <v>125.52</v>
      </c>
    </row>
    <row r="223" spans="1:7" x14ac:dyDescent="0.25">
      <c r="A223" s="16">
        <v>14</v>
      </c>
      <c r="B223" s="16"/>
      <c r="C223" s="17" t="s">
        <v>78</v>
      </c>
      <c r="D223" s="16" t="s">
        <v>21</v>
      </c>
      <c r="E223" s="16">
        <v>18</v>
      </c>
      <c r="F223" s="16"/>
      <c r="G223" s="16"/>
    </row>
    <row r="224" spans="1:7" ht="31.5" x14ac:dyDescent="0.25">
      <c r="A224" s="2" t="s">
        <v>91</v>
      </c>
      <c r="B224" s="2" t="s">
        <v>157</v>
      </c>
      <c r="C224" s="3" t="s">
        <v>85</v>
      </c>
      <c r="D224" s="2" t="s">
        <v>20</v>
      </c>
      <c r="E224" s="2">
        <f t="shared" ref="E224" si="36">E223*6</f>
        <v>108</v>
      </c>
      <c r="F224" s="2">
        <f>'Ед. Цени'!E38</f>
        <v>5.29</v>
      </c>
      <c r="G224" s="12">
        <f t="shared" si="35"/>
        <v>571.32000000000005</v>
      </c>
    </row>
    <row r="225" spans="1:7" ht="31.5" x14ac:dyDescent="0.25">
      <c r="A225" s="2" t="s">
        <v>91</v>
      </c>
      <c r="B225" s="2" t="s">
        <v>162</v>
      </c>
      <c r="C225" s="3" t="s">
        <v>90</v>
      </c>
      <c r="D225" s="2" t="s">
        <v>21</v>
      </c>
      <c r="E225" s="2">
        <f t="shared" ref="E225" si="37">E223*1</f>
        <v>18</v>
      </c>
      <c r="F225" s="2">
        <f>'Ед. Цени'!E43</f>
        <v>64.92</v>
      </c>
      <c r="G225" s="12">
        <f t="shared" si="35"/>
        <v>1168.56</v>
      </c>
    </row>
    <row r="226" spans="1:7" ht="31.5" x14ac:dyDescent="0.25">
      <c r="A226" s="2" t="s">
        <v>91</v>
      </c>
      <c r="B226" s="2" t="s">
        <v>159</v>
      </c>
      <c r="C226" s="3" t="s">
        <v>87</v>
      </c>
      <c r="D226" s="2" t="s">
        <v>21</v>
      </c>
      <c r="E226" s="2">
        <f t="shared" ref="E226" si="38">E223*2</f>
        <v>36</v>
      </c>
      <c r="F226" s="2">
        <f>'Ед. Цени'!E40</f>
        <v>24.34</v>
      </c>
      <c r="G226" s="12">
        <f t="shared" si="35"/>
        <v>876.24</v>
      </c>
    </row>
    <row r="227" spans="1:7" ht="15.75" x14ac:dyDescent="0.25">
      <c r="A227" s="2" t="s">
        <v>91</v>
      </c>
      <c r="B227" s="2" t="s">
        <v>160</v>
      </c>
      <c r="C227" s="3" t="s">
        <v>88</v>
      </c>
      <c r="D227" s="2" t="s">
        <v>21</v>
      </c>
      <c r="E227" s="2">
        <f t="shared" ref="E227" si="39">E223*1</f>
        <v>18</v>
      </c>
      <c r="F227" s="2">
        <f>'Ед. Цени'!E41</f>
        <v>128.91999999999999</v>
      </c>
      <c r="G227" s="12">
        <f t="shared" si="35"/>
        <v>2320.56</v>
      </c>
    </row>
    <row r="228" spans="1:7" ht="31.5" x14ac:dyDescent="0.25">
      <c r="A228" s="2" t="s">
        <v>91</v>
      </c>
      <c r="B228" s="2" t="s">
        <v>161</v>
      </c>
      <c r="C228" s="3" t="s">
        <v>89</v>
      </c>
      <c r="D228" s="2" t="s">
        <v>21</v>
      </c>
      <c r="E228" s="2">
        <f t="shared" ref="E228" si="40">E223*1</f>
        <v>18</v>
      </c>
      <c r="F228" s="2">
        <f>'Ед. Цени'!E42</f>
        <v>25.8</v>
      </c>
      <c r="G228" s="12">
        <f t="shared" si="35"/>
        <v>464.4</v>
      </c>
    </row>
    <row r="229" spans="1:7" x14ac:dyDescent="0.25">
      <c r="A229" s="12">
        <v>15</v>
      </c>
      <c r="B229" s="12" t="s">
        <v>163</v>
      </c>
      <c r="C229" s="13" t="s">
        <v>30</v>
      </c>
      <c r="D229" s="12" t="s">
        <v>20</v>
      </c>
      <c r="E229" s="12">
        <v>459</v>
      </c>
      <c r="F229" s="12">
        <f>'Ед. Цени'!E44</f>
        <v>1.5</v>
      </c>
      <c r="G229" s="12">
        <f t="shared" si="35"/>
        <v>688.5</v>
      </c>
    </row>
    <row r="230" spans="1:7" x14ac:dyDescent="0.25">
      <c r="A230" s="12">
        <v>16</v>
      </c>
      <c r="B230" s="12" t="s">
        <v>164</v>
      </c>
      <c r="C230" s="13" t="s">
        <v>31</v>
      </c>
      <c r="D230" s="12" t="s">
        <v>20</v>
      </c>
      <c r="E230" s="12">
        <v>459</v>
      </c>
      <c r="F230" s="12">
        <f>'Ед. Цени'!E45</f>
        <v>0.9</v>
      </c>
      <c r="G230" s="12">
        <f t="shared" si="35"/>
        <v>413.1</v>
      </c>
    </row>
    <row r="231" spans="1:7" x14ac:dyDescent="0.25">
      <c r="A231" s="12">
        <v>17</v>
      </c>
      <c r="B231" s="12" t="s">
        <v>165</v>
      </c>
      <c r="C231" s="13" t="s">
        <v>32</v>
      </c>
      <c r="D231" s="12" t="s">
        <v>20</v>
      </c>
      <c r="E231" s="12">
        <v>459</v>
      </c>
      <c r="F231" s="12">
        <f>'Ед. Цени'!E46</f>
        <v>2.23</v>
      </c>
      <c r="G231" s="12">
        <f t="shared" si="35"/>
        <v>1023.57</v>
      </c>
    </row>
    <row r="232" spans="1:7" x14ac:dyDescent="0.25">
      <c r="A232" s="12">
        <v>18</v>
      </c>
      <c r="B232" s="12" t="s">
        <v>166</v>
      </c>
      <c r="C232" s="13" t="s">
        <v>33</v>
      </c>
      <c r="D232" s="12" t="s">
        <v>20</v>
      </c>
      <c r="E232" s="12">
        <v>459</v>
      </c>
      <c r="F232" s="12">
        <f>'Ед. Цени'!E47</f>
        <v>1.75</v>
      </c>
      <c r="G232" s="12">
        <f t="shared" si="35"/>
        <v>803.25</v>
      </c>
    </row>
    <row r="233" spans="1:7" x14ac:dyDescent="0.25">
      <c r="A233" s="12">
        <v>19</v>
      </c>
      <c r="B233" s="12" t="s">
        <v>167</v>
      </c>
      <c r="C233" s="13" t="s">
        <v>79</v>
      </c>
      <c r="D233" s="12" t="s">
        <v>21</v>
      </c>
      <c r="E233" s="12">
        <v>3</v>
      </c>
      <c r="F233" s="12">
        <f>'Ед. Цени'!E48</f>
        <v>20.149999999999999</v>
      </c>
      <c r="G233" s="12">
        <f t="shared" si="35"/>
        <v>60.45</v>
      </c>
    </row>
    <row r="234" spans="1:7" x14ac:dyDescent="0.25">
      <c r="A234" s="12">
        <v>20</v>
      </c>
      <c r="B234" s="12" t="s">
        <v>168</v>
      </c>
      <c r="C234" s="13" t="s">
        <v>80</v>
      </c>
      <c r="D234" s="12" t="s">
        <v>21</v>
      </c>
      <c r="E234" s="12">
        <v>49</v>
      </c>
      <c r="F234" s="12">
        <f>'Ед. Цени'!E49</f>
        <v>24.99</v>
      </c>
      <c r="G234" s="12">
        <f t="shared" si="35"/>
        <v>1224.51</v>
      </c>
    </row>
    <row r="235" spans="1:7" x14ac:dyDescent="0.25">
      <c r="A235" s="24" t="s">
        <v>98</v>
      </c>
      <c r="B235" s="42"/>
      <c r="C235" s="79" t="s">
        <v>111</v>
      </c>
      <c r="D235" s="80"/>
      <c r="E235" s="80"/>
      <c r="F235" s="81"/>
      <c r="G235" s="25">
        <f>SUM(G193:G234)</f>
        <v>45722.529999999992</v>
      </c>
    </row>
    <row r="236" spans="1:7" x14ac:dyDescent="0.25">
      <c r="A236" s="73" t="s">
        <v>53</v>
      </c>
      <c r="B236" s="73"/>
      <c r="C236" s="73"/>
      <c r="D236" s="73"/>
      <c r="E236" s="73"/>
      <c r="F236" s="73"/>
      <c r="G236" s="73"/>
    </row>
    <row r="237" spans="1:7" x14ac:dyDescent="0.25">
      <c r="A237" s="8" t="s">
        <v>5</v>
      </c>
      <c r="B237" s="8"/>
      <c r="C237" s="8" t="s">
        <v>6</v>
      </c>
      <c r="D237" s="19"/>
      <c r="E237" s="19"/>
      <c r="F237" s="19"/>
      <c r="G237" s="19"/>
    </row>
    <row r="238" spans="1:7" ht="30" x14ac:dyDescent="0.25">
      <c r="A238" s="74">
        <v>1</v>
      </c>
      <c r="B238" s="39"/>
      <c r="C238" s="11" t="s">
        <v>7</v>
      </c>
      <c r="D238" s="12"/>
      <c r="E238" s="12"/>
      <c r="F238" s="12"/>
      <c r="G238" s="12"/>
    </row>
    <row r="239" spans="1:7" ht="18" x14ac:dyDescent="0.25">
      <c r="A239" s="74"/>
      <c r="B239" s="41" t="s">
        <v>130</v>
      </c>
      <c r="C239" s="13" t="s">
        <v>8</v>
      </c>
      <c r="D239" s="12" t="s">
        <v>9</v>
      </c>
      <c r="E239" s="12">
        <v>94</v>
      </c>
      <c r="F239" s="12">
        <f>'Ед. Цени'!E11</f>
        <v>5.57</v>
      </c>
      <c r="G239" s="12">
        <f t="shared" ref="G239:G258" si="41">ROUND(E239*F239,2)</f>
        <v>523.58000000000004</v>
      </c>
    </row>
    <row r="240" spans="1:7" ht="30" x14ac:dyDescent="0.25">
      <c r="A240" s="10">
        <v>2</v>
      </c>
      <c r="B240" s="41" t="s">
        <v>131</v>
      </c>
      <c r="C240" s="11" t="s">
        <v>10</v>
      </c>
      <c r="D240" s="12" t="s">
        <v>9</v>
      </c>
      <c r="E240" s="12">
        <v>22</v>
      </c>
      <c r="F240" s="12">
        <f>'Ед. Цени'!E12</f>
        <v>2.79</v>
      </c>
      <c r="G240" s="12">
        <f t="shared" si="41"/>
        <v>61.38</v>
      </c>
    </row>
    <row r="241" spans="1:7" ht="18" x14ac:dyDescent="0.25">
      <c r="A241" s="10">
        <v>3</v>
      </c>
      <c r="B241" s="41" t="s">
        <v>132</v>
      </c>
      <c r="C241" s="13" t="s">
        <v>11</v>
      </c>
      <c r="D241" s="12" t="s">
        <v>12</v>
      </c>
      <c r="E241" s="12">
        <v>117</v>
      </c>
      <c r="F241" s="12">
        <f>'Ед. Цени'!E13</f>
        <v>1.38</v>
      </c>
      <c r="G241" s="12">
        <f t="shared" si="41"/>
        <v>161.46</v>
      </c>
    </row>
    <row r="242" spans="1:7" ht="60" x14ac:dyDescent="0.25">
      <c r="A242" s="10">
        <v>4</v>
      </c>
      <c r="B242" s="41" t="s">
        <v>170</v>
      </c>
      <c r="C242" s="11" t="s">
        <v>37</v>
      </c>
      <c r="D242" s="12" t="s">
        <v>9</v>
      </c>
      <c r="E242" s="12">
        <v>22</v>
      </c>
      <c r="F242" s="12">
        <f>'Ед. Цени'!E51</f>
        <v>36.6</v>
      </c>
      <c r="G242" s="12">
        <f t="shared" si="41"/>
        <v>805.2</v>
      </c>
    </row>
    <row r="243" spans="1:7" ht="30" x14ac:dyDescent="0.25">
      <c r="A243" s="10">
        <v>5</v>
      </c>
      <c r="B243" s="41" t="s">
        <v>134</v>
      </c>
      <c r="C243" s="11" t="s">
        <v>14</v>
      </c>
      <c r="D243" s="12" t="s">
        <v>9</v>
      </c>
      <c r="E243" s="12">
        <v>72</v>
      </c>
      <c r="F243" s="12">
        <f>'Ед. Цени'!E15</f>
        <v>8.8800000000000008</v>
      </c>
      <c r="G243" s="12">
        <f t="shared" si="41"/>
        <v>639.36</v>
      </c>
    </row>
    <row r="244" spans="1:7" x14ac:dyDescent="0.25">
      <c r="A244" s="10">
        <v>6</v>
      </c>
      <c r="B244" s="41" t="s">
        <v>135</v>
      </c>
      <c r="C244" s="13" t="s">
        <v>15</v>
      </c>
      <c r="D244" s="12" t="s">
        <v>16</v>
      </c>
      <c r="E244" s="12">
        <v>1</v>
      </c>
      <c r="F244" s="12">
        <f>'Ед. Цени'!E16</f>
        <v>17.329999999999998</v>
      </c>
      <c r="G244" s="12">
        <f t="shared" si="41"/>
        <v>17.329999999999998</v>
      </c>
    </row>
    <row r="245" spans="1:7" x14ac:dyDescent="0.25">
      <c r="A245" s="7" t="s">
        <v>18</v>
      </c>
      <c r="B245" s="7"/>
      <c r="C245" s="8" t="s">
        <v>19</v>
      </c>
      <c r="D245" s="9"/>
      <c r="E245" s="9"/>
      <c r="F245" s="9"/>
      <c r="G245" s="9"/>
    </row>
    <row r="246" spans="1:7" x14ac:dyDescent="0.25">
      <c r="A246" s="12">
        <v>1</v>
      </c>
      <c r="B246" s="12" t="s">
        <v>138</v>
      </c>
      <c r="C246" s="13" t="s">
        <v>66</v>
      </c>
      <c r="D246" s="12" t="s">
        <v>20</v>
      </c>
      <c r="E246" s="12">
        <v>65</v>
      </c>
      <c r="F246" s="12">
        <f>'Ед. Цени'!E19</f>
        <v>7.05</v>
      </c>
      <c r="G246" s="12">
        <f t="shared" si="41"/>
        <v>458.25</v>
      </c>
    </row>
    <row r="247" spans="1:7" x14ac:dyDescent="0.25">
      <c r="A247" s="12">
        <v>2</v>
      </c>
      <c r="B247" s="12" t="s">
        <v>183</v>
      </c>
      <c r="C247" s="14" t="s">
        <v>82</v>
      </c>
      <c r="D247" s="15" t="s">
        <v>21</v>
      </c>
      <c r="E247" s="15">
        <v>1</v>
      </c>
      <c r="F247" s="15">
        <f>'Ед. Цени'!E64</f>
        <v>23.84</v>
      </c>
      <c r="G247" s="12">
        <f t="shared" si="41"/>
        <v>23.84</v>
      </c>
    </row>
    <row r="248" spans="1:7" x14ac:dyDescent="0.25">
      <c r="A248" s="16">
        <v>3</v>
      </c>
      <c r="B248" s="16"/>
      <c r="C248" s="17" t="s">
        <v>77</v>
      </c>
      <c r="D248" s="16" t="s">
        <v>21</v>
      </c>
      <c r="E248" s="16">
        <v>2</v>
      </c>
      <c r="F248" s="16"/>
      <c r="G248" s="16"/>
    </row>
    <row r="249" spans="1:7" ht="31.5" x14ac:dyDescent="0.25">
      <c r="A249" s="2" t="s">
        <v>91</v>
      </c>
      <c r="B249" s="2" t="s">
        <v>157</v>
      </c>
      <c r="C249" s="3" t="s">
        <v>85</v>
      </c>
      <c r="D249" s="2" t="s">
        <v>20</v>
      </c>
      <c r="E249" s="2">
        <f t="shared" ref="E249" si="42">E248*6</f>
        <v>12</v>
      </c>
      <c r="F249" s="2">
        <f>'Ед. Цени'!E38</f>
        <v>5.29</v>
      </c>
      <c r="G249" s="12">
        <f t="shared" si="41"/>
        <v>63.48</v>
      </c>
    </row>
    <row r="250" spans="1:7" ht="31.5" x14ac:dyDescent="0.25">
      <c r="A250" s="2" t="s">
        <v>91</v>
      </c>
      <c r="B250" s="2" t="s">
        <v>158</v>
      </c>
      <c r="C250" s="3" t="s">
        <v>86</v>
      </c>
      <c r="D250" s="2" t="s">
        <v>21</v>
      </c>
      <c r="E250" s="2">
        <f t="shared" ref="E250" si="43">E248*1</f>
        <v>2</v>
      </c>
      <c r="F250" s="2">
        <f>'Ед. Цени'!E39</f>
        <v>43.11</v>
      </c>
      <c r="G250" s="12">
        <f t="shared" si="41"/>
        <v>86.22</v>
      </c>
    </row>
    <row r="251" spans="1:7" ht="31.5" x14ac:dyDescent="0.25">
      <c r="A251" s="2" t="s">
        <v>91</v>
      </c>
      <c r="B251" s="2" t="s">
        <v>159</v>
      </c>
      <c r="C251" s="3" t="s">
        <v>87</v>
      </c>
      <c r="D251" s="2" t="s">
        <v>21</v>
      </c>
      <c r="E251" s="2">
        <f t="shared" ref="E251" si="44">E248*2</f>
        <v>4</v>
      </c>
      <c r="F251" s="2">
        <f>'Ед. Цени'!E40</f>
        <v>24.34</v>
      </c>
      <c r="G251" s="12">
        <f t="shared" si="41"/>
        <v>97.36</v>
      </c>
    </row>
    <row r="252" spans="1:7" ht="15.75" x14ac:dyDescent="0.25">
      <c r="A252" s="2" t="s">
        <v>91</v>
      </c>
      <c r="B252" s="2" t="s">
        <v>160</v>
      </c>
      <c r="C252" s="3" t="s">
        <v>88</v>
      </c>
      <c r="D252" s="2" t="s">
        <v>21</v>
      </c>
      <c r="E252" s="2">
        <f t="shared" ref="E252" si="45">E248*1</f>
        <v>2</v>
      </c>
      <c r="F252" s="2">
        <f>'Ед. Цени'!E41</f>
        <v>128.91999999999999</v>
      </c>
      <c r="G252" s="12">
        <f t="shared" si="41"/>
        <v>257.83999999999997</v>
      </c>
    </row>
    <row r="253" spans="1:7" ht="31.5" x14ac:dyDescent="0.25">
      <c r="A253" s="2" t="s">
        <v>91</v>
      </c>
      <c r="B253" s="2" t="s">
        <v>161</v>
      </c>
      <c r="C253" s="3" t="s">
        <v>89</v>
      </c>
      <c r="D253" s="2" t="s">
        <v>21</v>
      </c>
      <c r="E253" s="2">
        <f t="shared" ref="E253" si="46">E248*1</f>
        <v>2</v>
      </c>
      <c r="F253" s="2">
        <f>'Ед. Цени'!E42</f>
        <v>25.8</v>
      </c>
      <c r="G253" s="12">
        <f t="shared" si="41"/>
        <v>51.6</v>
      </c>
    </row>
    <row r="254" spans="1:7" x14ac:dyDescent="0.25">
      <c r="A254" s="12">
        <v>4</v>
      </c>
      <c r="B254" s="12" t="s">
        <v>163</v>
      </c>
      <c r="C254" s="13" t="s">
        <v>30</v>
      </c>
      <c r="D254" s="12" t="s">
        <v>20</v>
      </c>
      <c r="E254" s="12">
        <v>65</v>
      </c>
      <c r="F254" s="12">
        <f>'Ед. Цени'!E44</f>
        <v>1.5</v>
      </c>
      <c r="G254" s="12">
        <f t="shared" si="41"/>
        <v>97.5</v>
      </c>
    </row>
    <row r="255" spans="1:7" x14ac:dyDescent="0.25">
      <c r="A255" s="12">
        <v>5</v>
      </c>
      <c r="B255" s="12" t="s">
        <v>164</v>
      </c>
      <c r="C255" s="13" t="s">
        <v>31</v>
      </c>
      <c r="D255" s="12" t="s">
        <v>20</v>
      </c>
      <c r="E255" s="12">
        <v>65</v>
      </c>
      <c r="F255" s="12">
        <f>'Ед. Цени'!E45</f>
        <v>0.9</v>
      </c>
      <c r="G255" s="12">
        <f t="shared" si="41"/>
        <v>58.5</v>
      </c>
    </row>
    <row r="256" spans="1:7" x14ac:dyDescent="0.25">
      <c r="A256" s="12">
        <v>6</v>
      </c>
      <c r="B256" s="12" t="s">
        <v>165</v>
      </c>
      <c r="C256" s="13" t="s">
        <v>32</v>
      </c>
      <c r="D256" s="12" t="s">
        <v>20</v>
      </c>
      <c r="E256" s="12">
        <v>65</v>
      </c>
      <c r="F256" s="12">
        <f>'Ед. Цени'!E46</f>
        <v>2.23</v>
      </c>
      <c r="G256" s="12">
        <f t="shared" si="41"/>
        <v>144.94999999999999</v>
      </c>
    </row>
    <row r="257" spans="1:7" x14ac:dyDescent="0.25">
      <c r="A257" s="12">
        <v>7</v>
      </c>
      <c r="B257" s="12" t="s">
        <v>166</v>
      </c>
      <c r="C257" s="13" t="s">
        <v>33</v>
      </c>
      <c r="D257" s="12" t="s">
        <v>20</v>
      </c>
      <c r="E257" s="12">
        <v>65</v>
      </c>
      <c r="F257" s="12">
        <f>'Ед. Цени'!E47</f>
        <v>1.75</v>
      </c>
      <c r="G257" s="12">
        <f t="shared" si="41"/>
        <v>113.75</v>
      </c>
    </row>
    <row r="258" spans="1:7" x14ac:dyDescent="0.25">
      <c r="A258" s="12">
        <v>8</v>
      </c>
      <c r="B258" s="12" t="s">
        <v>167</v>
      </c>
      <c r="C258" s="13" t="s">
        <v>79</v>
      </c>
      <c r="D258" s="12" t="s">
        <v>21</v>
      </c>
      <c r="E258" s="12">
        <v>6</v>
      </c>
      <c r="F258" s="12">
        <f>'Ед. Цени'!E48</f>
        <v>20.149999999999999</v>
      </c>
      <c r="G258" s="12">
        <f t="shared" si="41"/>
        <v>120.9</v>
      </c>
    </row>
    <row r="259" spans="1:7" x14ac:dyDescent="0.25">
      <c r="A259" s="24" t="s">
        <v>99</v>
      </c>
      <c r="B259" s="42"/>
      <c r="C259" s="79" t="s">
        <v>112</v>
      </c>
      <c r="D259" s="80"/>
      <c r="E259" s="80"/>
      <c r="F259" s="81"/>
      <c r="G259" s="25">
        <f>SUM(G238:G258)</f>
        <v>3782.5</v>
      </c>
    </row>
    <row r="260" spans="1:7" x14ac:dyDescent="0.25">
      <c r="A260" s="75" t="s">
        <v>54</v>
      </c>
      <c r="B260" s="75"/>
      <c r="C260" s="75"/>
      <c r="D260" s="75"/>
      <c r="E260" s="75"/>
      <c r="F260" s="75"/>
      <c r="G260" s="75"/>
    </row>
    <row r="261" spans="1:7" x14ac:dyDescent="0.25">
      <c r="A261" s="7" t="s">
        <v>5</v>
      </c>
      <c r="B261" s="7"/>
      <c r="C261" s="8" t="s">
        <v>6</v>
      </c>
      <c r="D261" s="9"/>
      <c r="E261" s="9"/>
      <c r="F261" s="9"/>
      <c r="G261" s="9"/>
    </row>
    <row r="262" spans="1:7" ht="30" x14ac:dyDescent="0.25">
      <c r="A262" s="74">
        <v>1</v>
      </c>
      <c r="B262" s="39"/>
      <c r="C262" s="11" t="s">
        <v>7</v>
      </c>
      <c r="D262" s="12"/>
      <c r="E262" s="12"/>
      <c r="F262" s="12"/>
      <c r="G262" s="12"/>
    </row>
    <row r="263" spans="1:7" ht="18" x14ac:dyDescent="0.25">
      <c r="A263" s="74"/>
      <c r="B263" s="41" t="s">
        <v>130</v>
      </c>
      <c r="C263" s="13" t="s">
        <v>8</v>
      </c>
      <c r="D263" s="12" t="s">
        <v>9</v>
      </c>
      <c r="E263" s="12">
        <v>108</v>
      </c>
      <c r="F263" s="12">
        <f>'Ед. Цени'!E11</f>
        <v>5.57</v>
      </c>
      <c r="G263" s="12">
        <f t="shared" ref="G263:G272" si="47">ROUND(E263*F263,2)</f>
        <v>601.55999999999995</v>
      </c>
    </row>
    <row r="264" spans="1:7" ht="30" x14ac:dyDescent="0.25">
      <c r="A264" s="10">
        <v>2</v>
      </c>
      <c r="B264" s="41" t="s">
        <v>131</v>
      </c>
      <c r="C264" s="11" t="s">
        <v>10</v>
      </c>
      <c r="D264" s="12" t="s">
        <v>9</v>
      </c>
      <c r="E264" s="12">
        <v>25</v>
      </c>
      <c r="F264" s="12">
        <f>'Ед. Цени'!E12</f>
        <v>2.79</v>
      </c>
      <c r="G264" s="12">
        <f t="shared" si="47"/>
        <v>69.75</v>
      </c>
    </row>
    <row r="265" spans="1:7" ht="18" x14ac:dyDescent="0.25">
      <c r="A265" s="10">
        <v>3</v>
      </c>
      <c r="B265" s="41" t="s">
        <v>132</v>
      </c>
      <c r="C265" s="13" t="s">
        <v>11</v>
      </c>
      <c r="D265" s="12" t="s">
        <v>12</v>
      </c>
      <c r="E265" s="12">
        <v>126</v>
      </c>
      <c r="F265" s="12">
        <f>'Ед. Цени'!E13</f>
        <v>1.38</v>
      </c>
      <c r="G265" s="12">
        <f t="shared" si="47"/>
        <v>173.88</v>
      </c>
    </row>
    <row r="266" spans="1:7" ht="60" x14ac:dyDescent="0.25">
      <c r="A266" s="10">
        <v>4</v>
      </c>
      <c r="B266" s="41" t="s">
        <v>169</v>
      </c>
      <c r="C266" s="11" t="s">
        <v>35</v>
      </c>
      <c r="D266" s="12" t="s">
        <v>9</v>
      </c>
      <c r="E266" s="12">
        <v>25</v>
      </c>
      <c r="F266" s="12">
        <f>'Ед. Цени'!E50</f>
        <v>36.6</v>
      </c>
      <c r="G266" s="12">
        <f t="shared" si="47"/>
        <v>915</v>
      </c>
    </row>
    <row r="267" spans="1:7" ht="30" x14ac:dyDescent="0.25">
      <c r="A267" s="10">
        <v>5</v>
      </c>
      <c r="B267" s="41" t="s">
        <v>134</v>
      </c>
      <c r="C267" s="11" t="s">
        <v>14</v>
      </c>
      <c r="D267" s="12" t="s">
        <v>9</v>
      </c>
      <c r="E267" s="12">
        <v>83</v>
      </c>
      <c r="F267" s="12">
        <f>'Ед. Цени'!E15</f>
        <v>8.8800000000000008</v>
      </c>
      <c r="G267" s="12">
        <f t="shared" si="47"/>
        <v>737.04</v>
      </c>
    </row>
    <row r="268" spans="1:7" x14ac:dyDescent="0.25">
      <c r="A268" s="10">
        <v>6</v>
      </c>
      <c r="B268" s="41" t="s">
        <v>135</v>
      </c>
      <c r="C268" s="13" t="s">
        <v>15</v>
      </c>
      <c r="D268" s="12" t="s">
        <v>16</v>
      </c>
      <c r="E268" s="12">
        <v>1</v>
      </c>
      <c r="F268" s="12">
        <f>'Ед. Цени'!E16</f>
        <v>17.329999999999998</v>
      </c>
      <c r="G268" s="12">
        <f t="shared" si="47"/>
        <v>17.329999999999998</v>
      </c>
    </row>
    <row r="269" spans="1:7" x14ac:dyDescent="0.25">
      <c r="A269" s="7" t="s">
        <v>18</v>
      </c>
      <c r="B269" s="7"/>
      <c r="C269" s="8" t="s">
        <v>19</v>
      </c>
      <c r="D269" s="9"/>
      <c r="E269" s="9"/>
      <c r="F269" s="9"/>
      <c r="G269" s="9"/>
    </row>
    <row r="270" spans="1:7" x14ac:dyDescent="0.25">
      <c r="A270" s="12">
        <v>1</v>
      </c>
      <c r="B270" s="12" t="s">
        <v>138</v>
      </c>
      <c r="C270" s="13" t="s">
        <v>66</v>
      </c>
      <c r="D270" s="12" t="s">
        <v>20</v>
      </c>
      <c r="E270" s="12">
        <v>70</v>
      </c>
      <c r="F270" s="12">
        <f>'Ед. Цени'!E19</f>
        <v>7.05</v>
      </c>
      <c r="G270" s="12">
        <f t="shared" si="47"/>
        <v>493.5</v>
      </c>
    </row>
    <row r="271" spans="1:7" x14ac:dyDescent="0.25">
      <c r="A271" s="12">
        <v>2</v>
      </c>
      <c r="B271" s="12" t="s">
        <v>183</v>
      </c>
      <c r="C271" s="14" t="s">
        <v>82</v>
      </c>
      <c r="D271" s="15" t="s">
        <v>21</v>
      </c>
      <c r="E271" s="15">
        <v>1</v>
      </c>
      <c r="F271" s="15">
        <f>'Ед. Цени'!E64</f>
        <v>23.84</v>
      </c>
      <c r="G271" s="12">
        <f t="shared" si="47"/>
        <v>23.84</v>
      </c>
    </row>
    <row r="272" spans="1:7" x14ac:dyDescent="0.25">
      <c r="A272" s="12">
        <v>3</v>
      </c>
      <c r="B272" s="12" t="s">
        <v>184</v>
      </c>
      <c r="C272" s="11" t="s">
        <v>83</v>
      </c>
      <c r="D272" s="12" t="s">
        <v>21</v>
      </c>
      <c r="E272" s="12">
        <v>1</v>
      </c>
      <c r="F272" s="12">
        <f>'Ед. Цени'!E65</f>
        <v>25.05</v>
      </c>
      <c r="G272" s="12">
        <f t="shared" si="47"/>
        <v>25.05</v>
      </c>
    </row>
    <row r="273" spans="1:7" x14ac:dyDescent="0.25">
      <c r="A273" s="16">
        <v>4</v>
      </c>
      <c r="B273" s="16"/>
      <c r="C273" s="17" t="s">
        <v>77</v>
      </c>
      <c r="D273" s="16" t="s">
        <v>21</v>
      </c>
      <c r="E273" s="16">
        <v>3</v>
      </c>
      <c r="F273" s="16"/>
      <c r="G273" s="16"/>
    </row>
    <row r="274" spans="1:7" ht="31.5" x14ac:dyDescent="0.25">
      <c r="A274" s="2" t="s">
        <v>91</v>
      </c>
      <c r="B274" s="2" t="s">
        <v>157</v>
      </c>
      <c r="C274" s="3" t="s">
        <v>85</v>
      </c>
      <c r="D274" s="2" t="s">
        <v>20</v>
      </c>
      <c r="E274" s="2">
        <f t="shared" ref="E274" si="48">E273*6</f>
        <v>18</v>
      </c>
      <c r="F274" s="2">
        <f>'Ед. Цени'!E38</f>
        <v>5.29</v>
      </c>
      <c r="G274" s="12">
        <f t="shared" ref="G274:G284" si="49">ROUND(E274*F274,2)</f>
        <v>95.22</v>
      </c>
    </row>
    <row r="275" spans="1:7" ht="31.5" x14ac:dyDescent="0.25">
      <c r="A275" s="2" t="s">
        <v>91</v>
      </c>
      <c r="B275" s="2" t="s">
        <v>158</v>
      </c>
      <c r="C275" s="3" t="s">
        <v>86</v>
      </c>
      <c r="D275" s="2" t="s">
        <v>21</v>
      </c>
      <c r="E275" s="2">
        <f t="shared" ref="E275" si="50">E273*1</f>
        <v>3</v>
      </c>
      <c r="F275" s="2">
        <f>'Ед. Цени'!E39</f>
        <v>43.11</v>
      </c>
      <c r="G275" s="12">
        <f t="shared" si="49"/>
        <v>129.33000000000001</v>
      </c>
    </row>
    <row r="276" spans="1:7" ht="31.5" x14ac:dyDescent="0.25">
      <c r="A276" s="2" t="s">
        <v>91</v>
      </c>
      <c r="B276" s="2" t="s">
        <v>159</v>
      </c>
      <c r="C276" s="3" t="s">
        <v>87</v>
      </c>
      <c r="D276" s="2" t="s">
        <v>21</v>
      </c>
      <c r="E276" s="2">
        <f t="shared" ref="E276" si="51">E273*2</f>
        <v>6</v>
      </c>
      <c r="F276" s="2">
        <f>'Ед. Цени'!E40</f>
        <v>24.34</v>
      </c>
      <c r="G276" s="12">
        <f t="shared" si="49"/>
        <v>146.04</v>
      </c>
    </row>
    <row r="277" spans="1:7" ht="15.75" x14ac:dyDescent="0.25">
      <c r="A277" s="2" t="s">
        <v>91</v>
      </c>
      <c r="B277" s="2" t="s">
        <v>160</v>
      </c>
      <c r="C277" s="3" t="s">
        <v>88</v>
      </c>
      <c r="D277" s="2" t="s">
        <v>21</v>
      </c>
      <c r="E277" s="2">
        <f t="shared" ref="E277" si="52">E273*1</f>
        <v>3</v>
      </c>
      <c r="F277" s="2">
        <f>'Ед. Цени'!E41</f>
        <v>128.91999999999999</v>
      </c>
      <c r="G277" s="12">
        <f t="shared" si="49"/>
        <v>386.76</v>
      </c>
    </row>
    <row r="278" spans="1:7" ht="31.5" x14ac:dyDescent="0.25">
      <c r="A278" s="2" t="s">
        <v>91</v>
      </c>
      <c r="B278" s="2" t="s">
        <v>161</v>
      </c>
      <c r="C278" s="3" t="s">
        <v>89</v>
      </c>
      <c r="D278" s="2" t="s">
        <v>21</v>
      </c>
      <c r="E278" s="2">
        <f t="shared" ref="E278" si="53">E273*1</f>
        <v>3</v>
      </c>
      <c r="F278" s="2">
        <f>'Ед. Цени'!E42</f>
        <v>25.8</v>
      </c>
      <c r="G278" s="12">
        <f t="shared" si="49"/>
        <v>77.400000000000006</v>
      </c>
    </row>
    <row r="279" spans="1:7" x14ac:dyDescent="0.25">
      <c r="A279" s="12">
        <v>5</v>
      </c>
      <c r="B279" s="12" t="s">
        <v>153</v>
      </c>
      <c r="C279" s="11" t="s">
        <v>28</v>
      </c>
      <c r="D279" s="12" t="s">
        <v>21</v>
      </c>
      <c r="E279" s="12">
        <v>1</v>
      </c>
      <c r="F279" s="12">
        <f>'Ед. Цени'!E34</f>
        <v>20.92</v>
      </c>
      <c r="G279" s="12">
        <f t="shared" si="49"/>
        <v>20.92</v>
      </c>
    </row>
    <row r="280" spans="1:7" x14ac:dyDescent="0.25">
      <c r="A280" s="12">
        <v>6</v>
      </c>
      <c r="B280" s="12" t="s">
        <v>163</v>
      </c>
      <c r="C280" s="13" t="s">
        <v>30</v>
      </c>
      <c r="D280" s="12" t="s">
        <v>20</v>
      </c>
      <c r="E280" s="12">
        <v>70</v>
      </c>
      <c r="F280" s="12">
        <f>'Ед. Цени'!E44</f>
        <v>1.5</v>
      </c>
      <c r="G280" s="12">
        <f t="shared" si="49"/>
        <v>105</v>
      </c>
    </row>
    <row r="281" spans="1:7" x14ac:dyDescent="0.25">
      <c r="A281" s="12">
        <v>7</v>
      </c>
      <c r="B281" s="12" t="s">
        <v>164</v>
      </c>
      <c r="C281" s="13" t="s">
        <v>31</v>
      </c>
      <c r="D281" s="12" t="s">
        <v>20</v>
      </c>
      <c r="E281" s="12">
        <v>70</v>
      </c>
      <c r="F281" s="12">
        <f>'Ед. Цени'!E45</f>
        <v>0.9</v>
      </c>
      <c r="G281" s="12">
        <f t="shared" si="49"/>
        <v>63</v>
      </c>
    </row>
    <row r="282" spans="1:7" x14ac:dyDescent="0.25">
      <c r="A282" s="12">
        <v>8</v>
      </c>
      <c r="B282" s="12" t="s">
        <v>165</v>
      </c>
      <c r="C282" s="13" t="s">
        <v>32</v>
      </c>
      <c r="D282" s="12" t="s">
        <v>20</v>
      </c>
      <c r="E282" s="12">
        <v>70</v>
      </c>
      <c r="F282" s="12">
        <f>'Ед. Цени'!E46</f>
        <v>2.23</v>
      </c>
      <c r="G282" s="12">
        <f t="shared" si="49"/>
        <v>156.1</v>
      </c>
    </row>
    <row r="283" spans="1:7" x14ac:dyDescent="0.25">
      <c r="A283" s="12">
        <v>9</v>
      </c>
      <c r="B283" s="12" t="s">
        <v>166</v>
      </c>
      <c r="C283" s="13" t="s">
        <v>33</v>
      </c>
      <c r="D283" s="12" t="s">
        <v>20</v>
      </c>
      <c r="E283" s="12">
        <v>70</v>
      </c>
      <c r="F283" s="12">
        <f>'Ед. Цени'!E47</f>
        <v>1.75</v>
      </c>
      <c r="G283" s="12">
        <f t="shared" si="49"/>
        <v>122.5</v>
      </c>
    </row>
    <row r="284" spans="1:7" x14ac:dyDescent="0.25">
      <c r="A284" s="12">
        <v>10</v>
      </c>
      <c r="B284" s="12" t="s">
        <v>167</v>
      </c>
      <c r="C284" s="13" t="s">
        <v>79</v>
      </c>
      <c r="D284" s="12" t="s">
        <v>21</v>
      </c>
      <c r="E284" s="12">
        <v>9</v>
      </c>
      <c r="F284" s="12">
        <f>'Ед. Цени'!E48</f>
        <v>20.149999999999999</v>
      </c>
      <c r="G284" s="12">
        <f t="shared" si="49"/>
        <v>181.35</v>
      </c>
    </row>
    <row r="285" spans="1:7" x14ac:dyDescent="0.25">
      <c r="A285" s="24" t="s">
        <v>100</v>
      </c>
      <c r="B285" s="42"/>
      <c r="C285" s="79" t="s">
        <v>113</v>
      </c>
      <c r="D285" s="80"/>
      <c r="E285" s="80"/>
      <c r="F285" s="81"/>
      <c r="G285" s="25">
        <f>SUM(G262:G284)</f>
        <v>4540.5700000000006</v>
      </c>
    </row>
    <row r="286" spans="1:7" x14ac:dyDescent="0.25">
      <c r="A286" s="73" t="s">
        <v>55</v>
      </c>
      <c r="B286" s="73"/>
      <c r="C286" s="73"/>
      <c r="D286" s="73"/>
      <c r="E286" s="73"/>
      <c r="F286" s="73"/>
      <c r="G286" s="73"/>
    </row>
    <row r="287" spans="1:7" x14ac:dyDescent="0.25">
      <c r="A287" s="7" t="s">
        <v>5</v>
      </c>
      <c r="B287" s="7"/>
      <c r="C287" s="8" t="s">
        <v>6</v>
      </c>
      <c r="D287" s="9"/>
      <c r="E287" s="9"/>
      <c r="F287" s="9"/>
      <c r="G287" s="9"/>
    </row>
    <row r="288" spans="1:7" ht="30" x14ac:dyDescent="0.25">
      <c r="A288" s="74">
        <v>1</v>
      </c>
      <c r="B288" s="39"/>
      <c r="C288" s="11" t="s">
        <v>7</v>
      </c>
      <c r="D288" s="12"/>
      <c r="E288" s="12"/>
      <c r="F288" s="12"/>
      <c r="G288" s="12"/>
    </row>
    <row r="289" spans="1:7" ht="18" x14ac:dyDescent="0.25">
      <c r="A289" s="74"/>
      <c r="B289" s="41" t="s">
        <v>130</v>
      </c>
      <c r="C289" s="13" t="s">
        <v>8</v>
      </c>
      <c r="D289" s="12" t="s">
        <v>9</v>
      </c>
      <c r="E289" s="12">
        <v>188</v>
      </c>
      <c r="F289" s="12">
        <f>'Ед. Цени'!E11</f>
        <v>5.57</v>
      </c>
      <c r="G289" s="12">
        <f t="shared" ref="G289:G313" si="54">ROUND(E289*F289,2)</f>
        <v>1047.1600000000001</v>
      </c>
    </row>
    <row r="290" spans="1:7" ht="30" x14ac:dyDescent="0.25">
      <c r="A290" s="10">
        <v>2</v>
      </c>
      <c r="B290" s="41" t="s">
        <v>131</v>
      </c>
      <c r="C290" s="11" t="s">
        <v>10</v>
      </c>
      <c r="D290" s="12" t="s">
        <v>9</v>
      </c>
      <c r="E290" s="12">
        <v>44</v>
      </c>
      <c r="F290" s="12">
        <f>'Ед. Цени'!E12</f>
        <v>2.79</v>
      </c>
      <c r="G290" s="12">
        <f t="shared" si="54"/>
        <v>122.76</v>
      </c>
    </row>
    <row r="291" spans="1:7" ht="18" x14ac:dyDescent="0.25">
      <c r="A291" s="10">
        <v>3</v>
      </c>
      <c r="B291" s="41" t="s">
        <v>132</v>
      </c>
      <c r="C291" s="13" t="s">
        <v>11</v>
      </c>
      <c r="D291" s="12" t="s">
        <v>12</v>
      </c>
      <c r="E291" s="12">
        <v>232</v>
      </c>
      <c r="F291" s="12">
        <f>'Ед. Цени'!E13</f>
        <v>1.38</v>
      </c>
      <c r="G291" s="12">
        <f t="shared" si="54"/>
        <v>320.16000000000003</v>
      </c>
    </row>
    <row r="292" spans="1:7" ht="60" x14ac:dyDescent="0.25">
      <c r="A292" s="10">
        <v>4</v>
      </c>
      <c r="B292" s="41" t="s">
        <v>170</v>
      </c>
      <c r="C292" s="11" t="s">
        <v>37</v>
      </c>
      <c r="D292" s="12" t="s">
        <v>9</v>
      </c>
      <c r="E292" s="12">
        <v>44</v>
      </c>
      <c r="F292" s="12">
        <f>'Ед. Цени'!E51</f>
        <v>36.6</v>
      </c>
      <c r="G292" s="12">
        <f t="shared" si="54"/>
        <v>1610.4</v>
      </c>
    </row>
    <row r="293" spans="1:7" ht="30" x14ac:dyDescent="0.25">
      <c r="A293" s="10">
        <v>5</v>
      </c>
      <c r="B293" s="41" t="s">
        <v>134</v>
      </c>
      <c r="C293" s="11" t="s">
        <v>14</v>
      </c>
      <c r="D293" s="12" t="s">
        <v>9</v>
      </c>
      <c r="E293" s="12">
        <v>102</v>
      </c>
      <c r="F293" s="12">
        <f>'Ед. Цени'!E15</f>
        <v>8.8800000000000008</v>
      </c>
      <c r="G293" s="12">
        <f t="shared" si="54"/>
        <v>905.76</v>
      </c>
    </row>
    <row r="294" spans="1:7" x14ac:dyDescent="0.25">
      <c r="A294" s="10">
        <v>6</v>
      </c>
      <c r="B294" s="41" t="s">
        <v>135</v>
      </c>
      <c r="C294" s="13" t="s">
        <v>15</v>
      </c>
      <c r="D294" s="12" t="s">
        <v>16</v>
      </c>
      <c r="E294" s="12">
        <v>3</v>
      </c>
      <c r="F294" s="12">
        <f>'Ед. Цени'!E16</f>
        <v>17.329999999999998</v>
      </c>
      <c r="G294" s="12">
        <f t="shared" si="54"/>
        <v>51.99</v>
      </c>
    </row>
    <row r="295" spans="1:7" ht="45" x14ac:dyDescent="0.25">
      <c r="A295" s="12">
        <v>7</v>
      </c>
      <c r="B295" s="41" t="s">
        <v>136</v>
      </c>
      <c r="C295" s="11" t="s">
        <v>17</v>
      </c>
      <c r="D295" s="10" t="s">
        <v>9</v>
      </c>
      <c r="E295" s="10">
        <v>42</v>
      </c>
      <c r="F295" s="50">
        <f>'Ед. Цени'!E17</f>
        <v>33.08</v>
      </c>
      <c r="G295" s="12">
        <f t="shared" si="54"/>
        <v>1389.36</v>
      </c>
    </row>
    <row r="296" spans="1:7" x14ac:dyDescent="0.25">
      <c r="A296" s="7" t="s">
        <v>18</v>
      </c>
      <c r="B296" s="7"/>
      <c r="C296" s="8" t="s">
        <v>19</v>
      </c>
      <c r="D296" s="9"/>
      <c r="E296" s="9"/>
      <c r="F296" s="9"/>
      <c r="G296" s="9"/>
    </row>
    <row r="297" spans="1:7" x14ac:dyDescent="0.25">
      <c r="A297" s="12">
        <v>1</v>
      </c>
      <c r="B297" s="12" t="s">
        <v>138</v>
      </c>
      <c r="C297" s="13" t="s">
        <v>66</v>
      </c>
      <c r="D297" s="12" t="s">
        <v>20</v>
      </c>
      <c r="E297" s="12">
        <v>129</v>
      </c>
      <c r="F297" s="12">
        <f>'Ед. Цени'!E19</f>
        <v>7.05</v>
      </c>
      <c r="G297" s="12">
        <f t="shared" si="54"/>
        <v>909.45</v>
      </c>
    </row>
    <row r="298" spans="1:7" x14ac:dyDescent="0.25">
      <c r="A298" s="12">
        <v>2</v>
      </c>
      <c r="B298" s="12" t="s">
        <v>139</v>
      </c>
      <c r="C298" s="11" t="s">
        <v>67</v>
      </c>
      <c r="D298" s="12" t="s">
        <v>21</v>
      </c>
      <c r="E298" s="12">
        <v>1</v>
      </c>
      <c r="F298" s="12">
        <f>'Ед. Цени'!E20</f>
        <v>36.21</v>
      </c>
      <c r="G298" s="12">
        <f t="shared" si="54"/>
        <v>36.21</v>
      </c>
    </row>
    <row r="299" spans="1:7" x14ac:dyDescent="0.25">
      <c r="A299" s="12">
        <v>3</v>
      </c>
      <c r="B299" s="12" t="s">
        <v>143</v>
      </c>
      <c r="C299" s="11" t="s">
        <v>71</v>
      </c>
      <c r="D299" s="12" t="s">
        <v>21</v>
      </c>
      <c r="E299" s="12">
        <v>1</v>
      </c>
      <c r="F299" s="12">
        <f>'Ед. Цени'!E24</f>
        <v>26.86</v>
      </c>
      <c r="G299" s="12">
        <f t="shared" si="54"/>
        <v>26.86</v>
      </c>
    </row>
    <row r="300" spans="1:7" x14ac:dyDescent="0.25">
      <c r="A300" s="12">
        <v>4</v>
      </c>
      <c r="B300" s="12" t="s">
        <v>183</v>
      </c>
      <c r="C300" s="14" t="s">
        <v>82</v>
      </c>
      <c r="D300" s="15" t="s">
        <v>21</v>
      </c>
      <c r="E300" s="15">
        <v>1</v>
      </c>
      <c r="F300" s="15">
        <f>'Ед. Цени'!E64</f>
        <v>23.84</v>
      </c>
      <c r="G300" s="12">
        <f t="shared" si="54"/>
        <v>23.84</v>
      </c>
    </row>
    <row r="301" spans="1:7" ht="30" x14ac:dyDescent="0.25">
      <c r="A301" s="12">
        <v>5</v>
      </c>
      <c r="B301" s="12" t="s">
        <v>152</v>
      </c>
      <c r="C301" s="11" t="s">
        <v>27</v>
      </c>
      <c r="D301" s="12" t="s">
        <v>21</v>
      </c>
      <c r="E301" s="12">
        <v>1</v>
      </c>
      <c r="F301" s="12">
        <f>'Ед. Цени'!E33</f>
        <v>34.49</v>
      </c>
      <c r="G301" s="12">
        <f t="shared" si="54"/>
        <v>34.49</v>
      </c>
    </row>
    <row r="302" spans="1:7" x14ac:dyDescent="0.25">
      <c r="A302" s="16">
        <v>6</v>
      </c>
      <c r="B302" s="16"/>
      <c r="C302" s="17" t="s">
        <v>77</v>
      </c>
      <c r="D302" s="16" t="s">
        <v>21</v>
      </c>
      <c r="E302" s="16">
        <v>5</v>
      </c>
      <c r="F302" s="16"/>
      <c r="G302" s="16"/>
    </row>
    <row r="303" spans="1:7" ht="31.5" x14ac:dyDescent="0.25">
      <c r="A303" s="2" t="s">
        <v>91</v>
      </c>
      <c r="B303" s="2" t="s">
        <v>157</v>
      </c>
      <c r="C303" s="3" t="s">
        <v>85</v>
      </c>
      <c r="D303" s="2" t="s">
        <v>20</v>
      </c>
      <c r="E303" s="2">
        <f t="shared" ref="E303" si="55">E302*6</f>
        <v>30</v>
      </c>
      <c r="F303" s="2">
        <f>'Ед. Цени'!E38</f>
        <v>5.29</v>
      </c>
      <c r="G303" s="12">
        <f t="shared" si="54"/>
        <v>158.69999999999999</v>
      </c>
    </row>
    <row r="304" spans="1:7" ht="31.5" x14ac:dyDescent="0.25">
      <c r="A304" s="2" t="s">
        <v>91</v>
      </c>
      <c r="B304" s="2" t="s">
        <v>158</v>
      </c>
      <c r="C304" s="3" t="s">
        <v>86</v>
      </c>
      <c r="D304" s="2" t="s">
        <v>21</v>
      </c>
      <c r="E304" s="2">
        <f t="shared" ref="E304" si="56">E302*1</f>
        <v>5</v>
      </c>
      <c r="F304" s="2">
        <f>'Ед. Цени'!E39</f>
        <v>43.11</v>
      </c>
      <c r="G304" s="12">
        <f t="shared" si="54"/>
        <v>215.55</v>
      </c>
    </row>
    <row r="305" spans="1:7" ht="31.5" x14ac:dyDescent="0.25">
      <c r="A305" s="2" t="s">
        <v>91</v>
      </c>
      <c r="B305" s="2" t="s">
        <v>159</v>
      </c>
      <c r="C305" s="3" t="s">
        <v>87</v>
      </c>
      <c r="D305" s="2" t="s">
        <v>21</v>
      </c>
      <c r="E305" s="2">
        <f t="shared" ref="E305" si="57">E302*2</f>
        <v>10</v>
      </c>
      <c r="F305" s="2">
        <f>'Ед. Цени'!E40</f>
        <v>24.34</v>
      </c>
      <c r="G305" s="12">
        <f t="shared" si="54"/>
        <v>243.4</v>
      </c>
    </row>
    <row r="306" spans="1:7" ht="15.75" x14ac:dyDescent="0.25">
      <c r="A306" s="2" t="s">
        <v>91</v>
      </c>
      <c r="B306" s="2" t="s">
        <v>160</v>
      </c>
      <c r="C306" s="3" t="s">
        <v>88</v>
      </c>
      <c r="D306" s="2" t="s">
        <v>21</v>
      </c>
      <c r="E306" s="2">
        <f t="shared" ref="E306" si="58">E302*1</f>
        <v>5</v>
      </c>
      <c r="F306" s="2">
        <f>'Ед. Цени'!E41</f>
        <v>128.91999999999999</v>
      </c>
      <c r="G306" s="12">
        <f t="shared" si="54"/>
        <v>644.6</v>
      </c>
    </row>
    <row r="307" spans="1:7" ht="31.5" x14ac:dyDescent="0.25">
      <c r="A307" s="2" t="s">
        <v>91</v>
      </c>
      <c r="B307" s="2" t="s">
        <v>161</v>
      </c>
      <c r="C307" s="3" t="s">
        <v>89</v>
      </c>
      <c r="D307" s="2" t="s">
        <v>21</v>
      </c>
      <c r="E307" s="2">
        <f t="shared" ref="E307" si="59">E302*1</f>
        <v>5</v>
      </c>
      <c r="F307" s="2">
        <f>'Ед. Цени'!E42</f>
        <v>25.8</v>
      </c>
      <c r="G307" s="12">
        <f t="shared" si="54"/>
        <v>129</v>
      </c>
    </row>
    <row r="308" spans="1:7" x14ac:dyDescent="0.25">
      <c r="A308" s="12">
        <v>7</v>
      </c>
      <c r="B308" s="12" t="s">
        <v>163</v>
      </c>
      <c r="C308" s="13" t="s">
        <v>30</v>
      </c>
      <c r="D308" s="12" t="s">
        <v>20</v>
      </c>
      <c r="E308" s="12">
        <v>129</v>
      </c>
      <c r="F308" s="12">
        <f>'Ед. Цени'!E44</f>
        <v>1.5</v>
      </c>
      <c r="G308" s="12">
        <f t="shared" si="54"/>
        <v>193.5</v>
      </c>
    </row>
    <row r="309" spans="1:7" x14ac:dyDescent="0.25">
      <c r="A309" s="12">
        <v>8</v>
      </c>
      <c r="B309" s="12" t="s">
        <v>164</v>
      </c>
      <c r="C309" s="13" t="s">
        <v>31</v>
      </c>
      <c r="D309" s="12" t="s">
        <v>20</v>
      </c>
      <c r="E309" s="12">
        <v>129</v>
      </c>
      <c r="F309" s="12">
        <f>'Ед. Цени'!E45</f>
        <v>0.9</v>
      </c>
      <c r="G309" s="12">
        <f t="shared" si="54"/>
        <v>116.1</v>
      </c>
    </row>
    <row r="310" spans="1:7" x14ac:dyDescent="0.25">
      <c r="A310" s="12">
        <v>9</v>
      </c>
      <c r="B310" s="12" t="s">
        <v>165</v>
      </c>
      <c r="C310" s="13" t="s">
        <v>32</v>
      </c>
      <c r="D310" s="12" t="s">
        <v>20</v>
      </c>
      <c r="E310" s="12">
        <v>129</v>
      </c>
      <c r="F310" s="12">
        <f>'Ед. Цени'!E46</f>
        <v>2.23</v>
      </c>
      <c r="G310" s="12">
        <f t="shared" si="54"/>
        <v>287.67</v>
      </c>
    </row>
    <row r="311" spans="1:7" x14ac:dyDescent="0.25">
      <c r="A311" s="12">
        <v>10</v>
      </c>
      <c r="B311" s="12" t="s">
        <v>166</v>
      </c>
      <c r="C311" s="13" t="s">
        <v>33</v>
      </c>
      <c r="D311" s="12" t="s">
        <v>20</v>
      </c>
      <c r="E311" s="12">
        <v>129</v>
      </c>
      <c r="F311" s="12">
        <f>'Ед. Цени'!E47</f>
        <v>1.75</v>
      </c>
      <c r="G311" s="12">
        <f t="shared" si="54"/>
        <v>225.75</v>
      </c>
    </row>
    <row r="312" spans="1:7" x14ac:dyDescent="0.25">
      <c r="A312" s="12">
        <v>11</v>
      </c>
      <c r="B312" s="12" t="s">
        <v>168</v>
      </c>
      <c r="C312" s="13" t="s">
        <v>80</v>
      </c>
      <c r="D312" s="12" t="s">
        <v>21</v>
      </c>
      <c r="E312" s="12">
        <v>1</v>
      </c>
      <c r="F312" s="12">
        <f>'Ед. Цени'!E49</f>
        <v>24.99</v>
      </c>
      <c r="G312" s="12">
        <f t="shared" si="54"/>
        <v>24.99</v>
      </c>
    </row>
    <row r="313" spans="1:7" x14ac:dyDescent="0.25">
      <c r="A313" s="12">
        <v>12</v>
      </c>
      <c r="B313" s="12" t="s">
        <v>167</v>
      </c>
      <c r="C313" s="13" t="s">
        <v>79</v>
      </c>
      <c r="D313" s="12" t="s">
        <v>21</v>
      </c>
      <c r="E313" s="12">
        <v>13</v>
      </c>
      <c r="F313" s="12">
        <f>'Ед. Цени'!E48</f>
        <v>20.149999999999999</v>
      </c>
      <c r="G313" s="12">
        <f t="shared" si="54"/>
        <v>261.95</v>
      </c>
    </row>
    <row r="314" spans="1:7" x14ac:dyDescent="0.25">
      <c r="A314" s="24" t="s">
        <v>101</v>
      </c>
      <c r="B314" s="42"/>
      <c r="C314" s="79" t="s">
        <v>114</v>
      </c>
      <c r="D314" s="80"/>
      <c r="E314" s="80"/>
      <c r="F314" s="81"/>
      <c r="G314" s="25">
        <f>SUM(G288:G313)</f>
        <v>8979.65</v>
      </c>
    </row>
    <row r="315" spans="1:7" x14ac:dyDescent="0.25">
      <c r="A315" s="73" t="s">
        <v>56</v>
      </c>
      <c r="B315" s="73"/>
      <c r="C315" s="73"/>
      <c r="D315" s="73"/>
      <c r="E315" s="73"/>
      <c r="F315" s="73"/>
      <c r="G315" s="73"/>
    </row>
    <row r="316" spans="1:7" x14ac:dyDescent="0.25">
      <c r="A316" s="7" t="s">
        <v>5</v>
      </c>
      <c r="B316" s="7"/>
      <c r="C316" s="8" t="s">
        <v>6</v>
      </c>
      <c r="D316" s="9"/>
      <c r="E316" s="9"/>
      <c r="F316" s="9"/>
      <c r="G316" s="9"/>
    </row>
    <row r="317" spans="1:7" x14ac:dyDescent="0.25">
      <c r="A317" s="12">
        <v>1</v>
      </c>
      <c r="B317" s="12" t="s">
        <v>171</v>
      </c>
      <c r="C317" s="11" t="s">
        <v>39</v>
      </c>
      <c r="D317" s="12" t="s">
        <v>20</v>
      </c>
      <c r="E317" s="12">
        <v>1042</v>
      </c>
      <c r="F317" s="12">
        <f>'Ед. Цени'!E52</f>
        <v>1.74</v>
      </c>
      <c r="G317" s="12">
        <f t="shared" ref="G317:G352" si="60">ROUND(E317*F317,2)</f>
        <v>1813.08</v>
      </c>
    </row>
    <row r="318" spans="1:7" ht="30" x14ac:dyDescent="0.25">
      <c r="A318" s="12">
        <v>2</v>
      </c>
      <c r="B318" s="12" t="s">
        <v>185</v>
      </c>
      <c r="C318" s="11" t="s">
        <v>57</v>
      </c>
      <c r="D318" s="12" t="s">
        <v>12</v>
      </c>
      <c r="E318" s="12">
        <v>409</v>
      </c>
      <c r="F318" s="12">
        <f>'Ед. Цени'!E66</f>
        <v>3.43</v>
      </c>
      <c r="G318" s="12">
        <f t="shared" si="60"/>
        <v>1402.87</v>
      </c>
    </row>
    <row r="319" spans="1:7" ht="30" x14ac:dyDescent="0.25">
      <c r="A319" s="12">
        <v>3</v>
      </c>
      <c r="B319" s="12" t="s">
        <v>173</v>
      </c>
      <c r="C319" s="11" t="s">
        <v>41</v>
      </c>
      <c r="D319" s="12" t="s">
        <v>9</v>
      </c>
      <c r="E319" s="12">
        <v>41</v>
      </c>
      <c r="F319" s="12">
        <f>'Ед. Цени'!E54</f>
        <v>4.08</v>
      </c>
      <c r="G319" s="12">
        <f t="shared" si="60"/>
        <v>167.28</v>
      </c>
    </row>
    <row r="320" spans="1:7" ht="30" x14ac:dyDescent="0.25">
      <c r="A320" s="74">
        <v>4</v>
      </c>
      <c r="B320" s="39"/>
      <c r="C320" s="11" t="s">
        <v>7</v>
      </c>
      <c r="D320" s="12"/>
      <c r="E320" s="12"/>
      <c r="F320" s="12"/>
      <c r="G320" s="12"/>
    </row>
    <row r="321" spans="1:7" ht="18" x14ac:dyDescent="0.25">
      <c r="A321" s="74"/>
      <c r="B321" s="41" t="s">
        <v>130</v>
      </c>
      <c r="C321" s="13" t="s">
        <v>8</v>
      </c>
      <c r="D321" s="12" t="s">
        <v>9</v>
      </c>
      <c r="E321" s="12">
        <v>747</v>
      </c>
      <c r="F321" s="12">
        <f>'Ед. Цени'!E11</f>
        <v>5.57</v>
      </c>
      <c r="G321" s="12">
        <f t="shared" si="60"/>
        <v>4160.79</v>
      </c>
    </row>
    <row r="322" spans="1:7" ht="30" x14ac:dyDescent="0.25">
      <c r="A322" s="10">
        <v>5</v>
      </c>
      <c r="B322" s="41" t="s">
        <v>131</v>
      </c>
      <c r="C322" s="11" t="s">
        <v>10</v>
      </c>
      <c r="D322" s="12" t="s">
        <v>9</v>
      </c>
      <c r="E322" s="12">
        <v>663</v>
      </c>
      <c r="F322" s="12">
        <f>'Ед. Цени'!E12</f>
        <v>2.79</v>
      </c>
      <c r="G322" s="12">
        <f t="shared" si="60"/>
        <v>1849.77</v>
      </c>
    </row>
    <row r="323" spans="1:7" ht="18" x14ac:dyDescent="0.25">
      <c r="A323" s="10">
        <v>6</v>
      </c>
      <c r="B323" s="41" t="s">
        <v>132</v>
      </c>
      <c r="C323" s="13" t="s">
        <v>11</v>
      </c>
      <c r="D323" s="12" t="s">
        <v>12</v>
      </c>
      <c r="E323" s="12">
        <v>889</v>
      </c>
      <c r="F323" s="12">
        <f>'Ед. Цени'!E13</f>
        <v>1.38</v>
      </c>
      <c r="G323" s="12">
        <f t="shared" si="60"/>
        <v>1226.82</v>
      </c>
    </row>
    <row r="324" spans="1:7" ht="60" x14ac:dyDescent="0.25">
      <c r="A324" s="10">
        <v>7</v>
      </c>
      <c r="B324" s="39" t="s">
        <v>186</v>
      </c>
      <c r="C324" s="11" t="s">
        <v>58</v>
      </c>
      <c r="D324" s="12" t="s">
        <v>9</v>
      </c>
      <c r="E324" s="12">
        <v>167</v>
      </c>
      <c r="F324" s="12">
        <f>'Ед. Цени'!E67</f>
        <v>36.6</v>
      </c>
      <c r="G324" s="12">
        <f t="shared" si="60"/>
        <v>6112.2</v>
      </c>
    </row>
    <row r="325" spans="1:7" ht="60" x14ac:dyDescent="0.25">
      <c r="A325" s="10">
        <v>8</v>
      </c>
      <c r="B325" s="41" t="s">
        <v>187</v>
      </c>
      <c r="C325" s="11" t="s">
        <v>59</v>
      </c>
      <c r="D325" s="12" t="s">
        <v>9</v>
      </c>
      <c r="E325" s="12">
        <v>16</v>
      </c>
      <c r="F325" s="12">
        <f>'Ед. Цени'!E68</f>
        <v>36.6</v>
      </c>
      <c r="G325" s="12">
        <f t="shared" si="60"/>
        <v>585.6</v>
      </c>
    </row>
    <row r="326" spans="1:7" ht="45" x14ac:dyDescent="0.25">
      <c r="A326" s="10">
        <v>9</v>
      </c>
      <c r="B326" s="41" t="s">
        <v>188</v>
      </c>
      <c r="C326" s="11" t="s">
        <v>60</v>
      </c>
      <c r="D326" s="12" t="s">
        <v>9</v>
      </c>
      <c r="E326" s="12">
        <v>337</v>
      </c>
      <c r="F326" s="12">
        <f>'Ед. Цени'!E69</f>
        <v>32.11</v>
      </c>
      <c r="G326" s="12">
        <f t="shared" si="60"/>
        <v>10821.07</v>
      </c>
    </row>
    <row r="327" spans="1:7" ht="30" x14ac:dyDescent="0.25">
      <c r="A327" s="10">
        <v>10</v>
      </c>
      <c r="B327" s="41" t="s">
        <v>134</v>
      </c>
      <c r="C327" s="11" t="s">
        <v>14</v>
      </c>
      <c r="D327" s="12" t="s">
        <v>9</v>
      </c>
      <c r="E327" s="12">
        <v>43</v>
      </c>
      <c r="F327" s="12">
        <f>'Ед. Цени'!E15</f>
        <v>8.8800000000000008</v>
      </c>
      <c r="G327" s="12">
        <f t="shared" si="60"/>
        <v>381.84</v>
      </c>
    </row>
    <row r="328" spans="1:7" x14ac:dyDescent="0.25">
      <c r="A328" s="10">
        <v>11</v>
      </c>
      <c r="B328" s="41" t="s">
        <v>135</v>
      </c>
      <c r="C328" s="13" t="s">
        <v>15</v>
      </c>
      <c r="D328" s="12" t="s">
        <v>16</v>
      </c>
      <c r="E328" s="12">
        <v>10</v>
      </c>
      <c r="F328" s="12">
        <f>'Ед. Цени'!E16</f>
        <v>17.329999999999998</v>
      </c>
      <c r="G328" s="12">
        <f t="shared" si="60"/>
        <v>173.3</v>
      </c>
    </row>
    <row r="329" spans="1:7" x14ac:dyDescent="0.25">
      <c r="A329" s="10">
        <v>12</v>
      </c>
      <c r="B329" s="41" t="s">
        <v>177</v>
      </c>
      <c r="C329" s="14" t="s">
        <v>45</v>
      </c>
      <c r="D329" s="12" t="s">
        <v>46</v>
      </c>
      <c r="E329" s="12">
        <v>49</v>
      </c>
      <c r="F329" s="12">
        <f>'Ед. Цени'!E58</f>
        <v>134.12</v>
      </c>
      <c r="G329" s="12">
        <f t="shared" si="60"/>
        <v>6571.88</v>
      </c>
    </row>
    <row r="330" spans="1:7" ht="45" x14ac:dyDescent="0.25">
      <c r="A330" s="10">
        <v>13</v>
      </c>
      <c r="B330" s="41" t="s">
        <v>178</v>
      </c>
      <c r="C330" s="11" t="s">
        <v>47</v>
      </c>
      <c r="D330" s="10" t="s">
        <v>9</v>
      </c>
      <c r="E330" s="10">
        <v>163</v>
      </c>
      <c r="F330" s="50">
        <f>'Ед. Цени'!E59</f>
        <v>33.08</v>
      </c>
      <c r="G330" s="12">
        <f t="shared" si="60"/>
        <v>5392.04</v>
      </c>
    </row>
    <row r="331" spans="1:7" x14ac:dyDescent="0.25">
      <c r="A331" s="10">
        <v>14</v>
      </c>
      <c r="B331" s="41" t="s">
        <v>179</v>
      </c>
      <c r="C331" s="14" t="s">
        <v>48</v>
      </c>
      <c r="D331" s="10" t="s">
        <v>20</v>
      </c>
      <c r="E331" s="10">
        <v>1042</v>
      </c>
      <c r="F331" s="50">
        <f>'Ед. Цени'!E60</f>
        <v>9.17</v>
      </c>
      <c r="G331" s="12">
        <f t="shared" si="60"/>
        <v>9555.14</v>
      </c>
    </row>
    <row r="332" spans="1:7" ht="30" x14ac:dyDescent="0.25">
      <c r="A332" s="10">
        <v>15</v>
      </c>
      <c r="B332" s="41" t="s">
        <v>180</v>
      </c>
      <c r="C332" s="11" t="s">
        <v>49</v>
      </c>
      <c r="D332" s="12" t="s">
        <v>21</v>
      </c>
      <c r="E332" s="10">
        <v>5</v>
      </c>
      <c r="F332" s="50">
        <f>'Ед. Цени'!E61</f>
        <v>38.119999999999997</v>
      </c>
      <c r="G332" s="12">
        <f t="shared" si="60"/>
        <v>190.6</v>
      </c>
    </row>
    <row r="333" spans="1:7" x14ac:dyDescent="0.25">
      <c r="A333" s="7" t="s">
        <v>18</v>
      </c>
      <c r="B333" s="7"/>
      <c r="C333" s="8" t="s">
        <v>19</v>
      </c>
      <c r="D333" s="9"/>
      <c r="E333" s="9"/>
      <c r="F333" s="9"/>
      <c r="G333" s="9"/>
    </row>
    <row r="334" spans="1:7" x14ac:dyDescent="0.25">
      <c r="A334" s="12">
        <v>1</v>
      </c>
      <c r="B334" s="12" t="s">
        <v>137</v>
      </c>
      <c r="C334" s="13" t="s">
        <v>65</v>
      </c>
      <c r="D334" s="12" t="s">
        <v>20</v>
      </c>
      <c r="E334" s="12">
        <v>494</v>
      </c>
      <c r="F334" s="12">
        <f>'Ед. Цени'!E18</f>
        <v>18.440000000000001</v>
      </c>
      <c r="G334" s="12">
        <f t="shared" si="60"/>
        <v>9109.36</v>
      </c>
    </row>
    <row r="335" spans="1:7" x14ac:dyDescent="0.25">
      <c r="A335" s="12">
        <v>2</v>
      </c>
      <c r="B335" s="12" t="s">
        <v>139</v>
      </c>
      <c r="C335" s="11" t="s">
        <v>67</v>
      </c>
      <c r="D335" s="12" t="s">
        <v>21</v>
      </c>
      <c r="E335" s="12">
        <v>3</v>
      </c>
      <c r="F335" s="12">
        <f>'Ед. Цени'!E20</f>
        <v>36.21</v>
      </c>
      <c r="G335" s="12">
        <f t="shared" si="60"/>
        <v>108.63</v>
      </c>
    </row>
    <row r="336" spans="1:7" x14ac:dyDescent="0.25">
      <c r="A336" s="12">
        <v>3</v>
      </c>
      <c r="B336" s="12" t="s">
        <v>141</v>
      </c>
      <c r="C336" s="14" t="s">
        <v>69</v>
      </c>
      <c r="D336" s="15" t="s">
        <v>21</v>
      </c>
      <c r="E336" s="15">
        <v>2</v>
      </c>
      <c r="F336" s="15">
        <f>'Ед. Цени'!E22</f>
        <v>48.31</v>
      </c>
      <c r="G336" s="12">
        <f t="shared" si="60"/>
        <v>96.62</v>
      </c>
    </row>
    <row r="337" spans="1:7" x14ac:dyDescent="0.25">
      <c r="A337" s="12">
        <v>4</v>
      </c>
      <c r="B337" s="12" t="s">
        <v>144</v>
      </c>
      <c r="C337" s="11" t="s">
        <v>72</v>
      </c>
      <c r="D337" s="12" t="s">
        <v>21</v>
      </c>
      <c r="E337" s="12">
        <v>1</v>
      </c>
      <c r="F337" s="12">
        <f>'Ед. Цени'!E25</f>
        <v>32.58</v>
      </c>
      <c r="G337" s="12">
        <f t="shared" si="60"/>
        <v>32.58</v>
      </c>
    </row>
    <row r="338" spans="1:7" ht="30" x14ac:dyDescent="0.25">
      <c r="A338" s="12">
        <v>5</v>
      </c>
      <c r="B338" s="12" t="s">
        <v>148</v>
      </c>
      <c r="C338" s="11" t="s">
        <v>23</v>
      </c>
      <c r="D338" s="12" t="s">
        <v>21</v>
      </c>
      <c r="E338" s="12">
        <v>2</v>
      </c>
      <c r="F338" s="12">
        <f>'Ед. Цени'!E29</f>
        <v>150.69999999999999</v>
      </c>
      <c r="G338" s="12">
        <f t="shared" si="60"/>
        <v>301.39999999999998</v>
      </c>
    </row>
    <row r="339" spans="1:7" x14ac:dyDescent="0.25">
      <c r="A339" s="12">
        <v>6</v>
      </c>
      <c r="B339" s="12" t="s">
        <v>150</v>
      </c>
      <c r="C339" s="11" t="s">
        <v>25</v>
      </c>
      <c r="D339" s="12" t="s">
        <v>21</v>
      </c>
      <c r="E339" s="12">
        <v>1</v>
      </c>
      <c r="F339" s="12">
        <f>'Ед. Цени'!E31</f>
        <v>324.5</v>
      </c>
      <c r="G339" s="12">
        <f t="shared" si="60"/>
        <v>324.5</v>
      </c>
    </row>
    <row r="340" spans="1:7" ht="30" x14ac:dyDescent="0.25">
      <c r="A340" s="12">
        <v>7</v>
      </c>
      <c r="B340" s="12" t="s">
        <v>152</v>
      </c>
      <c r="C340" s="11" t="s">
        <v>27</v>
      </c>
      <c r="D340" s="12" t="s">
        <v>21</v>
      </c>
      <c r="E340" s="12">
        <v>3</v>
      </c>
      <c r="F340" s="12">
        <f>'Ед. Цени'!E33</f>
        <v>34.49</v>
      </c>
      <c r="G340" s="12">
        <f t="shared" si="60"/>
        <v>103.47</v>
      </c>
    </row>
    <row r="341" spans="1:7" x14ac:dyDescent="0.25">
      <c r="A341" s="12">
        <v>8</v>
      </c>
      <c r="B341" s="12" t="s">
        <v>153</v>
      </c>
      <c r="C341" s="11" t="s">
        <v>28</v>
      </c>
      <c r="D341" s="12" t="s">
        <v>21</v>
      </c>
      <c r="E341" s="12">
        <v>7</v>
      </c>
      <c r="F341" s="12">
        <f>'Ед. Цени'!E34</f>
        <v>20.92</v>
      </c>
      <c r="G341" s="12">
        <f t="shared" si="60"/>
        <v>146.44</v>
      </c>
    </row>
    <row r="342" spans="1:7" x14ac:dyDescent="0.25">
      <c r="A342" s="16">
        <v>9</v>
      </c>
      <c r="B342" s="16"/>
      <c r="C342" s="17" t="s">
        <v>78</v>
      </c>
      <c r="D342" s="16" t="s">
        <v>21</v>
      </c>
      <c r="E342" s="16">
        <v>22</v>
      </c>
      <c r="F342" s="16"/>
      <c r="G342" s="16"/>
    </row>
    <row r="343" spans="1:7" ht="31.5" x14ac:dyDescent="0.25">
      <c r="A343" s="2" t="s">
        <v>91</v>
      </c>
      <c r="B343" s="2" t="s">
        <v>157</v>
      </c>
      <c r="C343" s="3" t="s">
        <v>85</v>
      </c>
      <c r="D343" s="2" t="s">
        <v>20</v>
      </c>
      <c r="E343" s="2">
        <f t="shared" ref="E343" si="61">E342*6</f>
        <v>132</v>
      </c>
      <c r="F343" s="2">
        <f>'Ед. Цени'!E38</f>
        <v>5.29</v>
      </c>
      <c r="G343" s="12">
        <f t="shared" si="60"/>
        <v>698.28</v>
      </c>
    </row>
    <row r="344" spans="1:7" ht="31.5" x14ac:dyDescent="0.25">
      <c r="A344" s="2" t="s">
        <v>91</v>
      </c>
      <c r="B344" s="2" t="s">
        <v>162</v>
      </c>
      <c r="C344" s="3" t="s">
        <v>90</v>
      </c>
      <c r="D344" s="2" t="s">
        <v>21</v>
      </c>
      <c r="E344" s="2">
        <f t="shared" ref="E344" si="62">E342*1</f>
        <v>22</v>
      </c>
      <c r="F344" s="2">
        <f>'Ед. Цени'!E43</f>
        <v>64.92</v>
      </c>
      <c r="G344" s="12">
        <f t="shared" si="60"/>
        <v>1428.24</v>
      </c>
    </row>
    <row r="345" spans="1:7" ht="31.5" x14ac:dyDescent="0.25">
      <c r="A345" s="2" t="s">
        <v>91</v>
      </c>
      <c r="B345" s="2" t="s">
        <v>159</v>
      </c>
      <c r="C345" s="3" t="s">
        <v>87</v>
      </c>
      <c r="D345" s="2" t="s">
        <v>21</v>
      </c>
      <c r="E345" s="2">
        <f t="shared" ref="E345" si="63">E342*2</f>
        <v>44</v>
      </c>
      <c r="F345" s="2">
        <f>'Ед. Цени'!E40</f>
        <v>24.34</v>
      </c>
      <c r="G345" s="12">
        <f t="shared" si="60"/>
        <v>1070.96</v>
      </c>
    </row>
    <row r="346" spans="1:7" ht="15.75" x14ac:dyDescent="0.25">
      <c r="A346" s="2" t="s">
        <v>91</v>
      </c>
      <c r="B346" s="2" t="s">
        <v>160</v>
      </c>
      <c r="C346" s="3" t="s">
        <v>88</v>
      </c>
      <c r="D346" s="2" t="s">
        <v>21</v>
      </c>
      <c r="E346" s="2">
        <f t="shared" ref="E346" si="64">E342*1</f>
        <v>22</v>
      </c>
      <c r="F346" s="2">
        <f>'Ед. Цени'!E41</f>
        <v>128.91999999999999</v>
      </c>
      <c r="G346" s="12">
        <f t="shared" si="60"/>
        <v>2836.24</v>
      </c>
    </row>
    <row r="347" spans="1:7" ht="31.5" x14ac:dyDescent="0.25">
      <c r="A347" s="2" t="s">
        <v>91</v>
      </c>
      <c r="B347" s="2" t="s">
        <v>161</v>
      </c>
      <c r="C347" s="3" t="s">
        <v>89</v>
      </c>
      <c r="D347" s="2" t="s">
        <v>21</v>
      </c>
      <c r="E347" s="2">
        <f t="shared" ref="E347" si="65">E342*1</f>
        <v>22</v>
      </c>
      <c r="F347" s="2">
        <f>'Ед. Цени'!E42</f>
        <v>25.8</v>
      </c>
      <c r="G347" s="12">
        <f t="shared" si="60"/>
        <v>567.6</v>
      </c>
    </row>
    <row r="348" spans="1:7" x14ac:dyDescent="0.25">
      <c r="A348" s="12">
        <v>10</v>
      </c>
      <c r="B348" s="12" t="s">
        <v>163</v>
      </c>
      <c r="C348" s="13" t="s">
        <v>30</v>
      </c>
      <c r="D348" s="12" t="s">
        <v>20</v>
      </c>
      <c r="E348" s="12">
        <v>494</v>
      </c>
      <c r="F348" s="12">
        <f>'Ед. Цени'!E44</f>
        <v>1.5</v>
      </c>
      <c r="G348" s="12">
        <f t="shared" si="60"/>
        <v>741</v>
      </c>
    </row>
    <row r="349" spans="1:7" x14ac:dyDescent="0.25">
      <c r="A349" s="12">
        <v>11</v>
      </c>
      <c r="B349" s="12" t="s">
        <v>164</v>
      </c>
      <c r="C349" s="13" t="s">
        <v>31</v>
      </c>
      <c r="D349" s="12" t="s">
        <v>20</v>
      </c>
      <c r="E349" s="12">
        <v>494</v>
      </c>
      <c r="F349" s="12">
        <f>'Ед. Цени'!E45</f>
        <v>0.9</v>
      </c>
      <c r="G349" s="12">
        <f t="shared" si="60"/>
        <v>444.6</v>
      </c>
    </row>
    <row r="350" spans="1:7" x14ac:dyDescent="0.25">
      <c r="A350" s="12">
        <v>12</v>
      </c>
      <c r="B350" s="12" t="s">
        <v>165</v>
      </c>
      <c r="C350" s="13" t="s">
        <v>32</v>
      </c>
      <c r="D350" s="12" t="s">
        <v>20</v>
      </c>
      <c r="E350" s="12">
        <v>494</v>
      </c>
      <c r="F350" s="12">
        <f>'Ед. Цени'!E46</f>
        <v>2.23</v>
      </c>
      <c r="G350" s="12">
        <f t="shared" si="60"/>
        <v>1101.6199999999999</v>
      </c>
    </row>
    <row r="351" spans="1:7" x14ac:dyDescent="0.25">
      <c r="A351" s="12">
        <v>13</v>
      </c>
      <c r="B351" s="12" t="s">
        <v>166</v>
      </c>
      <c r="C351" s="13" t="s">
        <v>33</v>
      </c>
      <c r="D351" s="12" t="s">
        <v>20</v>
      </c>
      <c r="E351" s="12">
        <v>494</v>
      </c>
      <c r="F351" s="12">
        <f>'Ед. Цени'!E47</f>
        <v>1.75</v>
      </c>
      <c r="G351" s="12">
        <f t="shared" si="60"/>
        <v>864.5</v>
      </c>
    </row>
    <row r="352" spans="1:7" x14ac:dyDescent="0.25">
      <c r="A352" s="12">
        <v>14</v>
      </c>
      <c r="B352" s="12" t="s">
        <v>168</v>
      </c>
      <c r="C352" s="13" t="s">
        <v>80</v>
      </c>
      <c r="D352" s="12" t="s">
        <v>21</v>
      </c>
      <c r="E352" s="12">
        <v>51</v>
      </c>
      <c r="F352" s="12">
        <f>'Ед. Цени'!E49</f>
        <v>24.99</v>
      </c>
      <c r="G352" s="12">
        <f t="shared" si="60"/>
        <v>1274.49</v>
      </c>
    </row>
    <row r="353" spans="1:7" x14ac:dyDescent="0.25">
      <c r="A353" s="24" t="s">
        <v>102</v>
      </c>
      <c r="B353" s="42"/>
      <c r="C353" s="79" t="s">
        <v>115</v>
      </c>
      <c r="D353" s="80"/>
      <c r="E353" s="80"/>
      <c r="F353" s="81"/>
      <c r="G353" s="25">
        <f>SUM(G317:G352)</f>
        <v>71654.810000000012</v>
      </c>
    </row>
    <row r="354" spans="1:7" x14ac:dyDescent="0.25">
      <c r="A354" s="73" t="s">
        <v>61</v>
      </c>
      <c r="B354" s="73"/>
      <c r="C354" s="73"/>
      <c r="D354" s="73"/>
      <c r="E354" s="73"/>
      <c r="F354" s="73"/>
      <c r="G354" s="73"/>
    </row>
    <row r="355" spans="1:7" x14ac:dyDescent="0.25">
      <c r="A355" s="7" t="s">
        <v>5</v>
      </c>
      <c r="B355" s="7"/>
      <c r="C355" s="8" t="s">
        <v>6</v>
      </c>
      <c r="D355" s="9"/>
      <c r="E355" s="9"/>
      <c r="F355" s="9"/>
      <c r="G355" s="9"/>
    </row>
    <row r="356" spans="1:7" x14ac:dyDescent="0.25">
      <c r="A356" s="12">
        <v>1</v>
      </c>
      <c r="B356" s="12" t="s">
        <v>171</v>
      </c>
      <c r="C356" s="11" t="s">
        <v>39</v>
      </c>
      <c r="D356" s="12" t="s">
        <v>20</v>
      </c>
      <c r="E356" s="12">
        <v>94</v>
      </c>
      <c r="F356" s="12">
        <f>'Ед. Цени'!E52</f>
        <v>1.74</v>
      </c>
      <c r="G356" s="12">
        <f t="shared" ref="G356:G390" si="66">ROUND(E356*F356,2)</f>
        <v>163.56</v>
      </c>
    </row>
    <row r="357" spans="1:7" ht="30" x14ac:dyDescent="0.25">
      <c r="A357" s="12">
        <v>2</v>
      </c>
      <c r="B357" s="12" t="s">
        <v>185</v>
      </c>
      <c r="C357" s="11" t="s">
        <v>57</v>
      </c>
      <c r="D357" s="12" t="s">
        <v>12</v>
      </c>
      <c r="E357" s="12">
        <v>38</v>
      </c>
      <c r="F357" s="12">
        <f>'Ед. Цени'!E66</f>
        <v>3.43</v>
      </c>
      <c r="G357" s="12">
        <f t="shared" si="66"/>
        <v>130.34</v>
      </c>
    </row>
    <row r="358" spans="1:7" ht="30" x14ac:dyDescent="0.25">
      <c r="A358" s="12">
        <v>3</v>
      </c>
      <c r="B358" s="12" t="s">
        <v>173</v>
      </c>
      <c r="C358" s="11" t="s">
        <v>41</v>
      </c>
      <c r="D358" s="12" t="s">
        <v>9</v>
      </c>
      <c r="E358" s="12">
        <v>4</v>
      </c>
      <c r="F358" s="12">
        <f>'Ед. Цени'!E54</f>
        <v>4.08</v>
      </c>
      <c r="G358" s="12">
        <f t="shared" si="66"/>
        <v>16.32</v>
      </c>
    </row>
    <row r="359" spans="1:7" ht="30" x14ac:dyDescent="0.25">
      <c r="A359" s="74">
        <v>4</v>
      </c>
      <c r="B359" s="39"/>
      <c r="C359" s="11" t="s">
        <v>7</v>
      </c>
      <c r="D359" s="12"/>
      <c r="E359" s="12"/>
      <c r="F359" s="12"/>
      <c r="G359" s="12"/>
    </row>
    <row r="360" spans="1:7" ht="18" x14ac:dyDescent="0.25">
      <c r="A360" s="74"/>
      <c r="B360" s="41" t="s">
        <v>130</v>
      </c>
      <c r="C360" s="13" t="s">
        <v>8</v>
      </c>
      <c r="D360" s="12" t="s">
        <v>9</v>
      </c>
      <c r="E360" s="12">
        <v>334</v>
      </c>
      <c r="F360" s="12">
        <f>'Ед. Цени'!E11</f>
        <v>5.57</v>
      </c>
      <c r="G360" s="12">
        <f t="shared" si="66"/>
        <v>1860.38</v>
      </c>
    </row>
    <row r="361" spans="1:7" ht="30" x14ac:dyDescent="0.25">
      <c r="A361" s="10">
        <v>5</v>
      </c>
      <c r="B361" s="41" t="s">
        <v>131</v>
      </c>
      <c r="C361" s="11" t="s">
        <v>10</v>
      </c>
      <c r="D361" s="12" t="s">
        <v>9</v>
      </c>
      <c r="E361" s="12">
        <v>122</v>
      </c>
      <c r="F361" s="12">
        <f>'Ед. Цени'!E12</f>
        <v>2.79</v>
      </c>
      <c r="G361" s="12">
        <f t="shared" si="66"/>
        <v>340.38</v>
      </c>
    </row>
    <row r="362" spans="1:7" ht="18" x14ac:dyDescent="0.25">
      <c r="A362" s="10">
        <v>6</v>
      </c>
      <c r="B362" s="41" t="s">
        <v>132</v>
      </c>
      <c r="C362" s="13" t="s">
        <v>11</v>
      </c>
      <c r="D362" s="12" t="s">
        <v>12</v>
      </c>
      <c r="E362" s="12">
        <v>407</v>
      </c>
      <c r="F362" s="12">
        <f>'Ед. Цени'!E13</f>
        <v>1.38</v>
      </c>
      <c r="G362" s="12">
        <f t="shared" si="66"/>
        <v>561.66</v>
      </c>
    </row>
    <row r="363" spans="1:7" ht="60" x14ac:dyDescent="0.25">
      <c r="A363" s="10">
        <v>7</v>
      </c>
      <c r="B363" s="41" t="s">
        <v>186</v>
      </c>
      <c r="C363" s="11" t="s">
        <v>58</v>
      </c>
      <c r="D363" s="12" t="s">
        <v>9</v>
      </c>
      <c r="E363" s="12">
        <v>15</v>
      </c>
      <c r="F363" s="12">
        <f>'Ед. Цени'!E67</f>
        <v>36.6</v>
      </c>
      <c r="G363" s="12">
        <f t="shared" si="66"/>
        <v>549</v>
      </c>
    </row>
    <row r="364" spans="1:7" ht="60" x14ac:dyDescent="0.25">
      <c r="A364" s="10">
        <v>8</v>
      </c>
      <c r="B364" s="41" t="s">
        <v>187</v>
      </c>
      <c r="C364" s="11" t="s">
        <v>59</v>
      </c>
      <c r="D364" s="12" t="s">
        <v>9</v>
      </c>
      <c r="E364" s="12">
        <v>62</v>
      </c>
      <c r="F364" s="12">
        <f>'Ед. Цени'!E68</f>
        <v>36.6</v>
      </c>
      <c r="G364" s="12">
        <f t="shared" si="66"/>
        <v>2269.1999999999998</v>
      </c>
    </row>
    <row r="365" spans="1:7" ht="45" x14ac:dyDescent="0.25">
      <c r="A365" s="10">
        <v>9</v>
      </c>
      <c r="B365" s="41" t="s">
        <v>188</v>
      </c>
      <c r="C365" s="11" t="s">
        <v>60</v>
      </c>
      <c r="D365" s="12" t="s">
        <v>9</v>
      </c>
      <c r="E365" s="12">
        <v>32</v>
      </c>
      <c r="F365" s="12">
        <f>'Ед. Цени'!E69</f>
        <v>32.11</v>
      </c>
      <c r="G365" s="12">
        <f t="shared" si="66"/>
        <v>1027.52</v>
      </c>
    </row>
    <row r="366" spans="1:7" ht="30" x14ac:dyDescent="0.25">
      <c r="A366" s="10">
        <v>10</v>
      </c>
      <c r="B366" s="41" t="s">
        <v>134</v>
      </c>
      <c r="C366" s="11" t="s">
        <v>14</v>
      </c>
      <c r="D366" s="12" t="s">
        <v>9</v>
      </c>
      <c r="E366" s="12">
        <v>208</v>
      </c>
      <c r="F366" s="12">
        <f>'Ед. Цени'!E15</f>
        <v>8.8800000000000008</v>
      </c>
      <c r="G366" s="12">
        <f t="shared" si="66"/>
        <v>1847.04</v>
      </c>
    </row>
    <row r="367" spans="1:7" x14ac:dyDescent="0.25">
      <c r="A367" s="10">
        <v>11</v>
      </c>
      <c r="B367" s="41" t="s">
        <v>135</v>
      </c>
      <c r="C367" s="13" t="s">
        <v>15</v>
      </c>
      <c r="D367" s="12" t="s">
        <v>16</v>
      </c>
      <c r="E367" s="12">
        <v>5</v>
      </c>
      <c r="F367" s="12">
        <f>'Ед. Цени'!E16</f>
        <v>17.329999999999998</v>
      </c>
      <c r="G367" s="12">
        <f t="shared" si="66"/>
        <v>86.65</v>
      </c>
    </row>
    <row r="368" spans="1:7" x14ac:dyDescent="0.25">
      <c r="A368" s="10">
        <v>12</v>
      </c>
      <c r="B368" s="41" t="s">
        <v>177</v>
      </c>
      <c r="C368" s="14" t="s">
        <v>45</v>
      </c>
      <c r="D368" s="12" t="s">
        <v>46</v>
      </c>
      <c r="E368" s="12">
        <v>5</v>
      </c>
      <c r="F368" s="12">
        <f>'Ед. Цени'!E58</f>
        <v>134.12</v>
      </c>
      <c r="G368" s="12">
        <f t="shared" si="66"/>
        <v>670.6</v>
      </c>
    </row>
    <row r="369" spans="1:7" ht="45" x14ac:dyDescent="0.25">
      <c r="A369" s="10">
        <v>13</v>
      </c>
      <c r="B369" s="41" t="s">
        <v>178</v>
      </c>
      <c r="C369" s="11" t="s">
        <v>47</v>
      </c>
      <c r="D369" s="10" t="s">
        <v>9</v>
      </c>
      <c r="E369" s="10">
        <v>15</v>
      </c>
      <c r="F369" s="50">
        <f>'Ед. Цени'!E59</f>
        <v>33.08</v>
      </c>
      <c r="G369" s="12">
        <f t="shared" si="66"/>
        <v>496.2</v>
      </c>
    </row>
    <row r="370" spans="1:7" x14ac:dyDescent="0.25">
      <c r="A370" s="10">
        <v>14</v>
      </c>
      <c r="B370" s="41" t="s">
        <v>179</v>
      </c>
      <c r="C370" s="14" t="s">
        <v>48</v>
      </c>
      <c r="D370" s="10" t="s">
        <v>20</v>
      </c>
      <c r="E370" s="10">
        <v>94</v>
      </c>
      <c r="F370" s="50">
        <f>'Ед. Цени'!E60</f>
        <v>9.17</v>
      </c>
      <c r="G370" s="12">
        <f t="shared" si="66"/>
        <v>861.98</v>
      </c>
    </row>
    <row r="371" spans="1:7" ht="30" x14ac:dyDescent="0.25">
      <c r="A371" s="10">
        <v>15</v>
      </c>
      <c r="B371" s="41" t="s">
        <v>180</v>
      </c>
      <c r="C371" s="11" t="s">
        <v>49</v>
      </c>
      <c r="D371" s="12" t="s">
        <v>21</v>
      </c>
      <c r="E371" s="10">
        <v>1</v>
      </c>
      <c r="F371" s="50">
        <f>'Ед. Цени'!E61</f>
        <v>38.119999999999997</v>
      </c>
      <c r="G371" s="12">
        <f t="shared" si="66"/>
        <v>38.119999999999997</v>
      </c>
    </row>
    <row r="372" spans="1:7" x14ac:dyDescent="0.25">
      <c r="A372" s="7" t="s">
        <v>18</v>
      </c>
      <c r="B372" s="7"/>
      <c r="C372" s="8" t="s">
        <v>19</v>
      </c>
      <c r="D372" s="9"/>
      <c r="E372" s="9"/>
      <c r="F372" s="9"/>
      <c r="G372" s="9"/>
    </row>
    <row r="373" spans="1:7" x14ac:dyDescent="0.25">
      <c r="A373" s="12">
        <v>1</v>
      </c>
      <c r="B373" s="12" t="s">
        <v>137</v>
      </c>
      <c r="C373" s="13" t="s">
        <v>65</v>
      </c>
      <c r="D373" s="12" t="s">
        <v>20</v>
      </c>
      <c r="E373" s="12">
        <v>226</v>
      </c>
      <c r="F373" s="12">
        <f>'Ед. Цени'!E18</f>
        <v>18.440000000000001</v>
      </c>
      <c r="G373" s="12">
        <f t="shared" si="66"/>
        <v>4167.4399999999996</v>
      </c>
    </row>
    <row r="374" spans="1:7" x14ac:dyDescent="0.25">
      <c r="A374" s="12">
        <v>2</v>
      </c>
      <c r="B374" s="12" t="s">
        <v>139</v>
      </c>
      <c r="C374" s="11" t="s">
        <v>67</v>
      </c>
      <c r="D374" s="12" t="s">
        <v>21</v>
      </c>
      <c r="E374" s="12">
        <v>2</v>
      </c>
      <c r="F374" s="12">
        <f>'Ед. Цени'!E20</f>
        <v>36.21</v>
      </c>
      <c r="G374" s="12">
        <f t="shared" si="66"/>
        <v>72.42</v>
      </c>
    </row>
    <row r="375" spans="1:7" x14ac:dyDescent="0.25">
      <c r="A375" s="12">
        <v>3</v>
      </c>
      <c r="B375" s="12" t="s">
        <v>141</v>
      </c>
      <c r="C375" s="14" t="s">
        <v>69</v>
      </c>
      <c r="D375" s="15" t="s">
        <v>21</v>
      </c>
      <c r="E375" s="15">
        <v>2</v>
      </c>
      <c r="F375" s="15">
        <f>'Ед. Цени'!E22</f>
        <v>48.31</v>
      </c>
      <c r="G375" s="12">
        <f t="shared" si="66"/>
        <v>96.62</v>
      </c>
    </row>
    <row r="376" spans="1:7" ht="30" x14ac:dyDescent="0.25">
      <c r="A376" s="12">
        <v>4</v>
      </c>
      <c r="B376" s="12" t="s">
        <v>148</v>
      </c>
      <c r="C376" s="11" t="s">
        <v>23</v>
      </c>
      <c r="D376" s="12" t="s">
        <v>21</v>
      </c>
      <c r="E376" s="12">
        <v>2</v>
      </c>
      <c r="F376" s="12">
        <f>'Ед. Цени'!E29</f>
        <v>150.69999999999999</v>
      </c>
      <c r="G376" s="12">
        <f t="shared" si="66"/>
        <v>301.39999999999998</v>
      </c>
    </row>
    <row r="377" spans="1:7" x14ac:dyDescent="0.25">
      <c r="A377" s="12">
        <v>5</v>
      </c>
      <c r="B377" s="12" t="s">
        <v>150</v>
      </c>
      <c r="C377" s="11" t="s">
        <v>25</v>
      </c>
      <c r="D377" s="12" t="s">
        <v>21</v>
      </c>
      <c r="E377" s="12">
        <v>2</v>
      </c>
      <c r="F377" s="12">
        <f>'Ед. Цени'!E31</f>
        <v>324.5</v>
      </c>
      <c r="G377" s="12">
        <f t="shared" si="66"/>
        <v>649</v>
      </c>
    </row>
    <row r="378" spans="1:7" ht="30" x14ac:dyDescent="0.25">
      <c r="A378" s="12">
        <v>6</v>
      </c>
      <c r="B378" s="12" t="s">
        <v>152</v>
      </c>
      <c r="C378" s="11" t="s">
        <v>27</v>
      </c>
      <c r="D378" s="12" t="s">
        <v>21</v>
      </c>
      <c r="E378" s="12">
        <v>2</v>
      </c>
      <c r="F378" s="12">
        <f>'Ед. Цени'!E33</f>
        <v>34.49</v>
      </c>
      <c r="G378" s="12">
        <f t="shared" si="66"/>
        <v>68.98</v>
      </c>
    </row>
    <row r="379" spans="1:7" x14ac:dyDescent="0.25">
      <c r="A379" s="12">
        <v>7</v>
      </c>
      <c r="B379" s="12" t="s">
        <v>153</v>
      </c>
      <c r="C379" s="11" t="s">
        <v>28</v>
      </c>
      <c r="D379" s="12" t="s">
        <v>21</v>
      </c>
      <c r="E379" s="12">
        <v>6</v>
      </c>
      <c r="F379" s="12">
        <f>'Ед. Цени'!E34</f>
        <v>20.92</v>
      </c>
      <c r="G379" s="12">
        <f t="shared" si="66"/>
        <v>125.52</v>
      </c>
    </row>
    <row r="380" spans="1:7" x14ac:dyDescent="0.25">
      <c r="A380" s="16">
        <v>8</v>
      </c>
      <c r="B380" s="16"/>
      <c r="C380" s="17" t="s">
        <v>78</v>
      </c>
      <c r="D380" s="16" t="s">
        <v>21</v>
      </c>
      <c r="E380" s="16">
        <v>9</v>
      </c>
      <c r="F380" s="16"/>
      <c r="G380" s="16"/>
    </row>
    <row r="381" spans="1:7" ht="31.5" x14ac:dyDescent="0.25">
      <c r="A381" s="2" t="s">
        <v>91</v>
      </c>
      <c r="B381" s="2" t="s">
        <v>157</v>
      </c>
      <c r="C381" s="3" t="s">
        <v>85</v>
      </c>
      <c r="D381" s="2" t="s">
        <v>20</v>
      </c>
      <c r="E381" s="2">
        <f t="shared" ref="E381" si="67">E380*6</f>
        <v>54</v>
      </c>
      <c r="F381" s="2">
        <f>'Ед. Цени'!E38</f>
        <v>5.29</v>
      </c>
      <c r="G381" s="12">
        <f t="shared" si="66"/>
        <v>285.66000000000003</v>
      </c>
    </row>
    <row r="382" spans="1:7" ht="31.5" x14ac:dyDescent="0.25">
      <c r="A382" s="2" t="s">
        <v>91</v>
      </c>
      <c r="B382" s="2" t="s">
        <v>162</v>
      </c>
      <c r="C382" s="3" t="s">
        <v>90</v>
      </c>
      <c r="D382" s="2" t="s">
        <v>21</v>
      </c>
      <c r="E382" s="2">
        <f t="shared" ref="E382" si="68">E380*1</f>
        <v>9</v>
      </c>
      <c r="F382" s="2">
        <f>'Ед. Цени'!E43</f>
        <v>64.92</v>
      </c>
      <c r="G382" s="12">
        <f t="shared" si="66"/>
        <v>584.28</v>
      </c>
    </row>
    <row r="383" spans="1:7" ht="31.5" x14ac:dyDescent="0.25">
      <c r="A383" s="2" t="s">
        <v>91</v>
      </c>
      <c r="B383" s="2" t="s">
        <v>159</v>
      </c>
      <c r="C383" s="3" t="s">
        <v>87</v>
      </c>
      <c r="D383" s="2" t="s">
        <v>21</v>
      </c>
      <c r="E383" s="2">
        <f t="shared" ref="E383" si="69">E380*2</f>
        <v>18</v>
      </c>
      <c r="F383" s="2">
        <f>'Ед. Цени'!E40</f>
        <v>24.34</v>
      </c>
      <c r="G383" s="12">
        <f t="shared" si="66"/>
        <v>438.12</v>
      </c>
    </row>
    <row r="384" spans="1:7" ht="15.75" x14ac:dyDescent="0.25">
      <c r="A384" s="2" t="s">
        <v>91</v>
      </c>
      <c r="B384" s="2" t="s">
        <v>160</v>
      </c>
      <c r="C384" s="3" t="s">
        <v>88</v>
      </c>
      <c r="D384" s="2" t="s">
        <v>21</v>
      </c>
      <c r="E384" s="2">
        <f t="shared" ref="E384" si="70">E380*1</f>
        <v>9</v>
      </c>
      <c r="F384" s="2">
        <f>'Ед. Цени'!E41</f>
        <v>128.91999999999999</v>
      </c>
      <c r="G384" s="12">
        <f t="shared" si="66"/>
        <v>1160.28</v>
      </c>
    </row>
    <row r="385" spans="1:7" ht="31.5" x14ac:dyDescent="0.25">
      <c r="A385" s="2" t="s">
        <v>91</v>
      </c>
      <c r="B385" s="2" t="s">
        <v>161</v>
      </c>
      <c r="C385" s="3" t="s">
        <v>89</v>
      </c>
      <c r="D385" s="2" t="s">
        <v>21</v>
      </c>
      <c r="E385" s="2">
        <f t="shared" ref="E385" si="71">E380*1</f>
        <v>9</v>
      </c>
      <c r="F385" s="2">
        <f>'Ед. Цени'!E42</f>
        <v>25.8</v>
      </c>
      <c r="G385" s="12">
        <f t="shared" si="66"/>
        <v>232.2</v>
      </c>
    </row>
    <row r="386" spans="1:7" x14ac:dyDescent="0.25">
      <c r="A386" s="12">
        <v>9</v>
      </c>
      <c r="B386" s="12" t="s">
        <v>163</v>
      </c>
      <c r="C386" s="13" t="s">
        <v>30</v>
      </c>
      <c r="D386" s="12" t="s">
        <v>20</v>
      </c>
      <c r="E386" s="12">
        <v>226</v>
      </c>
      <c r="F386" s="12">
        <f>'Ед. Цени'!E44</f>
        <v>1.5</v>
      </c>
      <c r="G386" s="12">
        <f t="shared" si="66"/>
        <v>339</v>
      </c>
    </row>
    <row r="387" spans="1:7" x14ac:dyDescent="0.25">
      <c r="A387" s="12">
        <v>10</v>
      </c>
      <c r="B387" s="12" t="s">
        <v>164</v>
      </c>
      <c r="C387" s="13" t="s">
        <v>31</v>
      </c>
      <c r="D387" s="12" t="s">
        <v>20</v>
      </c>
      <c r="E387" s="12">
        <v>226</v>
      </c>
      <c r="F387" s="12">
        <f>'Ед. Цени'!E45</f>
        <v>0.9</v>
      </c>
      <c r="G387" s="12">
        <f t="shared" si="66"/>
        <v>203.4</v>
      </c>
    </row>
    <row r="388" spans="1:7" x14ac:dyDescent="0.25">
      <c r="A388" s="12">
        <v>11</v>
      </c>
      <c r="B388" s="12" t="s">
        <v>165</v>
      </c>
      <c r="C388" s="13" t="s">
        <v>32</v>
      </c>
      <c r="D388" s="12" t="s">
        <v>20</v>
      </c>
      <c r="E388" s="12">
        <v>226</v>
      </c>
      <c r="F388" s="12">
        <f>'Ед. Цени'!E46</f>
        <v>2.23</v>
      </c>
      <c r="G388" s="12">
        <f t="shared" si="66"/>
        <v>503.98</v>
      </c>
    </row>
    <row r="389" spans="1:7" x14ac:dyDescent="0.25">
      <c r="A389" s="12">
        <v>12</v>
      </c>
      <c r="B389" s="12" t="s">
        <v>166</v>
      </c>
      <c r="C389" s="13" t="s">
        <v>33</v>
      </c>
      <c r="D389" s="12" t="s">
        <v>20</v>
      </c>
      <c r="E389" s="12">
        <v>226</v>
      </c>
      <c r="F389" s="12">
        <f>'Ед. Цени'!E47</f>
        <v>1.75</v>
      </c>
      <c r="G389" s="12">
        <f t="shared" si="66"/>
        <v>395.5</v>
      </c>
    </row>
    <row r="390" spans="1:7" x14ac:dyDescent="0.25">
      <c r="A390" s="12">
        <v>13</v>
      </c>
      <c r="B390" s="12" t="s">
        <v>168</v>
      </c>
      <c r="C390" s="13" t="s">
        <v>80</v>
      </c>
      <c r="D390" s="12" t="s">
        <v>21</v>
      </c>
      <c r="E390" s="12">
        <v>27</v>
      </c>
      <c r="F390" s="12">
        <f>'Ед. Цени'!E49</f>
        <v>24.99</v>
      </c>
      <c r="G390" s="12">
        <f t="shared" si="66"/>
        <v>674.73</v>
      </c>
    </row>
    <row r="391" spans="1:7" x14ac:dyDescent="0.25">
      <c r="A391" s="24" t="s">
        <v>103</v>
      </c>
      <c r="B391" s="42"/>
      <c r="C391" s="79" t="s">
        <v>116</v>
      </c>
      <c r="D391" s="80"/>
      <c r="E391" s="80"/>
      <c r="F391" s="81"/>
      <c r="G391" s="25">
        <f>SUM(G356:G390)</f>
        <v>21217.48</v>
      </c>
    </row>
    <row r="392" spans="1:7" x14ac:dyDescent="0.25">
      <c r="A392" s="73" t="s">
        <v>62</v>
      </c>
      <c r="B392" s="73"/>
      <c r="C392" s="73"/>
      <c r="D392" s="73"/>
      <c r="E392" s="73"/>
      <c r="F392" s="73"/>
      <c r="G392" s="73"/>
    </row>
    <row r="393" spans="1:7" x14ac:dyDescent="0.25">
      <c r="A393" s="7" t="s">
        <v>5</v>
      </c>
      <c r="B393" s="7"/>
      <c r="C393" s="8" t="s">
        <v>6</v>
      </c>
      <c r="D393" s="9"/>
      <c r="E393" s="9"/>
      <c r="F393" s="9"/>
      <c r="G393" s="9"/>
    </row>
    <row r="394" spans="1:7" ht="30" x14ac:dyDescent="0.25">
      <c r="A394" s="74">
        <v>1</v>
      </c>
      <c r="B394" s="39"/>
      <c r="C394" s="11" t="s">
        <v>7</v>
      </c>
      <c r="D394" s="12"/>
      <c r="E394" s="12"/>
      <c r="F394" s="12"/>
      <c r="G394" s="12"/>
    </row>
    <row r="395" spans="1:7" ht="18" x14ac:dyDescent="0.25">
      <c r="A395" s="74"/>
      <c r="B395" s="41" t="s">
        <v>130</v>
      </c>
      <c r="C395" s="13" t="s">
        <v>8</v>
      </c>
      <c r="D395" s="12" t="s">
        <v>9</v>
      </c>
      <c r="E395" s="12">
        <v>168</v>
      </c>
      <c r="F395" s="12">
        <f>'Ед. Цени'!E11</f>
        <v>5.57</v>
      </c>
      <c r="G395" s="12">
        <f t="shared" ref="G395:G419" si="72">ROUND(E395*F395,2)</f>
        <v>935.76</v>
      </c>
    </row>
    <row r="396" spans="1:7" ht="30" x14ac:dyDescent="0.25">
      <c r="A396" s="10">
        <v>2</v>
      </c>
      <c r="B396" s="41" t="s">
        <v>131</v>
      </c>
      <c r="C396" s="11" t="s">
        <v>10</v>
      </c>
      <c r="D396" s="12" t="s">
        <v>9</v>
      </c>
      <c r="E396" s="12">
        <v>39</v>
      </c>
      <c r="F396" s="12">
        <f>'Ед. Цени'!E12</f>
        <v>2.79</v>
      </c>
      <c r="G396" s="12">
        <f t="shared" si="72"/>
        <v>108.81</v>
      </c>
    </row>
    <row r="397" spans="1:7" ht="18" x14ac:dyDescent="0.25">
      <c r="A397" s="10">
        <v>3</v>
      </c>
      <c r="B397" s="41" t="s">
        <v>132</v>
      </c>
      <c r="C397" s="13" t="s">
        <v>11</v>
      </c>
      <c r="D397" s="12" t="s">
        <v>12</v>
      </c>
      <c r="E397" s="12">
        <v>211</v>
      </c>
      <c r="F397" s="12">
        <f>'Ед. Цени'!E13</f>
        <v>1.38</v>
      </c>
      <c r="G397" s="12">
        <f t="shared" si="72"/>
        <v>291.18</v>
      </c>
    </row>
    <row r="398" spans="1:7" ht="60" x14ac:dyDescent="0.25">
      <c r="A398" s="10">
        <v>4</v>
      </c>
      <c r="B398" s="41" t="s">
        <v>170</v>
      </c>
      <c r="C398" s="11" t="s">
        <v>37</v>
      </c>
      <c r="D398" s="12" t="s">
        <v>9</v>
      </c>
      <c r="E398" s="12">
        <v>39</v>
      </c>
      <c r="F398" s="12">
        <f>'Ед. Цени'!E51</f>
        <v>36.6</v>
      </c>
      <c r="G398" s="12">
        <f t="shared" si="72"/>
        <v>1427.4</v>
      </c>
    </row>
    <row r="399" spans="1:7" ht="30" x14ac:dyDescent="0.25">
      <c r="A399" s="10">
        <v>5</v>
      </c>
      <c r="B399" s="41" t="s">
        <v>134</v>
      </c>
      <c r="C399" s="11" t="s">
        <v>14</v>
      </c>
      <c r="D399" s="12" t="s">
        <v>9</v>
      </c>
      <c r="E399" s="12">
        <v>91</v>
      </c>
      <c r="F399" s="12">
        <f>'Ед. Цени'!E15</f>
        <v>8.8800000000000008</v>
      </c>
      <c r="G399" s="12">
        <f t="shared" si="72"/>
        <v>808.08</v>
      </c>
    </row>
    <row r="400" spans="1:7" x14ac:dyDescent="0.25">
      <c r="A400" s="10">
        <v>6</v>
      </c>
      <c r="B400" s="41" t="s">
        <v>135</v>
      </c>
      <c r="C400" s="13" t="s">
        <v>15</v>
      </c>
      <c r="D400" s="12" t="s">
        <v>16</v>
      </c>
      <c r="E400" s="12">
        <v>2</v>
      </c>
      <c r="F400" s="12">
        <f>'Ед. Цени'!E16</f>
        <v>17.329999999999998</v>
      </c>
      <c r="G400" s="12">
        <f t="shared" si="72"/>
        <v>34.659999999999997</v>
      </c>
    </row>
    <row r="401" spans="1:7" ht="45" x14ac:dyDescent="0.25">
      <c r="A401" s="12">
        <v>7</v>
      </c>
      <c r="B401" s="41" t="s">
        <v>136</v>
      </c>
      <c r="C401" s="11" t="s">
        <v>17</v>
      </c>
      <c r="D401" s="10" t="s">
        <v>9</v>
      </c>
      <c r="E401" s="10">
        <v>38</v>
      </c>
      <c r="F401" s="50">
        <f>'Ед. Цени'!E17</f>
        <v>33.08</v>
      </c>
      <c r="G401" s="12">
        <f t="shared" si="72"/>
        <v>1257.04</v>
      </c>
    </row>
    <row r="402" spans="1:7" x14ac:dyDescent="0.25">
      <c r="A402" s="7" t="s">
        <v>18</v>
      </c>
      <c r="B402" s="7"/>
      <c r="C402" s="8" t="s">
        <v>19</v>
      </c>
      <c r="D402" s="9"/>
      <c r="E402" s="9"/>
      <c r="F402" s="9"/>
      <c r="G402" s="9"/>
    </row>
    <row r="403" spans="1:7" x14ac:dyDescent="0.25">
      <c r="A403" s="12">
        <v>1</v>
      </c>
      <c r="B403" s="12" t="s">
        <v>138</v>
      </c>
      <c r="C403" s="13" t="s">
        <v>66</v>
      </c>
      <c r="D403" s="12" t="s">
        <v>20</v>
      </c>
      <c r="E403" s="12">
        <v>117</v>
      </c>
      <c r="F403" s="12">
        <f>'Ед. Цени'!E19</f>
        <v>7.05</v>
      </c>
      <c r="G403" s="12">
        <f t="shared" si="72"/>
        <v>824.85</v>
      </c>
    </row>
    <row r="404" spans="1:7" x14ac:dyDescent="0.25">
      <c r="A404" s="12">
        <v>2</v>
      </c>
      <c r="B404" s="12" t="s">
        <v>139</v>
      </c>
      <c r="C404" s="11" t="s">
        <v>67</v>
      </c>
      <c r="D404" s="12" t="s">
        <v>21</v>
      </c>
      <c r="E404" s="12">
        <v>1</v>
      </c>
      <c r="F404" s="12">
        <f>'Ед. Цени'!E20</f>
        <v>36.21</v>
      </c>
      <c r="G404" s="12">
        <f t="shared" si="72"/>
        <v>36.21</v>
      </c>
    </row>
    <row r="405" spans="1:7" x14ac:dyDescent="0.25">
      <c r="A405" s="12">
        <v>3</v>
      </c>
      <c r="B405" s="12" t="s">
        <v>143</v>
      </c>
      <c r="C405" s="11" t="s">
        <v>71</v>
      </c>
      <c r="D405" s="12" t="s">
        <v>21</v>
      </c>
      <c r="E405" s="12">
        <v>1</v>
      </c>
      <c r="F405" s="12">
        <f>'Ед. Цени'!E24</f>
        <v>26.86</v>
      </c>
      <c r="G405" s="12">
        <f t="shared" si="72"/>
        <v>26.86</v>
      </c>
    </row>
    <row r="406" spans="1:7" x14ac:dyDescent="0.25">
      <c r="A406" s="12">
        <v>4</v>
      </c>
      <c r="B406" s="12" t="s">
        <v>183</v>
      </c>
      <c r="C406" s="14" t="s">
        <v>82</v>
      </c>
      <c r="D406" s="15" t="s">
        <v>21</v>
      </c>
      <c r="E406" s="15">
        <v>1</v>
      </c>
      <c r="F406" s="15">
        <f>'Ед. Цени'!E64</f>
        <v>23.84</v>
      </c>
      <c r="G406" s="12">
        <f t="shared" si="72"/>
        <v>23.84</v>
      </c>
    </row>
    <row r="407" spans="1:7" ht="30" x14ac:dyDescent="0.25">
      <c r="A407" s="12">
        <v>5</v>
      </c>
      <c r="B407" s="12" t="s">
        <v>152</v>
      </c>
      <c r="C407" s="11" t="s">
        <v>27</v>
      </c>
      <c r="D407" s="12" t="s">
        <v>21</v>
      </c>
      <c r="E407" s="12">
        <v>1</v>
      </c>
      <c r="F407" s="12">
        <f>'Ед. Цени'!E33</f>
        <v>34.49</v>
      </c>
      <c r="G407" s="12">
        <f t="shared" si="72"/>
        <v>34.49</v>
      </c>
    </row>
    <row r="408" spans="1:7" x14ac:dyDescent="0.25">
      <c r="A408" s="16">
        <v>6</v>
      </c>
      <c r="B408" s="16"/>
      <c r="C408" s="17" t="s">
        <v>77</v>
      </c>
      <c r="D408" s="16" t="s">
        <v>21</v>
      </c>
      <c r="E408" s="16">
        <v>3</v>
      </c>
      <c r="F408" s="16"/>
      <c r="G408" s="16"/>
    </row>
    <row r="409" spans="1:7" ht="31.5" x14ac:dyDescent="0.25">
      <c r="A409" s="2" t="s">
        <v>91</v>
      </c>
      <c r="B409" s="2" t="s">
        <v>157</v>
      </c>
      <c r="C409" s="3" t="s">
        <v>85</v>
      </c>
      <c r="D409" s="2" t="s">
        <v>20</v>
      </c>
      <c r="E409" s="2">
        <f t="shared" ref="E409" si="73">E408*6</f>
        <v>18</v>
      </c>
      <c r="F409" s="2">
        <f>'Ед. Цени'!E38</f>
        <v>5.29</v>
      </c>
      <c r="G409" s="12">
        <f t="shared" si="72"/>
        <v>95.22</v>
      </c>
    </row>
    <row r="410" spans="1:7" ht="31.5" x14ac:dyDescent="0.25">
      <c r="A410" s="2" t="s">
        <v>91</v>
      </c>
      <c r="B410" s="2" t="s">
        <v>158</v>
      </c>
      <c r="C410" s="3" t="s">
        <v>86</v>
      </c>
      <c r="D410" s="2" t="s">
        <v>21</v>
      </c>
      <c r="E410" s="2">
        <f t="shared" ref="E410" si="74">E408*1</f>
        <v>3</v>
      </c>
      <c r="F410" s="2">
        <f>'Ед. Цени'!E39</f>
        <v>43.11</v>
      </c>
      <c r="G410" s="12">
        <f t="shared" si="72"/>
        <v>129.33000000000001</v>
      </c>
    </row>
    <row r="411" spans="1:7" ht="31.5" x14ac:dyDescent="0.25">
      <c r="A411" s="2" t="s">
        <v>91</v>
      </c>
      <c r="B411" s="2" t="s">
        <v>159</v>
      </c>
      <c r="C411" s="3" t="s">
        <v>87</v>
      </c>
      <c r="D411" s="2" t="s">
        <v>21</v>
      </c>
      <c r="E411" s="2">
        <f t="shared" ref="E411" si="75">E408*2</f>
        <v>6</v>
      </c>
      <c r="F411" s="2">
        <f>'Ед. Цени'!E40</f>
        <v>24.34</v>
      </c>
      <c r="G411" s="12">
        <f t="shared" si="72"/>
        <v>146.04</v>
      </c>
    </row>
    <row r="412" spans="1:7" ht="15.75" x14ac:dyDescent="0.25">
      <c r="A412" s="2" t="s">
        <v>91</v>
      </c>
      <c r="B412" s="2" t="s">
        <v>160</v>
      </c>
      <c r="C412" s="3" t="s">
        <v>88</v>
      </c>
      <c r="D412" s="2" t="s">
        <v>21</v>
      </c>
      <c r="E412" s="2">
        <f t="shared" ref="E412" si="76">E408*1</f>
        <v>3</v>
      </c>
      <c r="F412" s="2">
        <f>'Ед. Цени'!E41</f>
        <v>128.91999999999999</v>
      </c>
      <c r="G412" s="12">
        <f t="shared" si="72"/>
        <v>386.76</v>
      </c>
    </row>
    <row r="413" spans="1:7" ht="31.5" x14ac:dyDescent="0.25">
      <c r="A413" s="2" t="s">
        <v>91</v>
      </c>
      <c r="B413" s="2" t="s">
        <v>161</v>
      </c>
      <c r="C413" s="3" t="s">
        <v>89</v>
      </c>
      <c r="D413" s="2" t="s">
        <v>21</v>
      </c>
      <c r="E413" s="2">
        <f t="shared" ref="E413" si="77">E408*1</f>
        <v>3</v>
      </c>
      <c r="F413" s="2">
        <f>'Ед. Цени'!E42</f>
        <v>25.8</v>
      </c>
      <c r="G413" s="12">
        <f t="shared" si="72"/>
        <v>77.400000000000006</v>
      </c>
    </row>
    <row r="414" spans="1:7" x14ac:dyDescent="0.25">
      <c r="A414" s="12">
        <v>7</v>
      </c>
      <c r="B414" s="12" t="s">
        <v>163</v>
      </c>
      <c r="C414" s="13" t="s">
        <v>30</v>
      </c>
      <c r="D414" s="12" t="s">
        <v>20</v>
      </c>
      <c r="E414" s="12">
        <v>117</v>
      </c>
      <c r="F414" s="12">
        <f>'Ед. Цени'!E44</f>
        <v>1.5</v>
      </c>
      <c r="G414" s="12">
        <f t="shared" si="72"/>
        <v>175.5</v>
      </c>
    </row>
    <row r="415" spans="1:7" x14ac:dyDescent="0.25">
      <c r="A415" s="12">
        <v>8</v>
      </c>
      <c r="B415" s="12" t="s">
        <v>164</v>
      </c>
      <c r="C415" s="13" t="s">
        <v>31</v>
      </c>
      <c r="D415" s="12" t="s">
        <v>20</v>
      </c>
      <c r="E415" s="12">
        <v>117</v>
      </c>
      <c r="F415" s="12">
        <f>'Ед. Цени'!E45</f>
        <v>0.9</v>
      </c>
      <c r="G415" s="12">
        <f t="shared" si="72"/>
        <v>105.3</v>
      </c>
    </row>
    <row r="416" spans="1:7" x14ac:dyDescent="0.25">
      <c r="A416" s="12">
        <v>9</v>
      </c>
      <c r="B416" s="12" t="s">
        <v>165</v>
      </c>
      <c r="C416" s="13" t="s">
        <v>32</v>
      </c>
      <c r="D416" s="12" t="s">
        <v>20</v>
      </c>
      <c r="E416" s="12">
        <v>117</v>
      </c>
      <c r="F416" s="12">
        <f>'Ед. Цени'!E46</f>
        <v>2.23</v>
      </c>
      <c r="G416" s="12">
        <f t="shared" si="72"/>
        <v>260.91000000000003</v>
      </c>
    </row>
    <row r="417" spans="1:7" x14ac:dyDescent="0.25">
      <c r="A417" s="12">
        <v>10</v>
      </c>
      <c r="B417" s="12" t="s">
        <v>166</v>
      </c>
      <c r="C417" s="13" t="s">
        <v>33</v>
      </c>
      <c r="D417" s="12" t="s">
        <v>20</v>
      </c>
      <c r="E417" s="12">
        <v>117</v>
      </c>
      <c r="F417" s="12">
        <f>'Ед. Цени'!E47</f>
        <v>1.75</v>
      </c>
      <c r="G417" s="12">
        <f t="shared" si="72"/>
        <v>204.75</v>
      </c>
    </row>
    <row r="418" spans="1:7" x14ac:dyDescent="0.25">
      <c r="A418" s="12">
        <v>11</v>
      </c>
      <c r="B418" s="12" t="s">
        <v>168</v>
      </c>
      <c r="C418" s="13" t="s">
        <v>80</v>
      </c>
      <c r="D418" s="12" t="s">
        <v>21</v>
      </c>
      <c r="E418" s="12">
        <v>1</v>
      </c>
      <c r="F418" s="12">
        <f>'Ед. Цени'!E49</f>
        <v>24.99</v>
      </c>
      <c r="G418" s="12">
        <f t="shared" si="72"/>
        <v>24.99</v>
      </c>
    </row>
    <row r="419" spans="1:7" x14ac:dyDescent="0.25">
      <c r="A419" s="12">
        <v>12</v>
      </c>
      <c r="B419" s="12" t="s">
        <v>167</v>
      </c>
      <c r="C419" s="13" t="s">
        <v>79</v>
      </c>
      <c r="D419" s="12" t="s">
        <v>21</v>
      </c>
      <c r="E419" s="12">
        <v>12</v>
      </c>
      <c r="F419" s="12">
        <f>'Ед. Цени'!E48</f>
        <v>20.149999999999999</v>
      </c>
      <c r="G419" s="12">
        <f t="shared" si="72"/>
        <v>241.8</v>
      </c>
    </row>
    <row r="420" spans="1:7" x14ac:dyDescent="0.25">
      <c r="A420" s="24" t="s">
        <v>104</v>
      </c>
      <c r="B420" s="42"/>
      <c r="C420" s="79" t="s">
        <v>117</v>
      </c>
      <c r="D420" s="80"/>
      <c r="E420" s="80"/>
      <c r="F420" s="81"/>
      <c r="G420" s="25">
        <f>SUM(G394:G419)</f>
        <v>7657.18</v>
      </c>
    </row>
    <row r="421" spans="1:7" x14ac:dyDescent="0.25">
      <c r="A421" s="73" t="s">
        <v>63</v>
      </c>
      <c r="B421" s="73"/>
      <c r="C421" s="73"/>
      <c r="D421" s="73"/>
      <c r="E421" s="73"/>
      <c r="F421" s="73"/>
      <c r="G421" s="73"/>
    </row>
    <row r="422" spans="1:7" x14ac:dyDescent="0.25">
      <c r="A422" s="7" t="s">
        <v>5</v>
      </c>
      <c r="B422" s="7"/>
      <c r="C422" s="8" t="s">
        <v>6</v>
      </c>
      <c r="D422" s="9"/>
      <c r="E422" s="9"/>
      <c r="F422" s="9"/>
      <c r="G422" s="9"/>
    </row>
    <row r="423" spans="1:7" ht="30" x14ac:dyDescent="0.25">
      <c r="A423" s="74">
        <v>1</v>
      </c>
      <c r="B423" s="39"/>
      <c r="C423" s="11" t="s">
        <v>7</v>
      </c>
      <c r="D423" s="12"/>
      <c r="E423" s="12"/>
      <c r="F423" s="12"/>
      <c r="G423" s="12"/>
    </row>
    <row r="424" spans="1:7" ht="18" x14ac:dyDescent="0.25">
      <c r="A424" s="74"/>
      <c r="B424" s="41" t="s">
        <v>130</v>
      </c>
      <c r="C424" s="13" t="s">
        <v>8</v>
      </c>
      <c r="D424" s="12" t="s">
        <v>9</v>
      </c>
      <c r="E424" s="12">
        <v>140</v>
      </c>
      <c r="F424" s="12">
        <f>'Ед. Цени'!E11</f>
        <v>5.57</v>
      </c>
      <c r="G424" s="12">
        <f t="shared" ref="G424:G447" si="78">ROUND(E424*F424,2)</f>
        <v>779.8</v>
      </c>
    </row>
    <row r="425" spans="1:7" ht="30" x14ac:dyDescent="0.25">
      <c r="A425" s="10">
        <v>2</v>
      </c>
      <c r="B425" s="41" t="s">
        <v>131</v>
      </c>
      <c r="C425" s="11" t="s">
        <v>10</v>
      </c>
      <c r="D425" s="12" t="s">
        <v>9</v>
      </c>
      <c r="E425" s="12">
        <v>32</v>
      </c>
      <c r="F425" s="12">
        <f>'Ед. Цени'!E12</f>
        <v>2.79</v>
      </c>
      <c r="G425" s="12">
        <f t="shared" si="78"/>
        <v>89.28</v>
      </c>
    </row>
    <row r="426" spans="1:7" ht="18" x14ac:dyDescent="0.25">
      <c r="A426" s="10">
        <v>3</v>
      </c>
      <c r="B426" s="41" t="s">
        <v>132</v>
      </c>
      <c r="C426" s="13" t="s">
        <v>11</v>
      </c>
      <c r="D426" s="12" t="s">
        <v>12</v>
      </c>
      <c r="E426" s="12">
        <v>176</v>
      </c>
      <c r="F426" s="12">
        <f>'Ед. Цени'!E13</f>
        <v>1.38</v>
      </c>
      <c r="G426" s="12">
        <f t="shared" si="78"/>
        <v>242.88</v>
      </c>
    </row>
    <row r="427" spans="1:7" ht="60" x14ac:dyDescent="0.25">
      <c r="A427" s="10">
        <v>4</v>
      </c>
      <c r="B427" s="41" t="s">
        <v>170</v>
      </c>
      <c r="C427" s="11" t="s">
        <v>37</v>
      </c>
      <c r="D427" s="12" t="s">
        <v>9</v>
      </c>
      <c r="E427" s="12">
        <v>32</v>
      </c>
      <c r="F427" s="12">
        <f>'Ед. Цени'!E51</f>
        <v>36.6</v>
      </c>
      <c r="G427" s="12">
        <f t="shared" si="78"/>
        <v>1171.2</v>
      </c>
    </row>
    <row r="428" spans="1:7" ht="30" x14ac:dyDescent="0.25">
      <c r="A428" s="10">
        <v>5</v>
      </c>
      <c r="B428" s="41" t="s">
        <v>134</v>
      </c>
      <c r="C428" s="11" t="s">
        <v>14</v>
      </c>
      <c r="D428" s="12" t="s">
        <v>9</v>
      </c>
      <c r="E428" s="12">
        <v>107</v>
      </c>
      <c r="F428" s="12">
        <f>'Ед. Цени'!E15</f>
        <v>8.8800000000000008</v>
      </c>
      <c r="G428" s="12">
        <f t="shared" si="78"/>
        <v>950.16</v>
      </c>
    </row>
    <row r="429" spans="1:7" x14ac:dyDescent="0.25">
      <c r="A429" s="10">
        <v>6</v>
      </c>
      <c r="B429" s="41" t="s">
        <v>135</v>
      </c>
      <c r="C429" s="13" t="s">
        <v>15</v>
      </c>
      <c r="D429" s="12" t="s">
        <v>16</v>
      </c>
      <c r="E429" s="12">
        <v>2</v>
      </c>
      <c r="F429" s="12">
        <f>'Ед. Цени'!E16</f>
        <v>17.329999999999998</v>
      </c>
      <c r="G429" s="12">
        <f t="shared" si="78"/>
        <v>34.659999999999997</v>
      </c>
    </row>
    <row r="430" spans="1:7" x14ac:dyDescent="0.25">
      <c r="A430" s="7" t="s">
        <v>18</v>
      </c>
      <c r="B430" s="7"/>
      <c r="C430" s="8" t="s">
        <v>19</v>
      </c>
      <c r="D430" s="9"/>
      <c r="E430" s="9"/>
      <c r="F430" s="9"/>
      <c r="G430" s="9"/>
    </row>
    <row r="431" spans="1:7" x14ac:dyDescent="0.25">
      <c r="A431" s="12">
        <v>1</v>
      </c>
      <c r="B431" s="12" t="s">
        <v>138</v>
      </c>
      <c r="C431" s="13" t="s">
        <v>66</v>
      </c>
      <c r="D431" s="12" t="s">
        <v>20</v>
      </c>
      <c r="E431" s="12">
        <v>98</v>
      </c>
      <c r="F431" s="12">
        <f>'Ед. Цени'!E19</f>
        <v>7.05</v>
      </c>
      <c r="G431" s="12">
        <f t="shared" si="78"/>
        <v>690.9</v>
      </c>
    </row>
    <row r="432" spans="1:7" x14ac:dyDescent="0.25">
      <c r="A432" s="12">
        <v>2</v>
      </c>
      <c r="B432" s="12" t="s">
        <v>139</v>
      </c>
      <c r="C432" s="11" t="s">
        <v>67</v>
      </c>
      <c r="D432" s="12" t="s">
        <v>21</v>
      </c>
      <c r="E432" s="12">
        <v>1</v>
      </c>
      <c r="F432" s="12">
        <f>'Ед. Цени'!E20</f>
        <v>36.21</v>
      </c>
      <c r="G432" s="12">
        <f t="shared" si="78"/>
        <v>36.21</v>
      </c>
    </row>
    <row r="433" spans="1:7" x14ac:dyDescent="0.25">
      <c r="A433" s="12">
        <v>3</v>
      </c>
      <c r="B433" s="12" t="s">
        <v>143</v>
      </c>
      <c r="C433" s="11" t="s">
        <v>71</v>
      </c>
      <c r="D433" s="12" t="s">
        <v>21</v>
      </c>
      <c r="E433" s="12">
        <v>1</v>
      </c>
      <c r="F433" s="12">
        <f>'Ед. Цени'!E24</f>
        <v>26.86</v>
      </c>
      <c r="G433" s="12">
        <f t="shared" si="78"/>
        <v>26.86</v>
      </c>
    </row>
    <row r="434" spans="1:7" x14ac:dyDescent="0.25">
      <c r="A434" s="12">
        <v>4</v>
      </c>
      <c r="B434" s="12" t="s">
        <v>183</v>
      </c>
      <c r="C434" s="14" t="s">
        <v>82</v>
      </c>
      <c r="D434" s="15" t="s">
        <v>21</v>
      </c>
      <c r="E434" s="15">
        <v>1</v>
      </c>
      <c r="F434" s="15">
        <f>'Ед. Цени'!E64</f>
        <v>23.84</v>
      </c>
      <c r="G434" s="12">
        <f t="shared" si="78"/>
        <v>23.84</v>
      </c>
    </row>
    <row r="435" spans="1:7" ht="30" x14ac:dyDescent="0.25">
      <c r="A435" s="12">
        <v>5</v>
      </c>
      <c r="B435" s="12" t="s">
        <v>152</v>
      </c>
      <c r="C435" s="11" t="s">
        <v>27</v>
      </c>
      <c r="D435" s="12" t="s">
        <v>21</v>
      </c>
      <c r="E435" s="12">
        <v>1</v>
      </c>
      <c r="F435" s="12">
        <f>'Ед. Цени'!E33</f>
        <v>34.49</v>
      </c>
      <c r="G435" s="12">
        <f t="shared" si="78"/>
        <v>34.49</v>
      </c>
    </row>
    <row r="436" spans="1:7" x14ac:dyDescent="0.25">
      <c r="A436" s="16">
        <v>6</v>
      </c>
      <c r="B436" s="16"/>
      <c r="C436" s="17" t="s">
        <v>77</v>
      </c>
      <c r="D436" s="16" t="s">
        <v>21</v>
      </c>
      <c r="E436" s="16">
        <v>3</v>
      </c>
      <c r="F436" s="16"/>
      <c r="G436" s="16"/>
    </row>
    <row r="437" spans="1:7" ht="31.5" x14ac:dyDescent="0.25">
      <c r="A437" s="2" t="s">
        <v>91</v>
      </c>
      <c r="B437" s="2" t="s">
        <v>157</v>
      </c>
      <c r="C437" s="3" t="s">
        <v>85</v>
      </c>
      <c r="D437" s="2" t="s">
        <v>20</v>
      </c>
      <c r="E437" s="2">
        <f t="shared" ref="E437" si="79">E436*6</f>
        <v>18</v>
      </c>
      <c r="F437" s="2">
        <f>'Ед. Цени'!E38</f>
        <v>5.29</v>
      </c>
      <c r="G437" s="12">
        <f t="shared" si="78"/>
        <v>95.22</v>
      </c>
    </row>
    <row r="438" spans="1:7" ht="31.5" x14ac:dyDescent="0.25">
      <c r="A438" s="2" t="s">
        <v>91</v>
      </c>
      <c r="B438" s="2" t="s">
        <v>158</v>
      </c>
      <c r="C438" s="3" t="s">
        <v>86</v>
      </c>
      <c r="D438" s="2" t="s">
        <v>21</v>
      </c>
      <c r="E438" s="2">
        <f t="shared" ref="E438" si="80">E436*1</f>
        <v>3</v>
      </c>
      <c r="F438" s="2">
        <f>'Ед. Цени'!E39</f>
        <v>43.11</v>
      </c>
      <c r="G438" s="12">
        <f t="shared" si="78"/>
        <v>129.33000000000001</v>
      </c>
    </row>
    <row r="439" spans="1:7" ht="31.5" x14ac:dyDescent="0.25">
      <c r="A439" s="2" t="s">
        <v>91</v>
      </c>
      <c r="B439" s="2" t="s">
        <v>159</v>
      </c>
      <c r="C439" s="3" t="s">
        <v>87</v>
      </c>
      <c r="D439" s="2" t="s">
        <v>21</v>
      </c>
      <c r="E439" s="2">
        <f t="shared" ref="E439" si="81">E436*2</f>
        <v>6</v>
      </c>
      <c r="F439" s="2">
        <f>'Ед. Цени'!E40</f>
        <v>24.34</v>
      </c>
      <c r="G439" s="12">
        <f t="shared" si="78"/>
        <v>146.04</v>
      </c>
    </row>
    <row r="440" spans="1:7" ht="15.75" x14ac:dyDescent="0.25">
      <c r="A440" s="2" t="s">
        <v>91</v>
      </c>
      <c r="B440" s="2" t="s">
        <v>160</v>
      </c>
      <c r="C440" s="3" t="s">
        <v>88</v>
      </c>
      <c r="D440" s="2" t="s">
        <v>21</v>
      </c>
      <c r="E440" s="2">
        <f t="shared" ref="E440" si="82">E436*1</f>
        <v>3</v>
      </c>
      <c r="F440" s="2">
        <f>'Ед. Цени'!E41</f>
        <v>128.91999999999999</v>
      </c>
      <c r="G440" s="12">
        <f t="shared" si="78"/>
        <v>386.76</v>
      </c>
    </row>
    <row r="441" spans="1:7" ht="31.5" x14ac:dyDescent="0.25">
      <c r="A441" s="2" t="s">
        <v>91</v>
      </c>
      <c r="B441" s="2" t="s">
        <v>161</v>
      </c>
      <c r="C441" s="3" t="s">
        <v>89</v>
      </c>
      <c r="D441" s="2" t="s">
        <v>21</v>
      </c>
      <c r="E441" s="2">
        <f t="shared" ref="E441" si="83">E436*1</f>
        <v>3</v>
      </c>
      <c r="F441" s="2">
        <f>'Ед. Цени'!E42</f>
        <v>25.8</v>
      </c>
      <c r="G441" s="12">
        <f t="shared" si="78"/>
        <v>77.400000000000006</v>
      </c>
    </row>
    <row r="442" spans="1:7" x14ac:dyDescent="0.25">
      <c r="A442" s="12">
        <v>7</v>
      </c>
      <c r="B442" s="12" t="s">
        <v>163</v>
      </c>
      <c r="C442" s="13" t="s">
        <v>30</v>
      </c>
      <c r="D442" s="12" t="s">
        <v>20</v>
      </c>
      <c r="E442" s="12">
        <v>98</v>
      </c>
      <c r="F442" s="12">
        <f>'Ед. Цени'!E44</f>
        <v>1.5</v>
      </c>
      <c r="G442" s="12">
        <f t="shared" si="78"/>
        <v>147</v>
      </c>
    </row>
    <row r="443" spans="1:7" x14ac:dyDescent="0.25">
      <c r="A443" s="12">
        <v>8</v>
      </c>
      <c r="B443" s="12" t="s">
        <v>164</v>
      </c>
      <c r="C443" s="13" t="s">
        <v>31</v>
      </c>
      <c r="D443" s="12" t="s">
        <v>20</v>
      </c>
      <c r="E443" s="12">
        <v>98</v>
      </c>
      <c r="F443" s="12">
        <f>'Ед. Цени'!E45</f>
        <v>0.9</v>
      </c>
      <c r="G443" s="12">
        <f t="shared" si="78"/>
        <v>88.2</v>
      </c>
    </row>
    <row r="444" spans="1:7" x14ac:dyDescent="0.25">
      <c r="A444" s="12">
        <v>9</v>
      </c>
      <c r="B444" s="12" t="s">
        <v>165</v>
      </c>
      <c r="C444" s="13" t="s">
        <v>32</v>
      </c>
      <c r="D444" s="12" t="s">
        <v>20</v>
      </c>
      <c r="E444" s="12">
        <v>98</v>
      </c>
      <c r="F444" s="12">
        <f>'Ед. Цени'!E46</f>
        <v>2.23</v>
      </c>
      <c r="G444" s="12">
        <f t="shared" si="78"/>
        <v>218.54</v>
      </c>
    </row>
    <row r="445" spans="1:7" x14ac:dyDescent="0.25">
      <c r="A445" s="12">
        <v>10</v>
      </c>
      <c r="B445" s="12" t="s">
        <v>166</v>
      </c>
      <c r="C445" s="13" t="s">
        <v>33</v>
      </c>
      <c r="D445" s="12" t="s">
        <v>20</v>
      </c>
      <c r="E445" s="12">
        <v>98</v>
      </c>
      <c r="F445" s="12">
        <f>'Ед. Цени'!E47</f>
        <v>1.75</v>
      </c>
      <c r="G445" s="12">
        <f t="shared" si="78"/>
        <v>171.5</v>
      </c>
    </row>
    <row r="446" spans="1:7" x14ac:dyDescent="0.25">
      <c r="A446" s="12">
        <v>11</v>
      </c>
      <c r="B446" s="12" t="s">
        <v>168</v>
      </c>
      <c r="C446" s="13" t="s">
        <v>80</v>
      </c>
      <c r="D446" s="12" t="s">
        <v>21</v>
      </c>
      <c r="E446" s="12">
        <v>1</v>
      </c>
      <c r="F446" s="12">
        <f>'Ед. Цени'!E49</f>
        <v>24.99</v>
      </c>
      <c r="G446" s="12">
        <f t="shared" si="78"/>
        <v>24.99</v>
      </c>
    </row>
    <row r="447" spans="1:7" x14ac:dyDescent="0.25">
      <c r="A447" s="12">
        <v>12</v>
      </c>
      <c r="B447" s="12" t="s">
        <v>167</v>
      </c>
      <c r="C447" s="13" t="s">
        <v>79</v>
      </c>
      <c r="D447" s="12" t="s">
        <v>21</v>
      </c>
      <c r="E447" s="12">
        <v>10</v>
      </c>
      <c r="F447" s="12">
        <f>'Ед. Цени'!E48</f>
        <v>20.149999999999999</v>
      </c>
      <c r="G447" s="12">
        <f t="shared" si="78"/>
        <v>201.5</v>
      </c>
    </row>
    <row r="448" spans="1:7" x14ac:dyDescent="0.25">
      <c r="A448" s="24" t="s">
        <v>105</v>
      </c>
      <c r="B448" s="42"/>
      <c r="C448" s="79" t="s">
        <v>118</v>
      </c>
      <c r="D448" s="80"/>
      <c r="E448" s="80"/>
      <c r="F448" s="81"/>
      <c r="G448" s="25">
        <f>SUM(G423:G447)</f>
        <v>5766.7599999999993</v>
      </c>
    </row>
    <row r="449" spans="1:7" x14ac:dyDescent="0.25">
      <c r="A449" s="73" t="s">
        <v>64</v>
      </c>
      <c r="B449" s="73"/>
      <c r="C449" s="73"/>
      <c r="D449" s="73"/>
      <c r="E449" s="73"/>
      <c r="F449" s="73"/>
      <c r="G449" s="73"/>
    </row>
    <row r="450" spans="1:7" x14ac:dyDescent="0.25">
      <c r="A450" s="7" t="s">
        <v>5</v>
      </c>
      <c r="B450" s="7"/>
      <c r="C450" s="8" t="s">
        <v>6</v>
      </c>
      <c r="D450" s="9"/>
      <c r="E450" s="9"/>
      <c r="F450" s="9"/>
      <c r="G450" s="9"/>
    </row>
    <row r="451" spans="1:7" ht="30" x14ac:dyDescent="0.25">
      <c r="A451" s="74">
        <v>1</v>
      </c>
      <c r="B451" s="39"/>
      <c r="C451" s="11" t="s">
        <v>7</v>
      </c>
      <c r="D451" s="12"/>
      <c r="E451" s="12"/>
      <c r="F451" s="12"/>
      <c r="G451" s="12"/>
    </row>
    <row r="452" spans="1:7" ht="18" x14ac:dyDescent="0.25">
      <c r="A452" s="74"/>
      <c r="B452" s="41" t="s">
        <v>130</v>
      </c>
      <c r="C452" s="13" t="s">
        <v>8</v>
      </c>
      <c r="D452" s="12" t="s">
        <v>9</v>
      </c>
      <c r="E452" s="12">
        <v>549</v>
      </c>
      <c r="F452" s="12">
        <f>'Ед. Цени'!E11</f>
        <v>5.57</v>
      </c>
      <c r="G452" s="12">
        <f t="shared" ref="G452:G484" si="84">ROUND(E452*F452,2)</f>
        <v>3057.93</v>
      </c>
    </row>
    <row r="453" spans="1:7" ht="30" x14ac:dyDescent="0.25">
      <c r="A453" s="10">
        <v>2</v>
      </c>
      <c r="B453" s="41" t="s">
        <v>131</v>
      </c>
      <c r="C453" s="11" t="s">
        <v>10</v>
      </c>
      <c r="D453" s="12" t="s">
        <v>9</v>
      </c>
      <c r="E453" s="12">
        <v>250</v>
      </c>
      <c r="F453" s="12">
        <f>'Ед. Цени'!E12</f>
        <v>2.79</v>
      </c>
      <c r="G453" s="12">
        <f t="shared" si="84"/>
        <v>697.5</v>
      </c>
    </row>
    <row r="454" spans="1:7" ht="18" x14ac:dyDescent="0.25">
      <c r="A454" s="10">
        <v>3</v>
      </c>
      <c r="B454" s="41" t="s">
        <v>132</v>
      </c>
      <c r="C454" s="13" t="s">
        <v>11</v>
      </c>
      <c r="D454" s="12" t="s">
        <v>12</v>
      </c>
      <c r="E454" s="12">
        <v>698</v>
      </c>
      <c r="F454" s="12">
        <f>'Ед. Цени'!E13</f>
        <v>1.38</v>
      </c>
      <c r="G454" s="12">
        <f t="shared" si="84"/>
        <v>963.24</v>
      </c>
    </row>
    <row r="455" spans="1:7" ht="60" x14ac:dyDescent="0.25">
      <c r="A455" s="10">
        <v>4</v>
      </c>
      <c r="B455" s="41" t="s">
        <v>170</v>
      </c>
      <c r="C455" s="11" t="s">
        <v>37</v>
      </c>
      <c r="D455" s="12" t="s">
        <v>9</v>
      </c>
      <c r="E455" s="12">
        <v>124</v>
      </c>
      <c r="F455" s="12">
        <f>'Ед. Цени'!E51</f>
        <v>36.6</v>
      </c>
      <c r="G455" s="12">
        <f t="shared" si="84"/>
        <v>4538.3999999999996</v>
      </c>
    </row>
    <row r="456" spans="1:7" ht="30" x14ac:dyDescent="0.25">
      <c r="A456" s="10">
        <v>5</v>
      </c>
      <c r="B456" s="41" t="s">
        <v>134</v>
      </c>
      <c r="C456" s="11" t="s">
        <v>14</v>
      </c>
      <c r="D456" s="12" t="s">
        <v>9</v>
      </c>
      <c r="E456" s="12">
        <v>299</v>
      </c>
      <c r="F456" s="12">
        <f>'Ед. Цени'!E15</f>
        <v>8.8800000000000008</v>
      </c>
      <c r="G456" s="12">
        <f t="shared" si="84"/>
        <v>2655.12</v>
      </c>
    </row>
    <row r="457" spans="1:7" x14ac:dyDescent="0.25">
      <c r="A457" s="10">
        <v>6</v>
      </c>
      <c r="B457" s="41" t="s">
        <v>135</v>
      </c>
      <c r="C457" s="13" t="s">
        <v>15</v>
      </c>
      <c r="D457" s="12" t="s">
        <v>16</v>
      </c>
      <c r="E457" s="12">
        <v>8</v>
      </c>
      <c r="F457" s="12">
        <f>'Ед. Цени'!E16</f>
        <v>17.329999999999998</v>
      </c>
      <c r="G457" s="12">
        <f t="shared" si="84"/>
        <v>138.63999999999999</v>
      </c>
    </row>
    <row r="458" spans="1:7" ht="45" x14ac:dyDescent="0.25">
      <c r="A458" s="10">
        <v>7</v>
      </c>
      <c r="B458" s="41" t="s">
        <v>136</v>
      </c>
      <c r="C458" s="11" t="s">
        <v>17</v>
      </c>
      <c r="D458" s="10" t="s">
        <v>9</v>
      </c>
      <c r="E458" s="10">
        <v>126</v>
      </c>
      <c r="F458" s="50">
        <f>'Ед. Цени'!E17</f>
        <v>33.08</v>
      </c>
      <c r="G458" s="12">
        <f t="shared" si="84"/>
        <v>4168.08</v>
      </c>
    </row>
    <row r="459" spans="1:7" x14ac:dyDescent="0.25">
      <c r="A459" s="7" t="s">
        <v>18</v>
      </c>
      <c r="B459" s="7"/>
      <c r="C459" s="8" t="s">
        <v>19</v>
      </c>
      <c r="D459" s="9"/>
      <c r="E459" s="9"/>
      <c r="F459" s="9"/>
      <c r="G459" s="9"/>
    </row>
    <row r="460" spans="1:7" x14ac:dyDescent="0.25">
      <c r="A460" s="12">
        <v>1</v>
      </c>
      <c r="B460" s="12" t="s">
        <v>137</v>
      </c>
      <c r="C460" s="13" t="s">
        <v>65</v>
      </c>
      <c r="D460" s="12" t="s">
        <v>20</v>
      </c>
      <c r="E460" s="12">
        <v>388</v>
      </c>
      <c r="F460" s="12">
        <f>'Ед. Цени'!E18</f>
        <v>18.440000000000001</v>
      </c>
      <c r="G460" s="12">
        <f t="shared" si="84"/>
        <v>7154.72</v>
      </c>
    </row>
    <row r="461" spans="1:7" x14ac:dyDescent="0.25">
      <c r="A461" s="12">
        <v>2</v>
      </c>
      <c r="B461" s="12" t="s">
        <v>139</v>
      </c>
      <c r="C461" s="11" t="s">
        <v>67</v>
      </c>
      <c r="D461" s="12" t="s">
        <v>21</v>
      </c>
      <c r="E461" s="12">
        <v>3</v>
      </c>
      <c r="F461" s="12">
        <f>'Ед. Цени'!E20</f>
        <v>36.21</v>
      </c>
      <c r="G461" s="12">
        <f t="shared" si="84"/>
        <v>108.63</v>
      </c>
    </row>
    <row r="462" spans="1:7" x14ac:dyDescent="0.25">
      <c r="A462" s="12">
        <v>3</v>
      </c>
      <c r="B462" s="12" t="s">
        <v>140</v>
      </c>
      <c r="C462" s="11" t="s">
        <v>68</v>
      </c>
      <c r="D462" s="12" t="s">
        <v>21</v>
      </c>
      <c r="E462" s="12">
        <v>1</v>
      </c>
      <c r="F462" s="12">
        <f>'Ед. Цени'!E21</f>
        <v>26.26</v>
      </c>
      <c r="G462" s="12">
        <f t="shared" si="84"/>
        <v>26.26</v>
      </c>
    </row>
    <row r="463" spans="1:7" x14ac:dyDescent="0.25">
      <c r="A463" s="12">
        <v>4</v>
      </c>
      <c r="B463" s="12" t="s">
        <v>141</v>
      </c>
      <c r="C463" s="14" t="s">
        <v>69</v>
      </c>
      <c r="D463" s="15" t="s">
        <v>21</v>
      </c>
      <c r="E463" s="15">
        <v>2</v>
      </c>
      <c r="F463" s="15">
        <f>'Ед. Цени'!E22</f>
        <v>48.31</v>
      </c>
      <c r="G463" s="12">
        <f t="shared" si="84"/>
        <v>96.62</v>
      </c>
    </row>
    <row r="464" spans="1:7" x14ac:dyDescent="0.25">
      <c r="A464" s="12">
        <v>5</v>
      </c>
      <c r="B464" s="12" t="s">
        <v>189</v>
      </c>
      <c r="C464" s="11" t="s">
        <v>84</v>
      </c>
      <c r="D464" s="12" t="s">
        <v>21</v>
      </c>
      <c r="E464" s="12">
        <v>1</v>
      </c>
      <c r="F464" s="12">
        <f>'Ед. Цени'!E70</f>
        <v>50.73</v>
      </c>
      <c r="G464" s="12">
        <f t="shared" si="84"/>
        <v>50.73</v>
      </c>
    </row>
    <row r="465" spans="1:7" x14ac:dyDescent="0.25">
      <c r="A465" s="12">
        <v>6</v>
      </c>
      <c r="B465" s="12" t="s">
        <v>145</v>
      </c>
      <c r="C465" s="11" t="s">
        <v>73</v>
      </c>
      <c r="D465" s="12" t="s">
        <v>21</v>
      </c>
      <c r="E465" s="12">
        <v>1</v>
      </c>
      <c r="F465" s="12">
        <f>'Ед. Цени'!E26</f>
        <v>27.47</v>
      </c>
      <c r="G465" s="12">
        <f t="shared" si="84"/>
        <v>27.47</v>
      </c>
    </row>
    <row r="466" spans="1:7" ht="30" x14ac:dyDescent="0.25">
      <c r="A466" s="12">
        <v>7</v>
      </c>
      <c r="B466" s="12" t="s">
        <v>156</v>
      </c>
      <c r="C466" s="11" t="s">
        <v>76</v>
      </c>
      <c r="D466" s="12" t="s">
        <v>21</v>
      </c>
      <c r="E466" s="12">
        <v>2</v>
      </c>
      <c r="F466" s="12">
        <f>'Ед. Цени'!E37</f>
        <v>32.450000000000003</v>
      </c>
      <c r="G466" s="12">
        <f t="shared" si="84"/>
        <v>64.900000000000006</v>
      </c>
    </row>
    <row r="467" spans="1:7" ht="30" x14ac:dyDescent="0.25">
      <c r="A467" s="12">
        <v>8</v>
      </c>
      <c r="B467" s="12" t="s">
        <v>148</v>
      </c>
      <c r="C467" s="11" t="s">
        <v>23</v>
      </c>
      <c r="D467" s="12" t="s">
        <v>21</v>
      </c>
      <c r="E467" s="12">
        <v>2</v>
      </c>
      <c r="F467" s="12">
        <f>'Ед. Цени'!E29</f>
        <v>150.69999999999999</v>
      </c>
      <c r="G467" s="12">
        <f t="shared" si="84"/>
        <v>301.39999999999998</v>
      </c>
    </row>
    <row r="468" spans="1:7" x14ac:dyDescent="0.25">
      <c r="A468" s="12">
        <v>9</v>
      </c>
      <c r="B468" s="12" t="s">
        <v>155</v>
      </c>
      <c r="C468" s="11" t="s">
        <v>75</v>
      </c>
      <c r="D468" s="12" t="s">
        <v>21</v>
      </c>
      <c r="E468" s="12">
        <v>1</v>
      </c>
      <c r="F468" s="12">
        <f>'Ед. Цени'!E36</f>
        <v>134.97</v>
      </c>
      <c r="G468" s="12">
        <f t="shared" si="84"/>
        <v>134.97</v>
      </c>
    </row>
    <row r="469" spans="1:7" x14ac:dyDescent="0.25">
      <c r="A469" s="12">
        <v>10</v>
      </c>
      <c r="B469" s="12" t="s">
        <v>150</v>
      </c>
      <c r="C469" s="11" t="s">
        <v>25</v>
      </c>
      <c r="D469" s="12" t="s">
        <v>21</v>
      </c>
      <c r="E469" s="12">
        <v>2</v>
      </c>
      <c r="F469" s="12">
        <f>'Ед. Цени'!E31</f>
        <v>324.5</v>
      </c>
      <c r="G469" s="12">
        <f t="shared" si="84"/>
        <v>649</v>
      </c>
    </row>
    <row r="470" spans="1:7" ht="30" x14ac:dyDescent="0.25">
      <c r="A470" s="12">
        <v>11</v>
      </c>
      <c r="B470" s="12" t="s">
        <v>152</v>
      </c>
      <c r="C470" s="11" t="s">
        <v>27</v>
      </c>
      <c r="D470" s="12" t="s">
        <v>21</v>
      </c>
      <c r="E470" s="12">
        <v>3</v>
      </c>
      <c r="F470" s="12">
        <f>'Ед. Цени'!E33</f>
        <v>34.49</v>
      </c>
      <c r="G470" s="12">
        <f t="shared" si="84"/>
        <v>103.47</v>
      </c>
    </row>
    <row r="471" spans="1:7" ht="30" x14ac:dyDescent="0.25">
      <c r="A471" s="12">
        <v>12</v>
      </c>
      <c r="B471" s="12" t="s">
        <v>151</v>
      </c>
      <c r="C471" s="11" t="s">
        <v>26</v>
      </c>
      <c r="D471" s="12" t="s">
        <v>21</v>
      </c>
      <c r="E471" s="12">
        <v>1</v>
      </c>
      <c r="F471" s="12">
        <f>'Ед. Цени'!E32</f>
        <v>25.77</v>
      </c>
      <c r="G471" s="12">
        <f t="shared" si="84"/>
        <v>25.77</v>
      </c>
    </row>
    <row r="472" spans="1:7" x14ac:dyDescent="0.25">
      <c r="A472" s="12">
        <v>13</v>
      </c>
      <c r="B472" s="12" t="s">
        <v>153</v>
      </c>
      <c r="C472" s="11" t="s">
        <v>28</v>
      </c>
      <c r="D472" s="12" t="s">
        <v>21</v>
      </c>
      <c r="E472" s="12">
        <v>5</v>
      </c>
      <c r="F472" s="12">
        <f>'Ед. Цени'!E34</f>
        <v>20.92</v>
      </c>
      <c r="G472" s="12">
        <f t="shared" si="84"/>
        <v>104.6</v>
      </c>
    </row>
    <row r="473" spans="1:7" x14ac:dyDescent="0.25">
      <c r="A473" s="12">
        <v>14</v>
      </c>
      <c r="B473" s="12" t="s">
        <v>154</v>
      </c>
      <c r="C473" s="11" t="s">
        <v>29</v>
      </c>
      <c r="D473" s="12" t="s">
        <v>21</v>
      </c>
      <c r="E473" s="12">
        <v>1</v>
      </c>
      <c r="F473" s="12">
        <f>'Ед. Цени'!E35</f>
        <v>101.09</v>
      </c>
      <c r="G473" s="12">
        <f t="shared" si="84"/>
        <v>101.09</v>
      </c>
    </row>
    <row r="474" spans="1:7" x14ac:dyDescent="0.25">
      <c r="A474" s="16">
        <v>15</v>
      </c>
      <c r="B474" s="16"/>
      <c r="C474" s="17" t="s">
        <v>78</v>
      </c>
      <c r="D474" s="16" t="s">
        <v>21</v>
      </c>
      <c r="E474" s="16">
        <v>8</v>
      </c>
      <c r="F474" s="16"/>
      <c r="G474" s="16"/>
    </row>
    <row r="475" spans="1:7" ht="31.5" x14ac:dyDescent="0.25">
      <c r="A475" s="2" t="s">
        <v>91</v>
      </c>
      <c r="B475" s="2" t="s">
        <v>157</v>
      </c>
      <c r="C475" s="3" t="s">
        <v>85</v>
      </c>
      <c r="D475" s="2" t="s">
        <v>20</v>
      </c>
      <c r="E475" s="2">
        <f t="shared" ref="E475" si="85">E474*6</f>
        <v>48</v>
      </c>
      <c r="F475" s="2">
        <f>'Ед. Цени'!E38</f>
        <v>5.29</v>
      </c>
      <c r="G475" s="12">
        <f t="shared" si="84"/>
        <v>253.92</v>
      </c>
    </row>
    <row r="476" spans="1:7" ht="31.5" x14ac:dyDescent="0.25">
      <c r="A476" s="2" t="s">
        <v>91</v>
      </c>
      <c r="B476" s="2" t="s">
        <v>162</v>
      </c>
      <c r="C476" s="3" t="s">
        <v>90</v>
      </c>
      <c r="D476" s="2" t="s">
        <v>21</v>
      </c>
      <c r="E476" s="2">
        <f t="shared" ref="E476" si="86">E474*1</f>
        <v>8</v>
      </c>
      <c r="F476" s="2">
        <f>'Ед. Цени'!E43</f>
        <v>64.92</v>
      </c>
      <c r="G476" s="12">
        <f t="shared" si="84"/>
        <v>519.36</v>
      </c>
    </row>
    <row r="477" spans="1:7" ht="31.5" x14ac:dyDescent="0.25">
      <c r="A477" s="2" t="s">
        <v>91</v>
      </c>
      <c r="B477" s="2" t="s">
        <v>159</v>
      </c>
      <c r="C477" s="3" t="s">
        <v>87</v>
      </c>
      <c r="D477" s="2" t="s">
        <v>21</v>
      </c>
      <c r="E477" s="2">
        <f t="shared" ref="E477" si="87">E474*2</f>
        <v>16</v>
      </c>
      <c r="F477" s="2">
        <f>'Ед. Цени'!E40</f>
        <v>24.34</v>
      </c>
      <c r="G477" s="12">
        <f t="shared" si="84"/>
        <v>389.44</v>
      </c>
    </row>
    <row r="478" spans="1:7" ht="15.75" x14ac:dyDescent="0.25">
      <c r="A478" s="2" t="s">
        <v>91</v>
      </c>
      <c r="B478" s="2" t="s">
        <v>160</v>
      </c>
      <c r="C478" s="3" t="s">
        <v>88</v>
      </c>
      <c r="D478" s="2" t="s">
        <v>21</v>
      </c>
      <c r="E478" s="2">
        <f t="shared" ref="E478" si="88">E474*1</f>
        <v>8</v>
      </c>
      <c r="F478" s="2">
        <f>'Ед. Цени'!E41</f>
        <v>128.91999999999999</v>
      </c>
      <c r="G478" s="12">
        <f t="shared" si="84"/>
        <v>1031.3599999999999</v>
      </c>
    </row>
    <row r="479" spans="1:7" ht="31.5" x14ac:dyDescent="0.25">
      <c r="A479" s="2" t="s">
        <v>91</v>
      </c>
      <c r="B479" s="2" t="s">
        <v>161</v>
      </c>
      <c r="C479" s="3" t="s">
        <v>89</v>
      </c>
      <c r="D479" s="2" t="s">
        <v>21</v>
      </c>
      <c r="E479" s="2">
        <f t="shared" ref="E479" si="89">E474*1</f>
        <v>8</v>
      </c>
      <c r="F479" s="2">
        <f>'Ед. Цени'!E42</f>
        <v>25.8</v>
      </c>
      <c r="G479" s="12">
        <f t="shared" si="84"/>
        <v>206.4</v>
      </c>
    </row>
    <row r="480" spans="1:7" x14ac:dyDescent="0.25">
      <c r="A480" s="12">
        <v>16</v>
      </c>
      <c r="B480" s="12" t="s">
        <v>163</v>
      </c>
      <c r="C480" s="13" t="s">
        <v>30</v>
      </c>
      <c r="D480" s="12" t="s">
        <v>20</v>
      </c>
      <c r="E480" s="12">
        <v>388</v>
      </c>
      <c r="F480" s="12">
        <f>'Ед. Цени'!E44</f>
        <v>1.5</v>
      </c>
      <c r="G480" s="12">
        <f t="shared" si="84"/>
        <v>582</v>
      </c>
    </row>
    <row r="481" spans="1:12" x14ac:dyDescent="0.25">
      <c r="A481" s="12">
        <v>17</v>
      </c>
      <c r="B481" s="12" t="s">
        <v>164</v>
      </c>
      <c r="C481" s="13" t="s">
        <v>31</v>
      </c>
      <c r="D481" s="12" t="s">
        <v>20</v>
      </c>
      <c r="E481" s="12">
        <v>388</v>
      </c>
      <c r="F481" s="12">
        <f>'Ед. Цени'!E45</f>
        <v>0.9</v>
      </c>
      <c r="G481" s="12">
        <f t="shared" si="84"/>
        <v>349.2</v>
      </c>
    </row>
    <row r="482" spans="1:12" x14ac:dyDescent="0.25">
      <c r="A482" s="12">
        <v>18</v>
      </c>
      <c r="B482" s="12" t="s">
        <v>165</v>
      </c>
      <c r="C482" s="13" t="s">
        <v>32</v>
      </c>
      <c r="D482" s="12" t="s">
        <v>20</v>
      </c>
      <c r="E482" s="12">
        <v>388</v>
      </c>
      <c r="F482" s="12">
        <f>'Ед. Цени'!E46</f>
        <v>2.23</v>
      </c>
      <c r="G482" s="12">
        <f t="shared" si="84"/>
        <v>865.24</v>
      </c>
    </row>
    <row r="483" spans="1:12" x14ac:dyDescent="0.25">
      <c r="A483" s="12">
        <v>19</v>
      </c>
      <c r="B483" s="12" t="s">
        <v>166</v>
      </c>
      <c r="C483" s="13" t="s">
        <v>33</v>
      </c>
      <c r="D483" s="12" t="s">
        <v>20</v>
      </c>
      <c r="E483" s="12">
        <v>388</v>
      </c>
      <c r="F483" s="12">
        <f>'Ед. Цени'!E47</f>
        <v>1.75</v>
      </c>
      <c r="G483" s="12">
        <f t="shared" si="84"/>
        <v>679</v>
      </c>
    </row>
    <row r="484" spans="1:12" x14ac:dyDescent="0.25">
      <c r="A484" s="12">
        <v>20</v>
      </c>
      <c r="B484" s="12" t="s">
        <v>167</v>
      </c>
      <c r="C484" s="13" t="s">
        <v>79</v>
      </c>
      <c r="D484" s="12" t="s">
        <v>21</v>
      </c>
      <c r="E484" s="12">
        <v>6</v>
      </c>
      <c r="F484" s="12">
        <f>'Ед. Цени'!E48</f>
        <v>20.149999999999999</v>
      </c>
      <c r="G484" s="12">
        <f t="shared" si="84"/>
        <v>120.9</v>
      </c>
    </row>
    <row r="485" spans="1:12" x14ac:dyDescent="0.25">
      <c r="A485" s="12">
        <v>21</v>
      </c>
      <c r="B485" s="12" t="s">
        <v>168</v>
      </c>
      <c r="C485" s="13" t="s">
        <v>80</v>
      </c>
      <c r="D485" s="12" t="s">
        <v>21</v>
      </c>
      <c r="E485" s="12">
        <v>43</v>
      </c>
      <c r="F485" s="12">
        <f>'Ед. Цени'!E49</f>
        <v>24.99</v>
      </c>
      <c r="G485" s="12">
        <f>ROUND(E485*F485,2)</f>
        <v>1074.57</v>
      </c>
    </row>
    <row r="486" spans="1:12" ht="15.75" thickBot="1" x14ac:dyDescent="0.3">
      <c r="A486" s="27" t="s">
        <v>106</v>
      </c>
      <c r="B486" s="43"/>
      <c r="C486" s="84" t="s">
        <v>119</v>
      </c>
      <c r="D486" s="85"/>
      <c r="E486" s="85"/>
      <c r="F486" s="86"/>
      <c r="G486" s="26">
        <f>SUM(G451:G485)</f>
        <v>31239.930000000004</v>
      </c>
    </row>
    <row r="487" spans="1:12" s="20" customFormat="1" ht="16.5" thickBot="1" x14ac:dyDescent="0.3">
      <c r="A487" s="33" t="s">
        <v>120</v>
      </c>
      <c r="B487" s="44"/>
      <c r="C487" s="71" t="s">
        <v>128</v>
      </c>
      <c r="D487" s="72"/>
      <c r="E487" s="72"/>
      <c r="F487" s="72"/>
      <c r="G487" s="34">
        <f>ROUND(G448+G420+G391+G353+G314+G285+G259+G235+G190+G151+G112+G80+G57,2)</f>
        <v>287830.88</v>
      </c>
      <c r="I487" s="48">
        <v>315467.09000000003</v>
      </c>
      <c r="J487" s="49" t="s">
        <v>190</v>
      </c>
      <c r="L487" s="66">
        <f>I487-G487</f>
        <v>27636.210000000021</v>
      </c>
    </row>
    <row r="488" spans="1:12" s="20" customFormat="1" x14ac:dyDescent="0.25">
      <c r="A488" s="36" t="s">
        <v>126</v>
      </c>
      <c r="B488" s="45"/>
      <c r="C488" s="87" t="s">
        <v>125</v>
      </c>
      <c r="D488" s="88"/>
      <c r="E488" s="88"/>
      <c r="F488" s="88"/>
      <c r="G488" s="37">
        <f>ROUND(0.2*G487,2)</f>
        <v>57566.18</v>
      </c>
    </row>
    <row r="489" spans="1:12" x14ac:dyDescent="0.25">
      <c r="A489" s="38" t="s">
        <v>127</v>
      </c>
      <c r="B489" s="46"/>
      <c r="C489" s="89" t="s">
        <v>129</v>
      </c>
      <c r="D489" s="90"/>
      <c r="E489" s="90"/>
      <c r="F489" s="90"/>
      <c r="G489" s="47">
        <f>ROUND(G487+G488,2)</f>
        <v>345397.06</v>
      </c>
    </row>
    <row r="490" spans="1:12" s="20" customFormat="1" x14ac:dyDescent="0.25">
      <c r="I490" s="20">
        <f>I487/E493</f>
        <v>98.645118824265168</v>
      </c>
      <c r="K490" s="20">
        <f>I490*1.95583</f>
        <v>192.93308275006254</v>
      </c>
    </row>
    <row r="491" spans="1:12" s="20" customFormat="1" x14ac:dyDescent="0.25"/>
    <row r="493" spans="1:12" x14ac:dyDescent="0.25">
      <c r="E493" s="1">
        <v>3198</v>
      </c>
    </row>
    <row r="494" spans="1:12" x14ac:dyDescent="0.25">
      <c r="E494" s="1">
        <v>2600</v>
      </c>
    </row>
  </sheetData>
  <autoFilter ref="A9:G490"/>
  <mergeCells count="49">
    <mergeCell ref="C488:F488"/>
    <mergeCell ref="C489:F489"/>
    <mergeCell ref="A2:G2"/>
    <mergeCell ref="A5:G5"/>
    <mergeCell ref="A6:G6"/>
    <mergeCell ref="C314:F314"/>
    <mergeCell ref="C285:F285"/>
    <mergeCell ref="C259:F259"/>
    <mergeCell ref="C235:F235"/>
    <mergeCell ref="C190:F190"/>
    <mergeCell ref="A196:A197"/>
    <mergeCell ref="A8:G8"/>
    <mergeCell ref="A10:A11"/>
    <mergeCell ref="A58:G58"/>
    <mergeCell ref="A262:A263"/>
    <mergeCell ref="A286:G286"/>
    <mergeCell ref="A288:A289"/>
    <mergeCell ref="A238:A239"/>
    <mergeCell ref="A260:G260"/>
    <mergeCell ref="C486:F486"/>
    <mergeCell ref="C448:F448"/>
    <mergeCell ref="C420:F420"/>
    <mergeCell ref="C391:F391"/>
    <mergeCell ref="C353:F353"/>
    <mergeCell ref="A394:A395"/>
    <mergeCell ref="A83:A84"/>
    <mergeCell ref="C57:F57"/>
    <mergeCell ref="C151:F151"/>
    <mergeCell ref="C112:F112"/>
    <mergeCell ref="A81:G81"/>
    <mergeCell ref="A113:G113"/>
    <mergeCell ref="C80:F80"/>
    <mergeCell ref="A118:A119"/>
    <mergeCell ref="A3:G3"/>
    <mergeCell ref="C487:F487"/>
    <mergeCell ref="A421:G421"/>
    <mergeCell ref="A423:A424"/>
    <mergeCell ref="A449:G449"/>
    <mergeCell ref="A451:A452"/>
    <mergeCell ref="A315:G315"/>
    <mergeCell ref="A320:A321"/>
    <mergeCell ref="A354:G354"/>
    <mergeCell ref="A359:A360"/>
    <mergeCell ref="A392:G392"/>
    <mergeCell ref="A152:G152"/>
    <mergeCell ref="A157:A158"/>
    <mergeCell ref="A191:G191"/>
    <mergeCell ref="A60:A61"/>
    <mergeCell ref="A236:G236"/>
  </mergeCells>
  <pageMargins left="0.7" right="0.7" top="0.75" bottom="0.75" header="0.3" footer="0.3"/>
  <pageSetup paperSize="9" scale="58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72"/>
  <sheetViews>
    <sheetView tabSelected="1" workbookViewId="0">
      <selection activeCell="E18" sqref="E18"/>
    </sheetView>
  </sheetViews>
  <sheetFormatPr defaultRowHeight="15" x14ac:dyDescent="0.25"/>
  <cols>
    <col min="1" max="1" width="10.140625" style="1" bestFit="1" customWidth="1"/>
    <col min="2" max="2" width="17" style="1" customWidth="1"/>
    <col min="3" max="3" width="113.42578125" style="1" customWidth="1"/>
    <col min="4" max="4" width="10.7109375" style="1" bestFit="1" customWidth="1"/>
    <col min="5" max="5" width="10.7109375" style="1" customWidth="1"/>
    <col min="6" max="16384" width="9.140625" style="1"/>
  </cols>
  <sheetData>
    <row r="1" spans="1:7" customFormat="1" ht="15" customHeight="1" x14ac:dyDescent="0.25">
      <c r="A1" s="28"/>
      <c r="B1" s="28"/>
      <c r="C1" s="29"/>
      <c r="D1" s="28"/>
      <c r="E1" s="31"/>
      <c r="F1" s="21"/>
    </row>
    <row r="2" spans="1:7" customFormat="1" ht="15" customHeight="1" x14ac:dyDescent="0.25">
      <c r="A2" s="91" t="s">
        <v>122</v>
      </c>
      <c r="B2" s="91"/>
      <c r="C2" s="91"/>
      <c r="D2" s="91"/>
      <c r="E2" s="91"/>
      <c r="F2" s="21"/>
    </row>
    <row r="3" spans="1:7" customFormat="1" ht="54.75" customHeight="1" x14ac:dyDescent="0.25">
      <c r="A3" s="70" t="s">
        <v>121</v>
      </c>
      <c r="B3" s="70"/>
      <c r="C3" s="70"/>
      <c r="D3" s="70"/>
      <c r="E3" s="70"/>
      <c r="F3" s="22"/>
    </row>
    <row r="4" spans="1:7" customFormat="1" ht="13.5" customHeight="1" x14ac:dyDescent="0.25">
      <c r="A4" s="51"/>
      <c r="B4" s="51"/>
      <c r="C4" s="51"/>
      <c r="D4" s="51"/>
      <c r="E4" s="51"/>
      <c r="F4" s="22"/>
    </row>
    <row r="5" spans="1:7" customFormat="1" ht="15.75" x14ac:dyDescent="0.25">
      <c r="A5" s="93" t="s">
        <v>191</v>
      </c>
      <c r="B5" s="93"/>
      <c r="C5" s="93"/>
      <c r="D5" s="93"/>
      <c r="E5" s="93"/>
      <c r="F5" s="4"/>
    </row>
    <row r="6" spans="1:7" customFormat="1" x14ac:dyDescent="0.25">
      <c r="A6" s="1"/>
      <c r="B6" s="1"/>
      <c r="C6" s="1"/>
      <c r="D6" s="1"/>
      <c r="E6" s="1"/>
      <c r="F6" s="23"/>
    </row>
    <row r="7" spans="1:7" x14ac:dyDescent="0.25">
      <c r="A7" s="6" t="s">
        <v>0</v>
      </c>
      <c r="B7" s="6"/>
      <c r="C7" s="6" t="s">
        <v>1</v>
      </c>
      <c r="D7" s="6" t="s">
        <v>2</v>
      </c>
      <c r="E7" s="6" t="s">
        <v>92</v>
      </c>
    </row>
    <row r="8" spans="1:7" x14ac:dyDescent="0.25">
      <c r="A8" s="73" t="s">
        <v>4</v>
      </c>
      <c r="B8" s="73"/>
      <c r="C8" s="73"/>
      <c r="D8" s="73"/>
      <c r="E8" s="73"/>
    </row>
    <row r="9" spans="1:7" x14ac:dyDescent="0.25">
      <c r="A9" s="7" t="s">
        <v>5</v>
      </c>
      <c r="B9" s="7"/>
      <c r="C9" s="8" t="s">
        <v>6</v>
      </c>
      <c r="D9" s="9"/>
      <c r="E9" s="9"/>
    </row>
    <row r="10" spans="1:7" x14ac:dyDescent="0.25">
      <c r="A10" s="74">
        <v>1</v>
      </c>
      <c r="B10" s="94" t="s">
        <v>130</v>
      </c>
      <c r="C10" s="11" t="s">
        <v>7</v>
      </c>
      <c r="D10" s="12"/>
      <c r="E10" s="12"/>
    </row>
    <row r="11" spans="1:7" ht="18" x14ac:dyDescent="0.25">
      <c r="A11" s="74"/>
      <c r="B11" s="95"/>
      <c r="C11" s="13" t="s">
        <v>8</v>
      </c>
      <c r="D11" s="12" t="s">
        <v>9</v>
      </c>
      <c r="E11" s="12">
        <v>5.57</v>
      </c>
      <c r="F11" s="1">
        <f>E11-G11</f>
        <v>0</v>
      </c>
      <c r="G11" s="1">
        <v>5.57</v>
      </c>
    </row>
    <row r="12" spans="1:7" ht="18" x14ac:dyDescent="0.25">
      <c r="A12" s="50">
        <v>2</v>
      </c>
      <c r="B12" s="50" t="s">
        <v>131</v>
      </c>
      <c r="C12" s="11" t="s">
        <v>10</v>
      </c>
      <c r="D12" s="12" t="s">
        <v>9</v>
      </c>
      <c r="E12" s="12">
        <v>2.79</v>
      </c>
      <c r="F12" s="1">
        <f t="shared" ref="F12:F70" si="0">E12-G12</f>
        <v>0</v>
      </c>
      <c r="G12" s="1">
        <v>2.79</v>
      </c>
    </row>
    <row r="13" spans="1:7" ht="18" x14ac:dyDescent="0.25">
      <c r="A13" s="50">
        <v>3</v>
      </c>
      <c r="B13" s="50" t="s">
        <v>132</v>
      </c>
      <c r="C13" s="13" t="s">
        <v>11</v>
      </c>
      <c r="D13" s="12" t="s">
        <v>12</v>
      </c>
      <c r="E13" s="12">
        <v>1.38</v>
      </c>
      <c r="F13" s="1">
        <f t="shared" si="0"/>
        <v>0</v>
      </c>
      <c r="G13" s="1">
        <v>1.38</v>
      </c>
    </row>
    <row r="14" spans="1:7" ht="45" x14ac:dyDescent="0.25">
      <c r="A14" s="12">
        <v>4</v>
      </c>
      <c r="B14" s="50" t="s">
        <v>133</v>
      </c>
      <c r="C14" s="11" t="s">
        <v>13</v>
      </c>
      <c r="D14" s="12" t="s">
        <v>9</v>
      </c>
      <c r="E14" s="12">
        <v>36.6</v>
      </c>
      <c r="F14" s="1">
        <f t="shared" si="0"/>
        <v>0</v>
      </c>
      <c r="G14" s="1">
        <v>36.6</v>
      </c>
    </row>
    <row r="15" spans="1:7" ht="18" x14ac:dyDescent="0.25">
      <c r="A15" s="12">
        <v>5</v>
      </c>
      <c r="B15" s="50" t="s">
        <v>134</v>
      </c>
      <c r="C15" s="11" t="s">
        <v>14</v>
      </c>
      <c r="D15" s="12" t="s">
        <v>9</v>
      </c>
      <c r="E15" s="68">
        <v>8.8800000000000008</v>
      </c>
      <c r="F15" s="1">
        <f t="shared" si="0"/>
        <v>0</v>
      </c>
      <c r="G15" s="1">
        <v>8.8800000000000008</v>
      </c>
    </row>
    <row r="16" spans="1:7" x14ac:dyDescent="0.25">
      <c r="A16" s="12">
        <v>6</v>
      </c>
      <c r="B16" s="50" t="s">
        <v>135</v>
      </c>
      <c r="C16" s="13" t="s">
        <v>15</v>
      </c>
      <c r="D16" s="12" t="s">
        <v>16</v>
      </c>
      <c r="E16" s="12">
        <v>17.329999999999998</v>
      </c>
      <c r="F16" s="1">
        <f t="shared" si="0"/>
        <v>0</v>
      </c>
      <c r="G16" s="1">
        <v>17.329999999999998</v>
      </c>
    </row>
    <row r="17" spans="1:7" ht="30" x14ac:dyDescent="0.25">
      <c r="A17" s="12">
        <v>7</v>
      </c>
      <c r="B17" s="50" t="s">
        <v>136</v>
      </c>
      <c r="C17" s="11" t="s">
        <v>17</v>
      </c>
      <c r="D17" s="50" t="s">
        <v>9</v>
      </c>
      <c r="E17" s="68">
        <v>33.08</v>
      </c>
      <c r="F17" s="1">
        <f t="shared" si="0"/>
        <v>0</v>
      </c>
      <c r="G17" s="1">
        <v>33.08</v>
      </c>
    </row>
    <row r="18" spans="1:7" x14ac:dyDescent="0.25">
      <c r="A18" s="12">
        <v>1</v>
      </c>
      <c r="B18" s="12" t="s">
        <v>137</v>
      </c>
      <c r="C18" s="13" t="s">
        <v>65</v>
      </c>
      <c r="D18" s="12" t="s">
        <v>20</v>
      </c>
      <c r="E18" s="67">
        <v>18.440000000000001</v>
      </c>
      <c r="F18" s="1">
        <f t="shared" si="0"/>
        <v>-7.6099999999999994</v>
      </c>
      <c r="G18" s="1">
        <v>26.05</v>
      </c>
    </row>
    <row r="19" spans="1:7" x14ac:dyDescent="0.25">
      <c r="A19" s="12">
        <v>2</v>
      </c>
      <c r="B19" s="12" t="s">
        <v>138</v>
      </c>
      <c r="C19" s="13" t="s">
        <v>66</v>
      </c>
      <c r="D19" s="12" t="s">
        <v>20</v>
      </c>
      <c r="E19" s="12">
        <v>7.05</v>
      </c>
      <c r="F19" s="1">
        <f t="shared" si="0"/>
        <v>0</v>
      </c>
      <c r="G19" s="1">
        <v>7.05</v>
      </c>
    </row>
    <row r="20" spans="1:7" x14ac:dyDescent="0.25">
      <c r="A20" s="12">
        <v>3</v>
      </c>
      <c r="B20" s="12" t="s">
        <v>139</v>
      </c>
      <c r="C20" s="11" t="s">
        <v>67</v>
      </c>
      <c r="D20" s="12" t="s">
        <v>21</v>
      </c>
      <c r="E20" s="12">
        <v>36.21</v>
      </c>
      <c r="F20" s="1">
        <f t="shared" si="0"/>
        <v>0</v>
      </c>
      <c r="G20" s="1">
        <v>36.21</v>
      </c>
    </row>
    <row r="21" spans="1:7" x14ac:dyDescent="0.25">
      <c r="A21" s="12">
        <v>4</v>
      </c>
      <c r="B21" s="12" t="s">
        <v>140</v>
      </c>
      <c r="C21" s="11" t="s">
        <v>68</v>
      </c>
      <c r="D21" s="12" t="s">
        <v>21</v>
      </c>
      <c r="E21" s="12">
        <v>26.26</v>
      </c>
      <c r="F21" s="1">
        <f t="shared" si="0"/>
        <v>0</v>
      </c>
      <c r="G21" s="1">
        <v>26.26</v>
      </c>
    </row>
    <row r="22" spans="1:7" x14ac:dyDescent="0.25">
      <c r="A22" s="12">
        <v>5</v>
      </c>
      <c r="B22" s="12" t="s">
        <v>141</v>
      </c>
      <c r="C22" s="14" t="s">
        <v>69</v>
      </c>
      <c r="D22" s="15" t="s">
        <v>21</v>
      </c>
      <c r="E22" s="12">
        <v>48.31</v>
      </c>
      <c r="F22" s="1">
        <f t="shared" si="0"/>
        <v>0</v>
      </c>
      <c r="G22" s="1">
        <v>48.31</v>
      </c>
    </row>
    <row r="23" spans="1:7" x14ac:dyDescent="0.25">
      <c r="A23" s="12">
        <v>6</v>
      </c>
      <c r="B23" s="12" t="s">
        <v>142</v>
      </c>
      <c r="C23" s="11" t="s">
        <v>70</v>
      </c>
      <c r="D23" s="12" t="s">
        <v>21</v>
      </c>
      <c r="E23" s="12">
        <v>50.73</v>
      </c>
      <c r="F23" s="1">
        <f t="shared" si="0"/>
        <v>0</v>
      </c>
      <c r="G23" s="1">
        <v>50.73</v>
      </c>
    </row>
    <row r="24" spans="1:7" x14ac:dyDescent="0.25">
      <c r="A24" s="12">
        <v>7</v>
      </c>
      <c r="B24" s="12" t="s">
        <v>143</v>
      </c>
      <c r="C24" s="11" t="s">
        <v>71</v>
      </c>
      <c r="D24" s="12" t="s">
        <v>21</v>
      </c>
      <c r="E24" s="12">
        <v>26.86</v>
      </c>
      <c r="F24" s="1">
        <f t="shared" si="0"/>
        <v>0</v>
      </c>
      <c r="G24" s="1">
        <v>26.86</v>
      </c>
    </row>
    <row r="25" spans="1:7" x14ac:dyDescent="0.25">
      <c r="A25" s="12">
        <v>8</v>
      </c>
      <c r="B25" s="12" t="s">
        <v>144</v>
      </c>
      <c r="C25" s="11" t="s">
        <v>72</v>
      </c>
      <c r="D25" s="12" t="s">
        <v>21</v>
      </c>
      <c r="E25" s="12">
        <v>32.58</v>
      </c>
      <c r="F25" s="1">
        <f t="shared" si="0"/>
        <v>0</v>
      </c>
      <c r="G25" s="1">
        <v>32.58</v>
      </c>
    </row>
    <row r="26" spans="1:7" x14ac:dyDescent="0.25">
      <c r="A26" s="12">
        <v>9</v>
      </c>
      <c r="B26" s="12" t="s">
        <v>145</v>
      </c>
      <c r="C26" s="11" t="s">
        <v>73</v>
      </c>
      <c r="D26" s="12" t="s">
        <v>21</v>
      </c>
      <c r="E26" s="12">
        <v>27.47</v>
      </c>
      <c r="F26" s="1">
        <f t="shared" si="0"/>
        <v>0</v>
      </c>
      <c r="G26" s="1">
        <v>27.47</v>
      </c>
    </row>
    <row r="27" spans="1:7" x14ac:dyDescent="0.25">
      <c r="A27" s="12">
        <v>10</v>
      </c>
      <c r="B27" s="12" t="s">
        <v>146</v>
      </c>
      <c r="C27" s="11" t="s">
        <v>74</v>
      </c>
      <c r="D27" s="12" t="s">
        <v>21</v>
      </c>
      <c r="E27" s="12">
        <v>23.84</v>
      </c>
      <c r="F27" s="1">
        <f t="shared" si="0"/>
        <v>0</v>
      </c>
      <c r="G27" s="1">
        <v>23.84</v>
      </c>
    </row>
    <row r="28" spans="1:7" x14ac:dyDescent="0.25">
      <c r="A28" s="12">
        <v>11</v>
      </c>
      <c r="B28" s="12" t="s">
        <v>147</v>
      </c>
      <c r="C28" s="11" t="s">
        <v>22</v>
      </c>
      <c r="D28" s="12" t="s">
        <v>21</v>
      </c>
      <c r="E28" s="12">
        <v>138.6</v>
      </c>
      <c r="F28" s="1">
        <f t="shared" si="0"/>
        <v>0</v>
      </c>
      <c r="G28" s="1">
        <v>138.6</v>
      </c>
    </row>
    <row r="29" spans="1:7" x14ac:dyDescent="0.25">
      <c r="A29" s="12">
        <v>12</v>
      </c>
      <c r="B29" s="12" t="s">
        <v>148</v>
      </c>
      <c r="C29" s="11" t="s">
        <v>23</v>
      </c>
      <c r="D29" s="12" t="s">
        <v>21</v>
      </c>
      <c r="E29" s="12">
        <v>150.69999999999999</v>
      </c>
      <c r="F29" s="1">
        <f t="shared" si="0"/>
        <v>0</v>
      </c>
      <c r="G29" s="1">
        <v>150.69999999999999</v>
      </c>
    </row>
    <row r="30" spans="1:7" x14ac:dyDescent="0.25">
      <c r="A30" s="12">
        <v>13</v>
      </c>
      <c r="B30" s="12" t="s">
        <v>149</v>
      </c>
      <c r="C30" s="11" t="s">
        <v>24</v>
      </c>
      <c r="D30" s="12" t="s">
        <v>21</v>
      </c>
      <c r="E30" s="12">
        <v>239.8</v>
      </c>
      <c r="F30" s="1">
        <f t="shared" si="0"/>
        <v>0</v>
      </c>
      <c r="G30" s="1">
        <v>239.8</v>
      </c>
    </row>
    <row r="31" spans="1:7" x14ac:dyDescent="0.25">
      <c r="A31" s="12">
        <v>14</v>
      </c>
      <c r="B31" s="12" t="s">
        <v>150</v>
      </c>
      <c r="C31" s="11" t="s">
        <v>25</v>
      </c>
      <c r="D31" s="12" t="s">
        <v>21</v>
      </c>
      <c r="E31" s="12">
        <v>324.5</v>
      </c>
      <c r="F31" s="1">
        <f t="shared" si="0"/>
        <v>0</v>
      </c>
      <c r="G31" s="1">
        <v>324.5</v>
      </c>
    </row>
    <row r="32" spans="1:7" x14ac:dyDescent="0.25">
      <c r="A32" s="12">
        <v>15</v>
      </c>
      <c r="B32" s="12" t="s">
        <v>151</v>
      </c>
      <c r="C32" s="11" t="s">
        <v>26</v>
      </c>
      <c r="D32" s="12" t="s">
        <v>21</v>
      </c>
      <c r="E32" s="12">
        <v>25.77</v>
      </c>
      <c r="F32" s="1">
        <f t="shared" si="0"/>
        <v>0</v>
      </c>
      <c r="G32" s="1">
        <v>25.77</v>
      </c>
    </row>
    <row r="33" spans="1:7" x14ac:dyDescent="0.25">
      <c r="A33" s="12">
        <v>16</v>
      </c>
      <c r="B33" s="12" t="s">
        <v>152</v>
      </c>
      <c r="C33" s="11" t="s">
        <v>27</v>
      </c>
      <c r="D33" s="12" t="s">
        <v>21</v>
      </c>
      <c r="E33" s="12">
        <v>34.49</v>
      </c>
      <c r="F33" s="1">
        <f t="shared" si="0"/>
        <v>0</v>
      </c>
      <c r="G33" s="1">
        <v>34.49</v>
      </c>
    </row>
    <row r="34" spans="1:7" x14ac:dyDescent="0.25">
      <c r="A34" s="12">
        <v>17</v>
      </c>
      <c r="B34" s="12" t="s">
        <v>153</v>
      </c>
      <c r="C34" s="11" t="s">
        <v>28</v>
      </c>
      <c r="D34" s="12" t="s">
        <v>21</v>
      </c>
      <c r="E34" s="12">
        <v>20.92</v>
      </c>
      <c r="F34" s="1">
        <f t="shared" si="0"/>
        <v>0</v>
      </c>
      <c r="G34" s="1">
        <v>20.92</v>
      </c>
    </row>
    <row r="35" spans="1:7" x14ac:dyDescent="0.25">
      <c r="A35" s="12">
        <v>18</v>
      </c>
      <c r="B35" s="12" t="s">
        <v>154</v>
      </c>
      <c r="C35" s="11" t="s">
        <v>29</v>
      </c>
      <c r="D35" s="12" t="s">
        <v>21</v>
      </c>
      <c r="E35" s="12">
        <v>101.09</v>
      </c>
      <c r="F35" s="1">
        <f t="shared" si="0"/>
        <v>0</v>
      </c>
      <c r="G35" s="1">
        <v>101.09</v>
      </c>
    </row>
    <row r="36" spans="1:7" x14ac:dyDescent="0.25">
      <c r="A36" s="12">
        <v>19</v>
      </c>
      <c r="B36" s="12" t="s">
        <v>155</v>
      </c>
      <c r="C36" s="11" t="s">
        <v>75</v>
      </c>
      <c r="D36" s="12" t="s">
        <v>21</v>
      </c>
      <c r="E36" s="12">
        <v>134.97</v>
      </c>
      <c r="F36" s="1">
        <f t="shared" si="0"/>
        <v>0</v>
      </c>
      <c r="G36" s="1">
        <v>134.97</v>
      </c>
    </row>
    <row r="37" spans="1:7" x14ac:dyDescent="0.25">
      <c r="A37" s="12">
        <v>20</v>
      </c>
      <c r="B37" s="12" t="s">
        <v>156</v>
      </c>
      <c r="C37" s="11" t="s">
        <v>76</v>
      </c>
      <c r="D37" s="12" t="s">
        <v>21</v>
      </c>
      <c r="E37" s="12">
        <v>32.450000000000003</v>
      </c>
      <c r="F37" s="1">
        <f t="shared" si="0"/>
        <v>0</v>
      </c>
      <c r="G37" s="1">
        <v>32.450000000000003</v>
      </c>
    </row>
    <row r="38" spans="1:7" ht="15.75" x14ac:dyDescent="0.25">
      <c r="A38" s="2" t="s">
        <v>91</v>
      </c>
      <c r="B38" s="2" t="s">
        <v>157</v>
      </c>
      <c r="C38" s="3" t="s">
        <v>85</v>
      </c>
      <c r="D38" s="2" t="s">
        <v>20</v>
      </c>
      <c r="E38" s="12">
        <v>5.29</v>
      </c>
      <c r="F38" s="1">
        <f t="shared" si="0"/>
        <v>0</v>
      </c>
      <c r="G38" s="1">
        <v>5.29</v>
      </c>
    </row>
    <row r="39" spans="1:7" ht="15.75" x14ac:dyDescent="0.25">
      <c r="A39" s="2" t="s">
        <v>91</v>
      </c>
      <c r="B39" s="2" t="s">
        <v>158</v>
      </c>
      <c r="C39" s="3" t="s">
        <v>86</v>
      </c>
      <c r="D39" s="2" t="s">
        <v>21</v>
      </c>
      <c r="E39" s="12">
        <v>43.11</v>
      </c>
      <c r="F39" s="1">
        <f t="shared" si="0"/>
        <v>0</v>
      </c>
      <c r="G39" s="1">
        <v>43.11</v>
      </c>
    </row>
    <row r="40" spans="1:7" ht="15.75" x14ac:dyDescent="0.25">
      <c r="A40" s="2" t="s">
        <v>91</v>
      </c>
      <c r="B40" s="2" t="s">
        <v>159</v>
      </c>
      <c r="C40" s="3" t="s">
        <v>87</v>
      </c>
      <c r="D40" s="2" t="s">
        <v>21</v>
      </c>
      <c r="E40" s="12">
        <v>24.34</v>
      </c>
      <c r="F40" s="1">
        <f t="shared" si="0"/>
        <v>0</v>
      </c>
      <c r="G40" s="1">
        <v>24.34</v>
      </c>
    </row>
    <row r="41" spans="1:7" ht="15.75" x14ac:dyDescent="0.25">
      <c r="A41" s="2" t="s">
        <v>91</v>
      </c>
      <c r="B41" s="2" t="s">
        <v>160</v>
      </c>
      <c r="C41" s="3" t="s">
        <v>88</v>
      </c>
      <c r="D41" s="2" t="s">
        <v>21</v>
      </c>
      <c r="E41" s="12">
        <v>128.91999999999999</v>
      </c>
      <c r="F41" s="1">
        <f t="shared" si="0"/>
        <v>0</v>
      </c>
      <c r="G41" s="1">
        <v>128.91999999999999</v>
      </c>
    </row>
    <row r="42" spans="1:7" ht="15.75" x14ac:dyDescent="0.25">
      <c r="A42" s="2" t="s">
        <v>91</v>
      </c>
      <c r="B42" s="2" t="s">
        <v>161</v>
      </c>
      <c r="C42" s="3" t="s">
        <v>89</v>
      </c>
      <c r="D42" s="2" t="s">
        <v>21</v>
      </c>
      <c r="E42" s="12">
        <v>25.8</v>
      </c>
      <c r="F42" s="1">
        <f t="shared" si="0"/>
        <v>0</v>
      </c>
      <c r="G42" s="1">
        <v>25.8</v>
      </c>
    </row>
    <row r="43" spans="1:7" ht="15.75" x14ac:dyDescent="0.25">
      <c r="A43" s="2" t="s">
        <v>91</v>
      </c>
      <c r="B43" s="2" t="s">
        <v>162</v>
      </c>
      <c r="C43" s="3" t="s">
        <v>90</v>
      </c>
      <c r="D43" s="2" t="s">
        <v>21</v>
      </c>
      <c r="E43" s="12">
        <v>64.92</v>
      </c>
      <c r="F43" s="1">
        <f t="shared" si="0"/>
        <v>0</v>
      </c>
      <c r="G43" s="1">
        <v>64.92</v>
      </c>
    </row>
    <row r="44" spans="1:7" x14ac:dyDescent="0.25">
      <c r="A44" s="12">
        <v>23</v>
      </c>
      <c r="B44" s="12" t="s">
        <v>163</v>
      </c>
      <c r="C44" s="13" t="s">
        <v>30</v>
      </c>
      <c r="D44" s="12" t="s">
        <v>20</v>
      </c>
      <c r="E44" s="12">
        <v>1.5</v>
      </c>
      <c r="F44" s="1">
        <f t="shared" si="0"/>
        <v>0</v>
      </c>
      <c r="G44" s="1">
        <v>1.5</v>
      </c>
    </row>
    <row r="45" spans="1:7" x14ac:dyDescent="0.25">
      <c r="A45" s="12">
        <v>24</v>
      </c>
      <c r="B45" s="12" t="s">
        <v>164</v>
      </c>
      <c r="C45" s="13" t="s">
        <v>31</v>
      </c>
      <c r="D45" s="12" t="s">
        <v>20</v>
      </c>
      <c r="E45" s="12">
        <v>0.9</v>
      </c>
      <c r="F45" s="1">
        <f t="shared" si="0"/>
        <v>0</v>
      </c>
      <c r="G45" s="1">
        <v>0.9</v>
      </c>
    </row>
    <row r="46" spans="1:7" x14ac:dyDescent="0.25">
      <c r="A46" s="12">
        <v>25</v>
      </c>
      <c r="B46" s="12" t="s">
        <v>165</v>
      </c>
      <c r="C46" s="13" t="s">
        <v>32</v>
      </c>
      <c r="D46" s="12" t="s">
        <v>20</v>
      </c>
      <c r="E46" s="12">
        <v>2.23</v>
      </c>
      <c r="F46" s="1">
        <f t="shared" si="0"/>
        <v>0</v>
      </c>
      <c r="G46" s="1">
        <v>2.23</v>
      </c>
    </row>
    <row r="47" spans="1:7" x14ac:dyDescent="0.25">
      <c r="A47" s="12">
        <v>26</v>
      </c>
      <c r="B47" s="12" t="s">
        <v>166</v>
      </c>
      <c r="C47" s="13" t="s">
        <v>33</v>
      </c>
      <c r="D47" s="12" t="s">
        <v>20</v>
      </c>
      <c r="E47" s="12">
        <v>1.75</v>
      </c>
      <c r="F47" s="1">
        <f t="shared" si="0"/>
        <v>0</v>
      </c>
      <c r="G47" s="1">
        <v>1.75</v>
      </c>
    </row>
    <row r="48" spans="1:7" x14ac:dyDescent="0.25">
      <c r="A48" s="12">
        <v>27</v>
      </c>
      <c r="B48" s="12" t="s">
        <v>167</v>
      </c>
      <c r="C48" s="13" t="s">
        <v>79</v>
      </c>
      <c r="D48" s="12" t="s">
        <v>21</v>
      </c>
      <c r="E48" s="12">
        <v>20.149999999999999</v>
      </c>
      <c r="F48" s="1">
        <f t="shared" si="0"/>
        <v>0</v>
      </c>
      <c r="G48" s="1">
        <v>20.149999999999999</v>
      </c>
    </row>
    <row r="49" spans="1:7" x14ac:dyDescent="0.25">
      <c r="A49" s="12">
        <v>28</v>
      </c>
      <c r="B49" s="12" t="s">
        <v>168</v>
      </c>
      <c r="C49" s="13" t="s">
        <v>80</v>
      </c>
      <c r="D49" s="12" t="s">
        <v>21</v>
      </c>
      <c r="E49" s="12">
        <v>24.99</v>
      </c>
      <c r="F49" s="1">
        <f t="shared" si="0"/>
        <v>0</v>
      </c>
      <c r="G49" s="1">
        <v>24.99</v>
      </c>
    </row>
    <row r="50" spans="1:7" ht="45" x14ac:dyDescent="0.25">
      <c r="A50" s="50">
        <v>4</v>
      </c>
      <c r="B50" s="50" t="s">
        <v>169</v>
      </c>
      <c r="C50" s="11" t="s">
        <v>35</v>
      </c>
      <c r="D50" s="12" t="s">
        <v>9</v>
      </c>
      <c r="E50" s="12">
        <v>36.6</v>
      </c>
      <c r="F50" s="1">
        <f t="shared" si="0"/>
        <v>0</v>
      </c>
      <c r="G50" s="1">
        <v>36.6</v>
      </c>
    </row>
    <row r="51" spans="1:7" ht="45" x14ac:dyDescent="0.25">
      <c r="A51" s="50">
        <v>4</v>
      </c>
      <c r="B51" s="50" t="s">
        <v>170</v>
      </c>
      <c r="C51" s="11" t="s">
        <v>37</v>
      </c>
      <c r="D51" s="12" t="s">
        <v>9</v>
      </c>
      <c r="E51" s="12">
        <v>36.6</v>
      </c>
      <c r="F51" s="1">
        <f t="shared" si="0"/>
        <v>0</v>
      </c>
      <c r="G51" s="1">
        <v>36.6</v>
      </c>
    </row>
    <row r="52" spans="1:7" x14ac:dyDescent="0.25">
      <c r="A52" s="12">
        <v>1</v>
      </c>
      <c r="B52" s="12" t="s">
        <v>171</v>
      </c>
      <c r="C52" s="11" t="s">
        <v>39</v>
      </c>
      <c r="D52" s="12" t="s">
        <v>20</v>
      </c>
      <c r="E52" s="12">
        <v>1.74</v>
      </c>
      <c r="F52" s="1">
        <f t="shared" si="0"/>
        <v>0</v>
      </c>
      <c r="G52" s="1">
        <v>1.74</v>
      </c>
    </row>
    <row r="53" spans="1:7" ht="18" x14ac:dyDescent="0.25">
      <c r="A53" s="12">
        <v>2</v>
      </c>
      <c r="B53" s="12" t="s">
        <v>172</v>
      </c>
      <c r="C53" s="11" t="s">
        <v>40</v>
      </c>
      <c r="D53" s="12" t="s">
        <v>12</v>
      </c>
      <c r="E53" s="12">
        <v>3.43</v>
      </c>
      <c r="F53" s="1">
        <f t="shared" si="0"/>
        <v>0</v>
      </c>
      <c r="G53" s="1">
        <v>3.43</v>
      </c>
    </row>
    <row r="54" spans="1:7" ht="18" x14ac:dyDescent="0.25">
      <c r="A54" s="12">
        <v>3</v>
      </c>
      <c r="B54" s="12" t="s">
        <v>173</v>
      </c>
      <c r="C54" s="11" t="s">
        <v>41</v>
      </c>
      <c r="D54" s="12" t="s">
        <v>9</v>
      </c>
      <c r="E54" s="12">
        <v>4.08</v>
      </c>
      <c r="F54" s="1">
        <f t="shared" si="0"/>
        <v>0</v>
      </c>
      <c r="G54" s="1">
        <v>4.08</v>
      </c>
    </row>
    <row r="55" spans="1:7" ht="45" x14ac:dyDescent="0.25">
      <c r="A55" s="50">
        <v>7</v>
      </c>
      <c r="B55" s="50" t="s">
        <v>174</v>
      </c>
      <c r="C55" s="11" t="s">
        <v>42</v>
      </c>
      <c r="D55" s="12" t="s">
        <v>9</v>
      </c>
      <c r="E55" s="12">
        <v>36.6</v>
      </c>
      <c r="F55" s="1">
        <f t="shared" si="0"/>
        <v>0</v>
      </c>
      <c r="G55" s="1">
        <v>36.6</v>
      </c>
    </row>
    <row r="56" spans="1:7" ht="30" x14ac:dyDescent="0.25">
      <c r="A56" s="50">
        <v>8</v>
      </c>
      <c r="B56" s="50" t="s">
        <v>175</v>
      </c>
      <c r="C56" s="11" t="s">
        <v>43</v>
      </c>
      <c r="D56" s="12" t="s">
        <v>9</v>
      </c>
      <c r="E56" s="12">
        <v>36.6</v>
      </c>
      <c r="F56" s="1">
        <f t="shared" si="0"/>
        <v>0</v>
      </c>
      <c r="G56" s="1">
        <v>36.6</v>
      </c>
    </row>
    <row r="57" spans="1:7" ht="30" x14ac:dyDescent="0.25">
      <c r="A57" s="50">
        <v>9</v>
      </c>
      <c r="B57" s="50" t="s">
        <v>176</v>
      </c>
      <c r="C57" s="11" t="s">
        <v>44</v>
      </c>
      <c r="D57" s="12" t="s">
        <v>9</v>
      </c>
      <c r="E57" s="96">
        <v>32.11</v>
      </c>
      <c r="F57" s="1">
        <f t="shared" si="0"/>
        <v>0</v>
      </c>
      <c r="G57" s="1">
        <v>32.11</v>
      </c>
    </row>
    <row r="58" spans="1:7" x14ac:dyDescent="0.25">
      <c r="A58" s="50">
        <v>12</v>
      </c>
      <c r="B58" s="50" t="s">
        <v>177</v>
      </c>
      <c r="C58" s="14" t="s">
        <v>45</v>
      </c>
      <c r="D58" s="12" t="s">
        <v>46</v>
      </c>
      <c r="E58" s="69">
        <v>134.12</v>
      </c>
      <c r="F58" s="1">
        <f t="shared" si="0"/>
        <v>0</v>
      </c>
      <c r="G58" s="1">
        <v>134.12</v>
      </c>
    </row>
    <row r="59" spans="1:7" ht="30" x14ac:dyDescent="0.25">
      <c r="A59" s="50">
        <v>13</v>
      </c>
      <c r="B59" s="50" t="s">
        <v>178</v>
      </c>
      <c r="C59" s="11" t="s">
        <v>47</v>
      </c>
      <c r="D59" s="50" t="s">
        <v>9</v>
      </c>
      <c r="E59" s="12">
        <v>33.08</v>
      </c>
      <c r="F59" s="1">
        <f t="shared" si="0"/>
        <v>0</v>
      </c>
      <c r="G59" s="1">
        <v>33.08</v>
      </c>
    </row>
    <row r="60" spans="1:7" x14ac:dyDescent="0.25">
      <c r="A60" s="50">
        <v>14</v>
      </c>
      <c r="B60" s="50" t="s">
        <v>179</v>
      </c>
      <c r="C60" s="14" t="s">
        <v>48</v>
      </c>
      <c r="D60" s="50" t="s">
        <v>20</v>
      </c>
      <c r="E60" s="12">
        <v>9.17</v>
      </c>
      <c r="F60" s="1">
        <f t="shared" si="0"/>
        <v>0</v>
      </c>
      <c r="G60" s="1">
        <v>9.17</v>
      </c>
    </row>
    <row r="61" spans="1:7" x14ac:dyDescent="0.25">
      <c r="A61" s="50">
        <v>15</v>
      </c>
      <c r="B61" s="50" t="s">
        <v>180</v>
      </c>
      <c r="C61" s="11" t="s">
        <v>49</v>
      </c>
      <c r="D61" s="12" t="s">
        <v>21</v>
      </c>
      <c r="E61" s="12">
        <v>38.119999999999997</v>
      </c>
      <c r="F61" s="1">
        <f t="shared" si="0"/>
        <v>0</v>
      </c>
      <c r="G61" s="1">
        <v>38.119999999999997</v>
      </c>
    </row>
    <row r="62" spans="1:7" x14ac:dyDescent="0.25">
      <c r="A62" s="12">
        <v>4</v>
      </c>
      <c r="B62" s="12" t="s">
        <v>181</v>
      </c>
      <c r="C62" s="14" t="s">
        <v>81</v>
      </c>
      <c r="D62" s="15" t="s">
        <v>21</v>
      </c>
      <c r="E62" s="12">
        <v>29.8</v>
      </c>
      <c r="F62" s="1">
        <f t="shared" si="0"/>
        <v>0</v>
      </c>
      <c r="G62" s="1">
        <v>29.8</v>
      </c>
    </row>
    <row r="63" spans="1:7" ht="30" x14ac:dyDescent="0.25">
      <c r="A63" s="12">
        <v>13</v>
      </c>
      <c r="B63" s="12" t="s">
        <v>182</v>
      </c>
      <c r="C63" s="11" t="s">
        <v>52</v>
      </c>
      <c r="D63" s="50" t="s">
        <v>9</v>
      </c>
      <c r="E63" s="12">
        <v>33.08</v>
      </c>
      <c r="F63" s="1">
        <f t="shared" si="0"/>
        <v>0</v>
      </c>
      <c r="G63" s="1">
        <v>33.08</v>
      </c>
    </row>
    <row r="64" spans="1:7" x14ac:dyDescent="0.25">
      <c r="A64" s="12">
        <v>2</v>
      </c>
      <c r="B64" s="12" t="s">
        <v>183</v>
      </c>
      <c r="C64" s="14" t="s">
        <v>82</v>
      </c>
      <c r="D64" s="15" t="s">
        <v>21</v>
      </c>
      <c r="E64" s="12">
        <v>23.84</v>
      </c>
      <c r="F64" s="1">
        <f t="shared" si="0"/>
        <v>0</v>
      </c>
      <c r="G64" s="1">
        <v>23.84</v>
      </c>
    </row>
    <row r="65" spans="1:7" x14ac:dyDescent="0.25">
      <c r="A65" s="12">
        <v>3</v>
      </c>
      <c r="B65" s="12" t="s">
        <v>184</v>
      </c>
      <c r="C65" s="11" t="s">
        <v>83</v>
      </c>
      <c r="D65" s="12" t="s">
        <v>21</v>
      </c>
      <c r="E65" s="12">
        <v>25.05</v>
      </c>
      <c r="F65" s="1">
        <f t="shared" si="0"/>
        <v>0</v>
      </c>
      <c r="G65" s="1">
        <v>25.05</v>
      </c>
    </row>
    <row r="66" spans="1:7" ht="18" x14ac:dyDescent="0.25">
      <c r="A66" s="12">
        <v>2</v>
      </c>
      <c r="B66" s="12" t="s">
        <v>185</v>
      </c>
      <c r="C66" s="11" t="s">
        <v>57</v>
      </c>
      <c r="D66" s="12" t="s">
        <v>12</v>
      </c>
      <c r="E66" s="12">
        <v>3.43</v>
      </c>
      <c r="F66" s="1">
        <f t="shared" si="0"/>
        <v>0</v>
      </c>
      <c r="G66" s="1">
        <v>3.43</v>
      </c>
    </row>
    <row r="67" spans="1:7" ht="30" x14ac:dyDescent="0.25">
      <c r="A67" s="50">
        <v>7</v>
      </c>
      <c r="B67" s="50" t="s">
        <v>186</v>
      </c>
      <c r="C67" s="11" t="s">
        <v>58</v>
      </c>
      <c r="D67" s="12" t="s">
        <v>9</v>
      </c>
      <c r="E67" s="12">
        <v>36.6</v>
      </c>
      <c r="F67" s="1">
        <f t="shared" si="0"/>
        <v>0</v>
      </c>
      <c r="G67" s="1">
        <v>36.6</v>
      </c>
    </row>
    <row r="68" spans="1:7" ht="30" x14ac:dyDescent="0.25">
      <c r="A68" s="50">
        <v>8</v>
      </c>
      <c r="B68" s="50" t="s">
        <v>187</v>
      </c>
      <c r="C68" s="11" t="s">
        <v>59</v>
      </c>
      <c r="D68" s="12" t="s">
        <v>9</v>
      </c>
      <c r="E68" s="12">
        <v>36.6</v>
      </c>
      <c r="F68" s="1">
        <f t="shared" si="0"/>
        <v>0</v>
      </c>
      <c r="G68" s="1">
        <v>36.6</v>
      </c>
    </row>
    <row r="69" spans="1:7" ht="30" x14ac:dyDescent="0.25">
      <c r="A69" s="50">
        <v>9</v>
      </c>
      <c r="B69" s="50" t="s">
        <v>188</v>
      </c>
      <c r="C69" s="11" t="s">
        <v>60</v>
      </c>
      <c r="D69" s="12" t="s">
        <v>9</v>
      </c>
      <c r="E69" s="96">
        <v>32.11</v>
      </c>
      <c r="F69" s="1">
        <f t="shared" si="0"/>
        <v>0</v>
      </c>
      <c r="G69" s="1">
        <v>32.11</v>
      </c>
    </row>
    <row r="70" spans="1:7" x14ac:dyDescent="0.25">
      <c r="A70" s="12">
        <v>5</v>
      </c>
      <c r="B70" s="12" t="s">
        <v>189</v>
      </c>
      <c r="C70" s="11" t="s">
        <v>84</v>
      </c>
      <c r="D70" s="12" t="s">
        <v>21</v>
      </c>
      <c r="E70" s="12">
        <v>50.73</v>
      </c>
      <c r="F70" s="1">
        <f t="shared" si="0"/>
        <v>0</v>
      </c>
      <c r="G70" s="1">
        <v>50.73</v>
      </c>
    </row>
    <row r="71" spans="1:7" s="20" customFormat="1" x14ac:dyDescent="0.25">
      <c r="F71" s="20">
        <f>SUM(F11:F70)</f>
        <v>-7.6099999999999994</v>
      </c>
    </row>
    <row r="72" spans="1:7" s="20" customFormat="1" x14ac:dyDescent="0.25"/>
  </sheetData>
  <autoFilter ref="B9:E72"/>
  <mergeCells count="6">
    <mergeCell ref="A2:E2"/>
    <mergeCell ref="A3:E3"/>
    <mergeCell ref="A5:E5"/>
    <mergeCell ref="A8:E8"/>
    <mergeCell ref="A10:A11"/>
    <mergeCell ref="B10:B1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G1455"/>
  <sheetViews>
    <sheetView workbookViewId="0">
      <selection sqref="A1:XFD1048576"/>
    </sheetView>
  </sheetViews>
  <sheetFormatPr defaultRowHeight="11.25" x14ac:dyDescent="0.2"/>
  <cols>
    <col min="1" max="1" width="12" style="52" customWidth="1"/>
    <col min="2" max="2" width="123.5703125" style="52" customWidth="1"/>
    <col min="3" max="3" width="5" style="54" customWidth="1"/>
    <col min="4" max="4" width="9.140625" style="52" customWidth="1"/>
    <col min="5" max="5" width="4.28515625" style="54" customWidth="1"/>
    <col min="6" max="6" width="7.7109375" style="52" customWidth="1"/>
    <col min="7" max="7" width="9" style="52" customWidth="1"/>
    <col min="8" max="8" width="9.140625" style="52" customWidth="1"/>
    <col min="9" max="16384" width="9.140625" style="52"/>
  </cols>
  <sheetData>
    <row r="2" spans="1:7" ht="24" x14ac:dyDescent="0.4">
      <c r="B2" s="53"/>
    </row>
    <row r="4" spans="1:7" x14ac:dyDescent="0.2">
      <c r="A4" s="55"/>
      <c r="B4" s="55"/>
      <c r="C4" s="56"/>
      <c r="D4" s="56"/>
      <c r="E4" s="56"/>
      <c r="F4" s="56"/>
      <c r="G4" s="56"/>
    </row>
    <row r="5" spans="1:7" x14ac:dyDescent="0.2">
      <c r="A5" s="57"/>
      <c r="B5" s="57"/>
      <c r="C5" s="57"/>
      <c r="D5" s="57"/>
      <c r="E5" s="57"/>
      <c r="F5" s="57"/>
      <c r="G5" s="57"/>
    </row>
    <row r="8" spans="1:7" x14ac:dyDescent="0.2">
      <c r="A8" s="58"/>
      <c r="B8" s="58"/>
      <c r="C8" s="59"/>
      <c r="D8" s="58"/>
      <c r="E8" s="59"/>
      <c r="F8" s="58"/>
      <c r="G8" s="58"/>
    </row>
    <row r="9" spans="1:7" x14ac:dyDescent="0.2">
      <c r="A9" s="60"/>
      <c r="G9" s="61"/>
    </row>
    <row r="11" spans="1:7" x14ac:dyDescent="0.2">
      <c r="A11" s="60"/>
      <c r="B11" s="60"/>
      <c r="C11" s="62"/>
      <c r="D11" s="60"/>
      <c r="E11" s="62"/>
      <c r="F11" s="60"/>
      <c r="G11" s="60"/>
    </row>
    <row r="12" spans="1:7" x14ac:dyDescent="0.2">
      <c r="D12" s="63"/>
      <c r="E12" s="64"/>
    </row>
    <row r="14" spans="1:7" x14ac:dyDescent="0.2">
      <c r="A14" s="60"/>
      <c r="B14" s="60"/>
      <c r="C14" s="62"/>
      <c r="D14" s="60"/>
      <c r="E14" s="62"/>
      <c r="F14" s="60"/>
      <c r="G14" s="60"/>
    </row>
    <row r="17" spans="1:7" x14ac:dyDescent="0.2">
      <c r="A17" s="60"/>
      <c r="B17" s="60"/>
      <c r="C17" s="62"/>
      <c r="D17" s="60"/>
      <c r="E17" s="62"/>
      <c r="F17" s="60"/>
      <c r="G17" s="60"/>
    </row>
    <row r="23" spans="1:7" x14ac:dyDescent="0.2">
      <c r="A23" s="58"/>
      <c r="B23" s="58"/>
      <c r="C23" s="59"/>
      <c r="D23" s="58"/>
      <c r="E23" s="59"/>
      <c r="F23" s="58"/>
      <c r="G23" s="58"/>
    </row>
    <row r="25" spans="1:7" x14ac:dyDescent="0.2">
      <c r="A25" s="58"/>
      <c r="B25" s="58"/>
      <c r="C25" s="59"/>
      <c r="D25" s="58"/>
      <c r="E25" s="59"/>
      <c r="F25" s="58"/>
      <c r="G25" s="58"/>
    </row>
    <row r="26" spans="1:7" x14ac:dyDescent="0.2">
      <c r="A26" s="60"/>
      <c r="G26" s="61"/>
    </row>
    <row r="28" spans="1:7" x14ac:dyDescent="0.2">
      <c r="A28" s="60"/>
      <c r="B28" s="60"/>
      <c r="C28" s="62"/>
      <c r="D28" s="60"/>
      <c r="E28" s="62"/>
      <c r="F28" s="60"/>
      <c r="G28" s="60"/>
    </row>
    <row r="29" spans="1:7" x14ac:dyDescent="0.2">
      <c r="D29" s="63"/>
      <c r="E29" s="64"/>
    </row>
    <row r="31" spans="1:7" x14ac:dyDescent="0.2">
      <c r="A31" s="60"/>
      <c r="B31" s="60"/>
      <c r="C31" s="62"/>
      <c r="D31" s="60"/>
      <c r="E31" s="62"/>
      <c r="F31" s="60"/>
      <c r="G31" s="60"/>
    </row>
    <row r="34" spans="1:7" x14ac:dyDescent="0.2">
      <c r="A34" s="60"/>
      <c r="B34" s="60"/>
      <c r="C34" s="62"/>
      <c r="D34" s="60"/>
      <c r="E34" s="62"/>
      <c r="F34" s="60"/>
      <c r="G34" s="60"/>
    </row>
    <row r="40" spans="1:7" x14ac:dyDescent="0.2">
      <c r="A40" s="58"/>
      <c r="B40" s="58"/>
      <c r="C40" s="59"/>
      <c r="D40" s="58"/>
      <c r="E40" s="59"/>
      <c r="F40" s="58"/>
      <c r="G40" s="58"/>
    </row>
    <row r="42" spans="1:7" x14ac:dyDescent="0.2">
      <c r="A42" s="58"/>
      <c r="B42" s="58"/>
      <c r="C42" s="59"/>
      <c r="D42" s="58"/>
      <c r="E42" s="59"/>
      <c r="F42" s="58"/>
      <c r="G42" s="58"/>
    </row>
    <row r="43" spans="1:7" x14ac:dyDescent="0.2">
      <c r="A43" s="60"/>
      <c r="G43" s="61"/>
    </row>
    <row r="45" spans="1:7" x14ac:dyDescent="0.2">
      <c r="A45" s="60"/>
      <c r="B45" s="60"/>
      <c r="C45" s="62"/>
      <c r="D45" s="60"/>
      <c r="E45" s="62"/>
      <c r="F45" s="60"/>
      <c r="G45" s="60"/>
    </row>
    <row r="46" spans="1:7" x14ac:dyDescent="0.2">
      <c r="D46" s="63"/>
      <c r="E46" s="64"/>
    </row>
    <row r="48" spans="1:7" x14ac:dyDescent="0.2">
      <c r="A48" s="60"/>
      <c r="B48" s="60"/>
      <c r="C48" s="62"/>
      <c r="D48" s="60"/>
      <c r="E48" s="62"/>
      <c r="F48" s="60"/>
      <c r="G48" s="60"/>
    </row>
    <row r="49" spans="1:7" x14ac:dyDescent="0.2">
      <c r="D49" s="63"/>
      <c r="E49" s="64"/>
    </row>
    <row r="51" spans="1:7" x14ac:dyDescent="0.2">
      <c r="A51" s="60"/>
      <c r="B51" s="60"/>
      <c r="C51" s="62"/>
      <c r="D51" s="65"/>
      <c r="E51" s="62"/>
      <c r="F51" s="60"/>
      <c r="G51" s="60"/>
    </row>
    <row r="52" spans="1:7" x14ac:dyDescent="0.2">
      <c r="D52" s="63"/>
      <c r="E52" s="64"/>
    </row>
    <row r="54" spans="1:7" x14ac:dyDescent="0.2">
      <c r="A54" s="60"/>
      <c r="B54" s="60"/>
      <c r="C54" s="62"/>
      <c r="D54" s="60"/>
      <c r="E54" s="62"/>
      <c r="F54" s="60"/>
      <c r="G54" s="60"/>
    </row>
    <row r="59" spans="1:7" x14ac:dyDescent="0.2">
      <c r="A59" s="60"/>
      <c r="B59" s="60"/>
      <c r="C59" s="62"/>
      <c r="D59" s="60"/>
      <c r="E59" s="62"/>
      <c r="F59" s="60"/>
      <c r="G59" s="60"/>
    </row>
    <row r="65" spans="1:7" x14ac:dyDescent="0.2">
      <c r="A65" s="58"/>
      <c r="B65" s="58"/>
      <c r="C65" s="59"/>
      <c r="D65" s="58"/>
      <c r="E65" s="59"/>
      <c r="F65" s="58"/>
      <c r="G65" s="58"/>
    </row>
    <row r="67" spans="1:7" x14ac:dyDescent="0.2">
      <c r="A67" s="58"/>
      <c r="B67" s="58"/>
      <c r="C67" s="59"/>
      <c r="D67" s="58"/>
      <c r="E67" s="59"/>
      <c r="F67" s="58"/>
      <c r="G67" s="58"/>
    </row>
    <row r="68" spans="1:7" x14ac:dyDescent="0.2">
      <c r="A68" s="60"/>
      <c r="G68" s="61"/>
    </row>
    <row r="70" spans="1:7" x14ac:dyDescent="0.2">
      <c r="A70" s="60"/>
      <c r="B70" s="60"/>
      <c r="C70" s="62"/>
      <c r="D70" s="60"/>
      <c r="E70" s="62"/>
      <c r="F70" s="60"/>
      <c r="G70" s="60"/>
    </row>
    <row r="71" spans="1:7" x14ac:dyDescent="0.2">
      <c r="D71" s="63"/>
      <c r="E71" s="64"/>
    </row>
    <row r="73" spans="1:7" x14ac:dyDescent="0.2">
      <c r="A73" s="60"/>
      <c r="B73" s="60"/>
      <c r="C73" s="62"/>
      <c r="D73" s="60"/>
      <c r="E73" s="62"/>
      <c r="F73" s="60"/>
      <c r="G73" s="60"/>
    </row>
    <row r="74" spans="1:7" x14ac:dyDescent="0.2">
      <c r="D74" s="63"/>
      <c r="E74" s="64"/>
    </row>
    <row r="75" spans="1:7" x14ac:dyDescent="0.2">
      <c r="D75" s="63"/>
      <c r="E75" s="64"/>
    </row>
    <row r="77" spans="1:7" x14ac:dyDescent="0.2">
      <c r="A77" s="60"/>
      <c r="B77" s="60"/>
      <c r="C77" s="62"/>
      <c r="D77" s="65"/>
      <c r="E77" s="62"/>
      <c r="F77" s="60"/>
      <c r="G77" s="60"/>
    </row>
    <row r="78" spans="1:7" x14ac:dyDescent="0.2">
      <c r="D78" s="63"/>
      <c r="E78" s="64"/>
    </row>
    <row r="80" spans="1:7" x14ac:dyDescent="0.2">
      <c r="A80" s="60"/>
      <c r="B80" s="60"/>
      <c r="C80" s="62"/>
      <c r="D80" s="60"/>
      <c r="E80" s="62"/>
      <c r="F80" s="60"/>
      <c r="G80" s="60"/>
    </row>
    <row r="85" spans="1:7" x14ac:dyDescent="0.2">
      <c r="A85" s="60"/>
      <c r="B85" s="60"/>
      <c r="C85" s="62"/>
      <c r="D85" s="60"/>
      <c r="E85" s="62"/>
      <c r="F85" s="60"/>
      <c r="G85" s="60"/>
    </row>
    <row r="91" spans="1:7" x14ac:dyDescent="0.2">
      <c r="A91" s="58"/>
      <c r="B91" s="58"/>
      <c r="C91" s="59"/>
      <c r="D91" s="58"/>
      <c r="E91" s="59"/>
      <c r="F91" s="58"/>
      <c r="G91" s="58"/>
    </row>
    <row r="93" spans="1:7" x14ac:dyDescent="0.2">
      <c r="A93" s="58"/>
      <c r="B93" s="58"/>
      <c r="C93" s="59"/>
      <c r="D93" s="58"/>
      <c r="E93" s="59"/>
      <c r="F93" s="58"/>
      <c r="G93" s="58"/>
    </row>
    <row r="94" spans="1:7" x14ac:dyDescent="0.2">
      <c r="A94" s="60"/>
      <c r="G94" s="61"/>
    </row>
    <row r="96" spans="1:7" x14ac:dyDescent="0.2">
      <c r="A96" s="60"/>
      <c r="B96" s="60"/>
      <c r="C96" s="62"/>
      <c r="D96" s="60"/>
      <c r="E96" s="62"/>
      <c r="F96" s="60"/>
      <c r="G96" s="60"/>
    </row>
    <row r="97" spans="1:7" x14ac:dyDescent="0.2">
      <c r="D97" s="63"/>
      <c r="E97" s="64"/>
    </row>
    <row r="98" spans="1:7" x14ac:dyDescent="0.2">
      <c r="D98" s="63"/>
      <c r="E98" s="64"/>
    </row>
    <row r="100" spans="1:7" x14ac:dyDescent="0.2">
      <c r="A100" s="60"/>
      <c r="B100" s="60"/>
      <c r="C100" s="62"/>
      <c r="D100" s="65"/>
      <c r="E100" s="62"/>
      <c r="F100" s="60"/>
      <c r="G100" s="60"/>
    </row>
    <row r="101" spans="1:7" x14ac:dyDescent="0.2">
      <c r="D101" s="63"/>
      <c r="E101" s="64"/>
    </row>
    <row r="103" spans="1:7" x14ac:dyDescent="0.2">
      <c r="A103" s="60"/>
      <c r="B103" s="60"/>
      <c r="C103" s="62"/>
      <c r="D103" s="60"/>
      <c r="E103" s="62"/>
      <c r="F103" s="60"/>
      <c r="G103" s="60"/>
    </row>
    <row r="107" spans="1:7" x14ac:dyDescent="0.2">
      <c r="A107" s="60"/>
      <c r="B107" s="60"/>
      <c r="C107" s="62"/>
      <c r="D107" s="60"/>
      <c r="E107" s="62"/>
      <c r="F107" s="60"/>
      <c r="G107" s="60"/>
    </row>
    <row r="113" spans="1:7" x14ac:dyDescent="0.2">
      <c r="A113" s="58"/>
      <c r="B113" s="58"/>
      <c r="C113" s="59"/>
      <c r="D113" s="58"/>
      <c r="E113" s="59"/>
      <c r="F113" s="58"/>
      <c r="G113" s="58"/>
    </row>
    <row r="115" spans="1:7" x14ac:dyDescent="0.2">
      <c r="A115" s="58"/>
      <c r="B115" s="58"/>
      <c r="C115" s="59"/>
      <c r="D115" s="58"/>
      <c r="E115" s="59"/>
      <c r="F115" s="58"/>
      <c r="G115" s="58"/>
    </row>
    <row r="116" spans="1:7" x14ac:dyDescent="0.2">
      <c r="A116" s="60"/>
      <c r="G116" s="61"/>
    </row>
    <row r="118" spans="1:7" x14ac:dyDescent="0.2">
      <c r="A118" s="60"/>
      <c r="B118" s="60"/>
      <c r="C118" s="62"/>
      <c r="D118" s="60"/>
      <c r="E118" s="62"/>
      <c r="F118" s="60"/>
      <c r="G118" s="60"/>
    </row>
    <row r="119" spans="1:7" x14ac:dyDescent="0.2">
      <c r="D119" s="63"/>
      <c r="E119" s="64"/>
    </row>
    <row r="121" spans="1:7" x14ac:dyDescent="0.2">
      <c r="A121" s="60"/>
      <c r="B121" s="60"/>
      <c r="C121" s="62"/>
      <c r="D121" s="65"/>
      <c r="E121" s="62"/>
      <c r="F121" s="60"/>
      <c r="G121" s="60"/>
    </row>
    <row r="122" spans="1:7" x14ac:dyDescent="0.2">
      <c r="D122" s="63"/>
      <c r="E122" s="64"/>
    </row>
    <row r="124" spans="1:7" x14ac:dyDescent="0.2">
      <c r="A124" s="60"/>
      <c r="B124" s="60"/>
      <c r="C124" s="62"/>
      <c r="D124" s="60"/>
      <c r="E124" s="62"/>
      <c r="F124" s="60"/>
      <c r="G124" s="60"/>
    </row>
    <row r="128" spans="1:7" x14ac:dyDescent="0.2">
      <c r="A128" s="60"/>
      <c r="B128" s="60"/>
      <c r="C128" s="62"/>
      <c r="D128" s="60"/>
      <c r="E128" s="62"/>
      <c r="F128" s="60"/>
      <c r="G128" s="60"/>
    </row>
    <row r="134" spans="1:7" x14ac:dyDescent="0.2">
      <c r="A134" s="58"/>
      <c r="B134" s="58"/>
      <c r="C134" s="59"/>
      <c r="D134" s="58"/>
      <c r="E134" s="59"/>
      <c r="F134" s="58"/>
      <c r="G134" s="58"/>
    </row>
    <row r="136" spans="1:7" x14ac:dyDescent="0.2">
      <c r="A136" s="58"/>
      <c r="B136" s="58"/>
      <c r="C136" s="59"/>
      <c r="D136" s="58"/>
      <c r="E136" s="59"/>
      <c r="F136" s="58"/>
      <c r="G136" s="58"/>
    </row>
    <row r="137" spans="1:7" x14ac:dyDescent="0.2">
      <c r="A137" s="60"/>
      <c r="G137" s="61"/>
    </row>
    <row r="139" spans="1:7" x14ac:dyDescent="0.2">
      <c r="A139" s="60"/>
      <c r="B139" s="60"/>
      <c r="C139" s="62"/>
      <c r="D139" s="60"/>
      <c r="E139" s="62"/>
      <c r="F139" s="60"/>
      <c r="G139" s="60"/>
    </row>
    <row r="140" spans="1:7" x14ac:dyDescent="0.2">
      <c r="D140" s="63"/>
      <c r="E140" s="64"/>
    </row>
    <row r="142" spans="1:7" x14ac:dyDescent="0.2">
      <c r="A142" s="60"/>
      <c r="B142" s="60"/>
      <c r="C142" s="62"/>
      <c r="D142" s="60"/>
      <c r="E142" s="62"/>
      <c r="F142" s="60"/>
      <c r="G142" s="60"/>
    </row>
    <row r="143" spans="1:7" x14ac:dyDescent="0.2">
      <c r="D143" s="63"/>
      <c r="E143" s="64"/>
    </row>
    <row r="144" spans="1:7" x14ac:dyDescent="0.2">
      <c r="D144" s="63"/>
      <c r="E144" s="64"/>
    </row>
    <row r="146" spans="1:7" x14ac:dyDescent="0.2">
      <c r="A146" s="60"/>
      <c r="B146" s="60"/>
      <c r="C146" s="62"/>
      <c r="D146" s="65"/>
      <c r="E146" s="62"/>
      <c r="F146" s="60"/>
      <c r="G146" s="60"/>
    </row>
    <row r="147" spans="1:7" x14ac:dyDescent="0.2">
      <c r="D147" s="63"/>
      <c r="E147" s="64"/>
    </row>
    <row r="149" spans="1:7" x14ac:dyDescent="0.2">
      <c r="A149" s="60"/>
      <c r="B149" s="60"/>
      <c r="C149" s="62"/>
      <c r="D149" s="60"/>
      <c r="E149" s="62"/>
      <c r="F149" s="60"/>
      <c r="G149" s="60"/>
    </row>
    <row r="154" spans="1:7" x14ac:dyDescent="0.2">
      <c r="A154" s="60"/>
      <c r="B154" s="60"/>
      <c r="C154" s="62"/>
      <c r="D154" s="60"/>
      <c r="E154" s="62"/>
      <c r="F154" s="60"/>
      <c r="G154" s="60"/>
    </row>
    <row r="160" spans="1:7" x14ac:dyDescent="0.2">
      <c r="A160" s="58"/>
      <c r="B160" s="58"/>
      <c r="C160" s="59"/>
      <c r="D160" s="58"/>
      <c r="E160" s="59"/>
      <c r="F160" s="58"/>
      <c r="G160" s="58"/>
    </row>
    <row r="162" spans="1:7" x14ac:dyDescent="0.2">
      <c r="A162" s="58"/>
      <c r="B162" s="58"/>
      <c r="C162" s="59"/>
      <c r="D162" s="58"/>
      <c r="E162" s="59"/>
      <c r="F162" s="58"/>
      <c r="G162" s="58"/>
    </row>
    <row r="163" spans="1:7" x14ac:dyDescent="0.2">
      <c r="A163" s="60"/>
      <c r="G163" s="61"/>
    </row>
    <row r="165" spans="1:7" x14ac:dyDescent="0.2">
      <c r="A165" s="60"/>
      <c r="B165" s="60"/>
      <c r="C165" s="62"/>
      <c r="D165" s="60"/>
      <c r="E165" s="62"/>
      <c r="F165" s="60"/>
      <c r="G165" s="60"/>
    </row>
    <row r="166" spans="1:7" x14ac:dyDescent="0.2">
      <c r="D166" s="63"/>
      <c r="E166" s="64"/>
    </row>
    <row r="168" spans="1:7" x14ac:dyDescent="0.2">
      <c r="A168" s="60"/>
      <c r="B168" s="60"/>
      <c r="C168" s="62"/>
      <c r="D168" s="60"/>
      <c r="E168" s="62"/>
      <c r="F168" s="60"/>
      <c r="G168" s="60"/>
    </row>
    <row r="169" spans="1:7" x14ac:dyDescent="0.2">
      <c r="D169" s="63"/>
      <c r="E169" s="64"/>
    </row>
    <row r="171" spans="1:7" x14ac:dyDescent="0.2">
      <c r="A171" s="60"/>
      <c r="B171" s="60"/>
      <c r="C171" s="62"/>
      <c r="D171" s="65"/>
      <c r="E171" s="62"/>
      <c r="F171" s="60"/>
      <c r="G171" s="60"/>
    </row>
    <row r="172" spans="1:7" x14ac:dyDescent="0.2">
      <c r="D172" s="63"/>
      <c r="E172" s="64"/>
    </row>
    <row r="173" spans="1:7" x14ac:dyDescent="0.2">
      <c r="D173" s="63"/>
      <c r="E173" s="64"/>
    </row>
    <row r="175" spans="1:7" x14ac:dyDescent="0.2">
      <c r="A175" s="60"/>
      <c r="B175" s="60"/>
      <c r="C175" s="62"/>
      <c r="D175" s="60"/>
      <c r="E175" s="62"/>
      <c r="F175" s="60"/>
      <c r="G175" s="60"/>
    </row>
    <row r="180" spans="1:7" x14ac:dyDescent="0.2">
      <c r="A180" s="60"/>
      <c r="B180" s="60"/>
      <c r="C180" s="62"/>
      <c r="D180" s="60"/>
      <c r="E180" s="62"/>
      <c r="F180" s="60"/>
      <c r="G180" s="60"/>
    </row>
    <row r="186" spans="1:7" x14ac:dyDescent="0.2">
      <c r="A186" s="58"/>
      <c r="B186" s="58"/>
      <c r="C186" s="59"/>
      <c r="D186" s="58"/>
      <c r="E186" s="59"/>
      <c r="F186" s="58"/>
      <c r="G186" s="58"/>
    </row>
    <row r="188" spans="1:7" x14ac:dyDescent="0.2">
      <c r="A188" s="58"/>
      <c r="B188" s="58"/>
      <c r="C188" s="59"/>
      <c r="D188" s="58"/>
      <c r="E188" s="59"/>
      <c r="F188" s="58"/>
      <c r="G188" s="58"/>
    </row>
    <row r="189" spans="1:7" x14ac:dyDescent="0.2">
      <c r="A189" s="60"/>
      <c r="G189" s="61"/>
    </row>
    <row r="191" spans="1:7" x14ac:dyDescent="0.2">
      <c r="A191" s="60"/>
      <c r="B191" s="60"/>
      <c r="C191" s="62"/>
      <c r="D191" s="60"/>
      <c r="E191" s="62"/>
      <c r="F191" s="60"/>
      <c r="G191" s="60"/>
    </row>
    <row r="192" spans="1:7" x14ac:dyDescent="0.2">
      <c r="D192" s="63"/>
      <c r="E192" s="64"/>
    </row>
    <row r="194" spans="1:7" x14ac:dyDescent="0.2">
      <c r="A194" s="60"/>
      <c r="B194" s="60"/>
      <c r="C194" s="62"/>
      <c r="D194" s="65"/>
      <c r="E194" s="62"/>
      <c r="F194" s="60"/>
      <c r="G194" s="60"/>
    </row>
    <row r="195" spans="1:7" x14ac:dyDescent="0.2">
      <c r="D195" s="63"/>
      <c r="E195" s="64"/>
    </row>
    <row r="196" spans="1:7" x14ac:dyDescent="0.2">
      <c r="D196" s="63"/>
      <c r="E196" s="64"/>
    </row>
    <row r="198" spans="1:7" x14ac:dyDescent="0.2">
      <c r="A198" s="60"/>
      <c r="B198" s="60"/>
      <c r="C198" s="62"/>
      <c r="D198" s="60"/>
      <c r="E198" s="62"/>
      <c r="F198" s="60"/>
      <c r="G198" s="60"/>
    </row>
    <row r="202" spans="1:7" x14ac:dyDescent="0.2">
      <c r="A202" s="60"/>
      <c r="B202" s="60"/>
      <c r="C202" s="62"/>
      <c r="D202" s="60"/>
      <c r="E202" s="62"/>
      <c r="F202" s="60"/>
      <c r="G202" s="60"/>
    </row>
    <row r="208" spans="1:7" x14ac:dyDescent="0.2">
      <c r="A208" s="58"/>
      <c r="B208" s="58"/>
      <c r="C208" s="59"/>
      <c r="D208" s="58"/>
      <c r="E208" s="59"/>
      <c r="F208" s="58"/>
      <c r="G208" s="58"/>
    </row>
    <row r="210" spans="1:7" x14ac:dyDescent="0.2">
      <c r="A210" s="58"/>
      <c r="B210" s="58"/>
      <c r="C210" s="59"/>
      <c r="D210" s="58"/>
      <c r="E210" s="59"/>
      <c r="F210" s="58"/>
      <c r="G210" s="58"/>
    </row>
    <row r="211" spans="1:7" x14ac:dyDescent="0.2">
      <c r="A211" s="60"/>
      <c r="G211" s="61"/>
    </row>
    <row r="213" spans="1:7" x14ac:dyDescent="0.2">
      <c r="A213" s="60"/>
      <c r="B213" s="60"/>
      <c r="C213" s="62"/>
      <c r="D213" s="60"/>
      <c r="E213" s="62"/>
      <c r="F213" s="60"/>
      <c r="G213" s="60"/>
    </row>
    <row r="214" spans="1:7" x14ac:dyDescent="0.2">
      <c r="D214" s="63"/>
      <c r="E214" s="64"/>
    </row>
    <row r="216" spans="1:7" x14ac:dyDescent="0.2">
      <c r="A216" s="60"/>
      <c r="B216" s="60"/>
      <c r="C216" s="62"/>
      <c r="D216" s="60"/>
      <c r="E216" s="62"/>
      <c r="F216" s="60"/>
      <c r="G216" s="60"/>
    </row>
    <row r="217" spans="1:7" x14ac:dyDescent="0.2">
      <c r="D217" s="63"/>
      <c r="E217" s="64"/>
    </row>
    <row r="218" spans="1:7" x14ac:dyDescent="0.2">
      <c r="D218" s="63"/>
      <c r="E218" s="64"/>
    </row>
    <row r="220" spans="1:7" x14ac:dyDescent="0.2">
      <c r="A220" s="60"/>
      <c r="B220" s="60"/>
      <c r="C220" s="62"/>
      <c r="D220" s="65"/>
      <c r="E220" s="62"/>
      <c r="F220" s="60"/>
      <c r="G220" s="60"/>
    </row>
    <row r="221" spans="1:7" x14ac:dyDescent="0.2">
      <c r="D221" s="63"/>
      <c r="E221" s="64"/>
    </row>
    <row r="223" spans="1:7" x14ac:dyDescent="0.2">
      <c r="A223" s="60"/>
      <c r="B223" s="60"/>
      <c r="C223" s="62"/>
      <c r="D223" s="60"/>
      <c r="E223" s="62"/>
      <c r="F223" s="60"/>
      <c r="G223" s="60"/>
    </row>
    <row r="228" spans="1:7" x14ac:dyDescent="0.2">
      <c r="A228" s="60"/>
      <c r="B228" s="60"/>
      <c r="C228" s="62"/>
      <c r="D228" s="60"/>
      <c r="E228" s="62"/>
      <c r="F228" s="60"/>
      <c r="G228" s="60"/>
    </row>
    <row r="234" spans="1:7" x14ac:dyDescent="0.2">
      <c r="A234" s="58"/>
      <c r="B234" s="58"/>
      <c r="C234" s="59"/>
      <c r="D234" s="58"/>
      <c r="E234" s="59"/>
      <c r="F234" s="58"/>
      <c r="G234" s="58"/>
    </row>
    <row r="236" spans="1:7" x14ac:dyDescent="0.2">
      <c r="A236" s="58"/>
      <c r="B236" s="58"/>
      <c r="C236" s="59"/>
      <c r="D236" s="58"/>
      <c r="E236" s="59"/>
      <c r="F236" s="58"/>
      <c r="G236" s="58"/>
    </row>
    <row r="237" spans="1:7" x14ac:dyDescent="0.2">
      <c r="A237" s="60"/>
      <c r="G237" s="61"/>
    </row>
    <row r="239" spans="1:7" x14ac:dyDescent="0.2">
      <c r="A239" s="60"/>
      <c r="B239" s="60"/>
      <c r="C239" s="62"/>
      <c r="D239" s="60"/>
      <c r="E239" s="62"/>
      <c r="F239" s="60"/>
      <c r="G239" s="60"/>
    </row>
    <row r="240" spans="1:7" x14ac:dyDescent="0.2">
      <c r="D240" s="63"/>
      <c r="E240" s="64"/>
    </row>
    <row r="242" spans="1:7" x14ac:dyDescent="0.2">
      <c r="A242" s="60"/>
      <c r="B242" s="60"/>
      <c r="C242" s="62"/>
      <c r="D242" s="60"/>
      <c r="E242" s="62"/>
      <c r="F242" s="60"/>
      <c r="G242" s="60"/>
    </row>
    <row r="243" spans="1:7" x14ac:dyDescent="0.2">
      <c r="D243" s="63"/>
      <c r="E243" s="64"/>
    </row>
    <row r="244" spans="1:7" x14ac:dyDescent="0.2">
      <c r="D244" s="63"/>
      <c r="E244" s="64"/>
    </row>
    <row r="246" spans="1:7" x14ac:dyDescent="0.2">
      <c r="A246" s="60"/>
      <c r="B246" s="60"/>
      <c r="C246" s="62"/>
      <c r="D246" s="65"/>
      <c r="E246" s="62"/>
      <c r="F246" s="60"/>
      <c r="G246" s="60"/>
    </row>
    <row r="247" spans="1:7" x14ac:dyDescent="0.2">
      <c r="D247" s="63"/>
      <c r="E247" s="64"/>
    </row>
    <row r="249" spans="1:7" x14ac:dyDescent="0.2">
      <c r="A249" s="60"/>
      <c r="B249" s="60"/>
      <c r="C249" s="62"/>
      <c r="D249" s="60"/>
      <c r="E249" s="62"/>
      <c r="F249" s="60"/>
      <c r="G249" s="60"/>
    </row>
    <row r="254" spans="1:7" x14ac:dyDescent="0.2">
      <c r="A254" s="60"/>
      <c r="B254" s="60"/>
      <c r="C254" s="62"/>
      <c r="D254" s="60"/>
      <c r="E254" s="62"/>
      <c r="F254" s="60"/>
      <c r="G254" s="60"/>
    </row>
    <row r="260" spans="1:7" x14ac:dyDescent="0.2">
      <c r="A260" s="58"/>
      <c r="B260" s="58"/>
      <c r="C260" s="59"/>
      <c r="D260" s="58"/>
      <c r="E260" s="59"/>
      <c r="F260" s="58"/>
      <c r="G260" s="58"/>
    </row>
    <row r="262" spans="1:7" x14ac:dyDescent="0.2">
      <c r="A262" s="58"/>
      <c r="B262" s="58"/>
      <c r="C262" s="59"/>
      <c r="D262" s="58"/>
      <c r="E262" s="59"/>
      <c r="F262" s="58"/>
      <c r="G262" s="58"/>
    </row>
    <row r="263" spans="1:7" x14ac:dyDescent="0.2">
      <c r="A263" s="60"/>
      <c r="G263" s="61"/>
    </row>
    <row r="265" spans="1:7" x14ac:dyDescent="0.2">
      <c r="A265" s="60"/>
      <c r="B265" s="60"/>
      <c r="C265" s="62"/>
      <c r="D265" s="60"/>
      <c r="E265" s="62"/>
      <c r="F265" s="60"/>
      <c r="G265" s="60"/>
    </row>
    <row r="266" spans="1:7" x14ac:dyDescent="0.2">
      <c r="D266" s="63"/>
      <c r="E266" s="64"/>
    </row>
    <row r="268" spans="1:7" x14ac:dyDescent="0.2">
      <c r="A268" s="60"/>
      <c r="B268" s="60"/>
      <c r="C268" s="62"/>
      <c r="D268" s="60"/>
      <c r="E268" s="62"/>
      <c r="F268" s="60"/>
      <c r="G268" s="60"/>
    </row>
    <row r="269" spans="1:7" x14ac:dyDescent="0.2">
      <c r="D269" s="63"/>
      <c r="E269" s="64"/>
    </row>
    <row r="270" spans="1:7" x14ac:dyDescent="0.2">
      <c r="D270" s="63"/>
      <c r="E270" s="64"/>
    </row>
    <row r="272" spans="1:7" x14ac:dyDescent="0.2">
      <c r="A272" s="60"/>
      <c r="B272" s="60"/>
      <c r="C272" s="62"/>
      <c r="D272" s="65"/>
      <c r="E272" s="62"/>
      <c r="F272" s="60"/>
      <c r="G272" s="60"/>
    </row>
    <row r="273" spans="1:7" x14ac:dyDescent="0.2">
      <c r="D273" s="63"/>
      <c r="E273" s="64"/>
    </row>
    <row r="275" spans="1:7" x14ac:dyDescent="0.2">
      <c r="A275" s="60"/>
      <c r="B275" s="60"/>
      <c r="C275" s="62"/>
      <c r="D275" s="60"/>
      <c r="E275" s="62"/>
      <c r="F275" s="60"/>
      <c r="G275" s="60"/>
    </row>
    <row r="280" spans="1:7" x14ac:dyDescent="0.2">
      <c r="A280" s="60"/>
      <c r="B280" s="60"/>
      <c r="C280" s="62"/>
      <c r="D280" s="60"/>
      <c r="E280" s="62"/>
      <c r="F280" s="60"/>
      <c r="G280" s="60"/>
    </row>
    <row r="286" spans="1:7" x14ac:dyDescent="0.2">
      <c r="A286" s="58"/>
      <c r="B286" s="58"/>
      <c r="C286" s="59"/>
      <c r="D286" s="58"/>
      <c r="E286" s="59"/>
      <c r="F286" s="58"/>
      <c r="G286" s="58"/>
    </row>
    <row r="288" spans="1:7" x14ac:dyDescent="0.2">
      <c r="A288" s="58"/>
      <c r="B288" s="58"/>
      <c r="C288" s="59"/>
      <c r="D288" s="58"/>
      <c r="E288" s="59"/>
      <c r="F288" s="58"/>
      <c r="G288" s="58"/>
    </row>
    <row r="289" spans="1:7" x14ac:dyDescent="0.2">
      <c r="A289" s="60"/>
      <c r="G289" s="61"/>
    </row>
    <row r="291" spans="1:7" x14ac:dyDescent="0.2">
      <c r="A291" s="60"/>
      <c r="B291" s="60"/>
      <c r="C291" s="62"/>
      <c r="D291" s="60"/>
      <c r="E291" s="62"/>
      <c r="F291" s="60"/>
      <c r="G291" s="60"/>
    </row>
    <row r="292" spans="1:7" x14ac:dyDescent="0.2">
      <c r="D292" s="63"/>
      <c r="E292" s="64"/>
    </row>
    <row r="294" spans="1:7" x14ac:dyDescent="0.2">
      <c r="A294" s="60"/>
      <c r="B294" s="60"/>
      <c r="C294" s="62"/>
      <c r="D294" s="60"/>
      <c r="E294" s="62"/>
      <c r="F294" s="60"/>
      <c r="G294" s="60"/>
    </row>
    <row r="295" spans="1:7" x14ac:dyDescent="0.2">
      <c r="D295" s="63"/>
      <c r="E295" s="64"/>
    </row>
    <row r="296" spans="1:7" x14ac:dyDescent="0.2">
      <c r="D296" s="63"/>
      <c r="E296" s="64"/>
    </row>
    <row r="298" spans="1:7" x14ac:dyDescent="0.2">
      <c r="A298" s="60"/>
      <c r="B298" s="60"/>
      <c r="C298" s="62"/>
      <c r="D298" s="65"/>
      <c r="E298" s="62"/>
      <c r="F298" s="60"/>
      <c r="G298" s="60"/>
    </row>
    <row r="299" spans="1:7" x14ac:dyDescent="0.2">
      <c r="D299" s="63"/>
      <c r="E299" s="64"/>
    </row>
    <row r="301" spans="1:7" x14ac:dyDescent="0.2">
      <c r="A301" s="60"/>
      <c r="B301" s="60"/>
      <c r="C301" s="62"/>
      <c r="D301" s="60"/>
      <c r="E301" s="62"/>
      <c r="F301" s="60"/>
      <c r="G301" s="60"/>
    </row>
    <row r="306" spans="1:7" x14ac:dyDescent="0.2">
      <c r="A306" s="60"/>
      <c r="B306" s="60"/>
      <c r="C306" s="62"/>
      <c r="D306" s="60"/>
      <c r="E306" s="62"/>
      <c r="F306" s="60"/>
      <c r="G306" s="60"/>
    </row>
    <row r="312" spans="1:7" x14ac:dyDescent="0.2">
      <c r="A312" s="58"/>
      <c r="B312" s="58"/>
      <c r="C312" s="59"/>
      <c r="D312" s="58"/>
      <c r="E312" s="59"/>
      <c r="F312" s="58"/>
      <c r="G312" s="58"/>
    </row>
    <row r="314" spans="1:7" x14ac:dyDescent="0.2">
      <c r="A314" s="58"/>
      <c r="B314" s="58"/>
      <c r="C314" s="59"/>
      <c r="D314" s="58"/>
      <c r="E314" s="59"/>
      <c r="F314" s="58"/>
      <c r="G314" s="58"/>
    </row>
    <row r="315" spans="1:7" x14ac:dyDescent="0.2">
      <c r="A315" s="60"/>
      <c r="G315" s="61"/>
    </row>
    <row r="317" spans="1:7" x14ac:dyDescent="0.2">
      <c r="A317" s="60"/>
      <c r="B317" s="60"/>
      <c r="C317" s="62"/>
      <c r="D317" s="60"/>
      <c r="E317" s="62"/>
      <c r="F317" s="60"/>
      <c r="G317" s="60"/>
    </row>
    <row r="318" spans="1:7" x14ac:dyDescent="0.2">
      <c r="D318" s="63"/>
      <c r="E318" s="64"/>
    </row>
    <row r="320" spans="1:7" x14ac:dyDescent="0.2">
      <c r="A320" s="60"/>
      <c r="B320" s="60"/>
      <c r="C320" s="62"/>
      <c r="D320" s="60"/>
      <c r="E320" s="62"/>
      <c r="F320" s="60"/>
      <c r="G320" s="60"/>
    </row>
    <row r="321" spans="1:7" x14ac:dyDescent="0.2">
      <c r="D321" s="63"/>
      <c r="E321" s="64"/>
    </row>
    <row r="322" spans="1:7" x14ac:dyDescent="0.2">
      <c r="D322" s="63"/>
      <c r="E322" s="64"/>
    </row>
    <row r="324" spans="1:7" x14ac:dyDescent="0.2">
      <c r="A324" s="60"/>
      <c r="B324" s="60"/>
      <c r="C324" s="62"/>
      <c r="D324" s="65"/>
      <c r="E324" s="62"/>
      <c r="F324" s="60"/>
      <c r="G324" s="60"/>
    </row>
    <row r="325" spans="1:7" x14ac:dyDescent="0.2">
      <c r="D325" s="63"/>
      <c r="E325" s="64"/>
    </row>
    <row r="327" spans="1:7" x14ac:dyDescent="0.2">
      <c r="A327" s="60"/>
      <c r="B327" s="60"/>
      <c r="C327" s="62"/>
      <c r="D327" s="60"/>
      <c r="E327" s="62"/>
      <c r="F327" s="60"/>
      <c r="G327" s="60"/>
    </row>
    <row r="332" spans="1:7" x14ac:dyDescent="0.2">
      <c r="A332" s="60"/>
      <c r="B332" s="60"/>
      <c r="C332" s="62"/>
      <c r="D332" s="60"/>
      <c r="E332" s="62"/>
      <c r="F332" s="60"/>
      <c r="G332" s="60"/>
    </row>
    <row r="338" spans="1:7" x14ac:dyDescent="0.2">
      <c r="A338" s="58"/>
      <c r="B338" s="58"/>
      <c r="C338" s="59"/>
      <c r="D338" s="58"/>
      <c r="E338" s="59"/>
      <c r="F338" s="58"/>
      <c r="G338" s="58"/>
    </row>
    <row r="340" spans="1:7" x14ac:dyDescent="0.2">
      <c r="A340" s="58"/>
      <c r="B340" s="58"/>
      <c r="C340" s="59"/>
      <c r="D340" s="58"/>
      <c r="E340" s="59"/>
      <c r="F340" s="58"/>
      <c r="G340" s="58"/>
    </row>
    <row r="341" spans="1:7" x14ac:dyDescent="0.2">
      <c r="A341" s="60"/>
      <c r="G341" s="61"/>
    </row>
    <row r="343" spans="1:7" x14ac:dyDescent="0.2">
      <c r="A343" s="60"/>
      <c r="B343" s="60"/>
      <c r="C343" s="62"/>
      <c r="D343" s="60"/>
      <c r="E343" s="62"/>
      <c r="F343" s="60"/>
      <c r="G343" s="60"/>
    </row>
    <row r="344" spans="1:7" x14ac:dyDescent="0.2">
      <c r="D344" s="63"/>
      <c r="E344" s="64"/>
    </row>
    <row r="346" spans="1:7" x14ac:dyDescent="0.2">
      <c r="A346" s="60"/>
      <c r="B346" s="60"/>
      <c r="C346" s="62"/>
      <c r="D346" s="60"/>
      <c r="E346" s="62"/>
      <c r="F346" s="60"/>
      <c r="G346" s="60"/>
    </row>
    <row r="347" spans="1:7" x14ac:dyDescent="0.2">
      <c r="D347" s="63"/>
      <c r="E347" s="64"/>
    </row>
    <row r="348" spans="1:7" x14ac:dyDescent="0.2">
      <c r="D348" s="63"/>
      <c r="E348" s="64"/>
    </row>
    <row r="350" spans="1:7" x14ac:dyDescent="0.2">
      <c r="A350" s="60"/>
      <c r="B350" s="60"/>
      <c r="C350" s="62"/>
      <c r="D350" s="65"/>
      <c r="E350" s="62"/>
      <c r="F350" s="60"/>
      <c r="G350" s="60"/>
    </row>
    <row r="351" spans="1:7" x14ac:dyDescent="0.2">
      <c r="D351" s="63"/>
      <c r="E351" s="64"/>
    </row>
    <row r="353" spans="1:7" x14ac:dyDescent="0.2">
      <c r="A353" s="60"/>
      <c r="B353" s="60"/>
      <c r="C353" s="62"/>
      <c r="D353" s="60"/>
      <c r="E353" s="62"/>
      <c r="F353" s="60"/>
      <c r="G353" s="60"/>
    </row>
    <row r="358" spans="1:7" x14ac:dyDescent="0.2">
      <c r="A358" s="60"/>
      <c r="B358" s="60"/>
      <c r="C358" s="62"/>
      <c r="D358" s="60"/>
      <c r="E358" s="62"/>
      <c r="F358" s="60"/>
      <c r="G358" s="60"/>
    </row>
    <row r="364" spans="1:7" x14ac:dyDescent="0.2">
      <c r="A364" s="58"/>
      <c r="B364" s="58"/>
      <c r="C364" s="59"/>
      <c r="D364" s="58"/>
      <c r="E364" s="59"/>
      <c r="F364" s="58"/>
      <c r="G364" s="58"/>
    </row>
    <row r="366" spans="1:7" x14ac:dyDescent="0.2">
      <c r="A366" s="58"/>
      <c r="B366" s="58"/>
      <c r="C366" s="59"/>
      <c r="D366" s="58"/>
      <c r="E366" s="59"/>
      <c r="F366" s="58"/>
      <c r="G366" s="58"/>
    </row>
    <row r="367" spans="1:7" x14ac:dyDescent="0.2">
      <c r="A367" s="60"/>
      <c r="G367" s="61"/>
    </row>
    <row r="369" spans="1:7" x14ac:dyDescent="0.2">
      <c r="A369" s="60"/>
      <c r="B369" s="60"/>
      <c r="C369" s="62"/>
      <c r="D369" s="60"/>
      <c r="E369" s="62"/>
      <c r="F369" s="60"/>
      <c r="G369" s="60"/>
    </row>
    <row r="370" spans="1:7" x14ac:dyDescent="0.2">
      <c r="D370" s="63"/>
      <c r="E370" s="64"/>
    </row>
    <row r="372" spans="1:7" x14ac:dyDescent="0.2">
      <c r="A372" s="60"/>
      <c r="B372" s="60"/>
      <c r="C372" s="62"/>
      <c r="D372" s="60"/>
      <c r="E372" s="62"/>
      <c r="F372" s="60"/>
      <c r="G372" s="60"/>
    </row>
    <row r="373" spans="1:7" x14ac:dyDescent="0.2">
      <c r="D373" s="63"/>
      <c r="E373" s="64"/>
    </row>
    <row r="374" spans="1:7" x14ac:dyDescent="0.2">
      <c r="D374" s="63"/>
      <c r="E374" s="64"/>
    </row>
    <row r="376" spans="1:7" x14ac:dyDescent="0.2">
      <c r="A376" s="60"/>
      <c r="B376" s="60"/>
      <c r="C376" s="62"/>
      <c r="D376" s="65"/>
      <c r="E376" s="62"/>
      <c r="F376" s="60"/>
      <c r="G376" s="60"/>
    </row>
    <row r="377" spans="1:7" x14ac:dyDescent="0.2">
      <c r="D377" s="63"/>
      <c r="E377" s="64"/>
    </row>
    <row r="379" spans="1:7" x14ac:dyDescent="0.2">
      <c r="A379" s="60"/>
      <c r="B379" s="60"/>
      <c r="C379" s="62"/>
      <c r="D379" s="60"/>
      <c r="E379" s="62"/>
      <c r="F379" s="60"/>
      <c r="G379" s="60"/>
    </row>
    <row r="384" spans="1:7" x14ac:dyDescent="0.2">
      <c r="A384" s="60"/>
      <c r="B384" s="60"/>
      <c r="C384" s="62"/>
      <c r="D384" s="60"/>
      <c r="E384" s="62"/>
      <c r="F384" s="60"/>
      <c r="G384" s="60"/>
    </row>
    <row r="390" spans="1:7" x14ac:dyDescent="0.2">
      <c r="A390" s="58"/>
      <c r="B390" s="58"/>
      <c r="C390" s="59"/>
      <c r="D390" s="58"/>
      <c r="E390" s="59"/>
      <c r="F390" s="58"/>
      <c r="G390" s="58"/>
    </row>
    <row r="392" spans="1:7" x14ac:dyDescent="0.2">
      <c r="A392" s="58"/>
      <c r="B392" s="58"/>
      <c r="C392" s="59"/>
      <c r="D392" s="58"/>
      <c r="E392" s="59"/>
      <c r="F392" s="58"/>
      <c r="G392" s="58"/>
    </row>
    <row r="393" spans="1:7" x14ac:dyDescent="0.2">
      <c r="A393" s="60"/>
      <c r="G393" s="61"/>
    </row>
    <row r="395" spans="1:7" x14ac:dyDescent="0.2">
      <c r="A395" s="60"/>
      <c r="B395" s="60"/>
      <c r="C395" s="62"/>
      <c r="D395" s="60"/>
      <c r="E395" s="62"/>
      <c r="F395" s="60"/>
      <c r="G395" s="60"/>
    </row>
    <row r="396" spans="1:7" x14ac:dyDescent="0.2">
      <c r="D396" s="63"/>
      <c r="E396" s="64"/>
    </row>
    <row r="398" spans="1:7" x14ac:dyDescent="0.2">
      <c r="A398" s="60"/>
      <c r="B398" s="60"/>
      <c r="C398" s="62"/>
      <c r="D398" s="60"/>
      <c r="E398" s="62"/>
      <c r="F398" s="60"/>
      <c r="G398" s="60"/>
    </row>
    <row r="399" spans="1:7" x14ac:dyDescent="0.2">
      <c r="D399" s="63"/>
      <c r="E399" s="64"/>
    </row>
    <row r="400" spans="1:7" x14ac:dyDescent="0.2">
      <c r="D400" s="63"/>
      <c r="E400" s="64"/>
    </row>
    <row r="402" spans="1:7" x14ac:dyDescent="0.2">
      <c r="A402" s="60"/>
      <c r="B402" s="60"/>
      <c r="C402" s="62"/>
      <c r="D402" s="65"/>
      <c r="E402" s="62"/>
      <c r="F402" s="60"/>
      <c r="G402" s="60"/>
    </row>
    <row r="403" spans="1:7" x14ac:dyDescent="0.2">
      <c r="D403" s="63"/>
      <c r="E403" s="64"/>
    </row>
    <row r="405" spans="1:7" x14ac:dyDescent="0.2">
      <c r="A405" s="60"/>
      <c r="B405" s="60"/>
      <c r="C405" s="62"/>
      <c r="D405" s="60"/>
      <c r="E405" s="62"/>
      <c r="F405" s="60"/>
      <c r="G405" s="60"/>
    </row>
    <row r="410" spans="1:7" x14ac:dyDescent="0.2">
      <c r="A410" s="60"/>
      <c r="B410" s="60"/>
      <c r="C410" s="62"/>
      <c r="D410" s="60"/>
      <c r="E410" s="62"/>
      <c r="F410" s="60"/>
      <c r="G410" s="60"/>
    </row>
    <row r="416" spans="1:7" x14ac:dyDescent="0.2">
      <c r="A416" s="58"/>
      <c r="B416" s="58"/>
      <c r="C416" s="59"/>
      <c r="D416" s="58"/>
      <c r="E416" s="59"/>
      <c r="F416" s="58"/>
      <c r="G416" s="58"/>
    </row>
    <row r="418" spans="1:7" x14ac:dyDescent="0.2">
      <c r="A418" s="58"/>
      <c r="B418" s="58"/>
      <c r="C418" s="59"/>
      <c r="D418" s="58"/>
      <c r="E418" s="59"/>
      <c r="F418" s="58"/>
      <c r="G418" s="58"/>
    </row>
    <row r="419" spans="1:7" x14ac:dyDescent="0.2">
      <c r="A419" s="60"/>
      <c r="G419" s="61"/>
    </row>
    <row r="421" spans="1:7" x14ac:dyDescent="0.2">
      <c r="A421" s="60"/>
      <c r="B421" s="60"/>
      <c r="C421" s="62"/>
      <c r="D421" s="60"/>
      <c r="E421" s="62"/>
      <c r="F421" s="60"/>
      <c r="G421" s="60"/>
    </row>
    <row r="422" spans="1:7" x14ac:dyDescent="0.2">
      <c r="D422" s="63"/>
      <c r="E422" s="64"/>
    </row>
    <row r="424" spans="1:7" x14ac:dyDescent="0.2">
      <c r="A424" s="60"/>
      <c r="B424" s="60"/>
      <c r="C424" s="62"/>
      <c r="D424" s="65"/>
      <c r="E424" s="62"/>
      <c r="F424" s="60"/>
      <c r="G424" s="60"/>
    </row>
    <row r="425" spans="1:7" x14ac:dyDescent="0.2">
      <c r="D425" s="63"/>
      <c r="E425" s="64"/>
    </row>
    <row r="427" spans="1:7" x14ac:dyDescent="0.2">
      <c r="A427" s="60"/>
      <c r="B427" s="60"/>
      <c r="C427" s="62"/>
      <c r="D427" s="60"/>
      <c r="E427" s="62"/>
      <c r="F427" s="60"/>
      <c r="G427" s="60"/>
    </row>
    <row r="431" spans="1:7" x14ac:dyDescent="0.2">
      <c r="A431" s="60"/>
      <c r="B431" s="60"/>
      <c r="C431" s="62"/>
      <c r="D431" s="60"/>
      <c r="E431" s="62"/>
      <c r="F431" s="60"/>
      <c r="G431" s="60"/>
    </row>
    <row r="437" spans="1:7" x14ac:dyDescent="0.2">
      <c r="A437" s="58"/>
      <c r="B437" s="58"/>
      <c r="C437" s="59"/>
      <c r="D437" s="58"/>
      <c r="E437" s="59"/>
      <c r="F437" s="58"/>
      <c r="G437" s="58"/>
    </row>
    <row r="439" spans="1:7" x14ac:dyDescent="0.2">
      <c r="A439" s="58"/>
      <c r="B439" s="58"/>
      <c r="C439" s="59"/>
      <c r="D439" s="58"/>
      <c r="E439" s="59"/>
      <c r="F439" s="58"/>
      <c r="G439" s="58"/>
    </row>
    <row r="440" spans="1:7" x14ac:dyDescent="0.2">
      <c r="A440" s="60"/>
      <c r="G440" s="61"/>
    </row>
    <row r="442" spans="1:7" x14ac:dyDescent="0.2">
      <c r="A442" s="60"/>
      <c r="B442" s="60"/>
      <c r="C442" s="62"/>
      <c r="D442" s="60"/>
      <c r="E442" s="62"/>
      <c r="F442" s="60"/>
      <c r="G442" s="60"/>
    </row>
    <row r="443" spans="1:7" x14ac:dyDescent="0.2">
      <c r="D443" s="63"/>
      <c r="E443" s="64"/>
    </row>
    <row r="445" spans="1:7" x14ac:dyDescent="0.2">
      <c r="A445" s="60"/>
      <c r="B445" s="60"/>
      <c r="C445" s="62"/>
      <c r="D445" s="65"/>
      <c r="E445" s="62"/>
      <c r="F445" s="60"/>
      <c r="G445" s="60"/>
    </row>
    <row r="446" spans="1:7" x14ac:dyDescent="0.2">
      <c r="D446" s="63"/>
      <c r="E446" s="64"/>
    </row>
    <row r="448" spans="1:7" x14ac:dyDescent="0.2">
      <c r="A448" s="60"/>
      <c r="B448" s="60"/>
      <c r="C448" s="62"/>
      <c r="D448" s="60"/>
      <c r="E448" s="62"/>
      <c r="F448" s="60"/>
      <c r="G448" s="60"/>
    </row>
    <row r="452" spans="1:7" x14ac:dyDescent="0.2">
      <c r="A452" s="60"/>
      <c r="B452" s="60"/>
      <c r="C452" s="62"/>
      <c r="D452" s="60"/>
      <c r="E452" s="62"/>
      <c r="F452" s="60"/>
      <c r="G452" s="60"/>
    </row>
    <row r="458" spans="1:7" x14ac:dyDescent="0.2">
      <c r="A458" s="58"/>
      <c r="B458" s="58"/>
      <c r="C458" s="59"/>
      <c r="D458" s="58"/>
      <c r="E458" s="59"/>
      <c r="F458" s="58"/>
      <c r="G458" s="58"/>
    </row>
    <row r="460" spans="1:7" x14ac:dyDescent="0.2">
      <c r="A460" s="58"/>
      <c r="B460" s="58"/>
      <c r="C460" s="59"/>
      <c r="D460" s="58"/>
      <c r="E460" s="59"/>
      <c r="F460" s="58"/>
      <c r="G460" s="58"/>
    </row>
    <row r="461" spans="1:7" x14ac:dyDescent="0.2">
      <c r="A461" s="60"/>
      <c r="G461" s="61"/>
    </row>
    <row r="463" spans="1:7" x14ac:dyDescent="0.2">
      <c r="A463" s="60"/>
      <c r="B463" s="60"/>
      <c r="C463" s="62"/>
      <c r="D463" s="60"/>
      <c r="E463" s="62"/>
      <c r="F463" s="60"/>
      <c r="G463" s="60"/>
    </row>
    <row r="464" spans="1:7" x14ac:dyDescent="0.2">
      <c r="D464" s="63"/>
      <c r="E464" s="64"/>
    </row>
    <row r="466" spans="1:7" x14ac:dyDescent="0.2">
      <c r="A466" s="60"/>
      <c r="B466" s="60"/>
      <c r="C466" s="62"/>
      <c r="D466" s="65"/>
      <c r="E466" s="62"/>
      <c r="F466" s="60"/>
      <c r="G466" s="60"/>
    </row>
    <row r="467" spans="1:7" x14ac:dyDescent="0.2">
      <c r="D467" s="63"/>
      <c r="E467" s="64"/>
    </row>
    <row r="468" spans="1:7" x14ac:dyDescent="0.2">
      <c r="D468" s="63"/>
      <c r="E468" s="64"/>
    </row>
    <row r="470" spans="1:7" x14ac:dyDescent="0.2">
      <c r="A470" s="60"/>
      <c r="B470" s="60"/>
      <c r="C470" s="62"/>
      <c r="D470" s="60"/>
      <c r="E470" s="62"/>
      <c r="F470" s="60"/>
      <c r="G470" s="60"/>
    </row>
    <row r="474" spans="1:7" x14ac:dyDescent="0.2">
      <c r="A474" s="60"/>
      <c r="B474" s="60"/>
      <c r="C474" s="62"/>
      <c r="D474" s="60"/>
      <c r="E474" s="62"/>
      <c r="F474" s="60"/>
      <c r="G474" s="60"/>
    </row>
    <row r="480" spans="1:7" x14ac:dyDescent="0.2">
      <c r="A480" s="58"/>
      <c r="B480" s="58"/>
      <c r="C480" s="59"/>
      <c r="D480" s="58"/>
      <c r="E480" s="59"/>
      <c r="F480" s="58"/>
      <c r="G480" s="58"/>
    </row>
    <row r="482" spans="1:7" x14ac:dyDescent="0.2">
      <c r="A482" s="58"/>
      <c r="B482" s="58"/>
      <c r="C482" s="59"/>
      <c r="D482" s="58"/>
      <c r="E482" s="59"/>
      <c r="F482" s="58"/>
      <c r="G482" s="58"/>
    </row>
    <row r="483" spans="1:7" x14ac:dyDescent="0.2">
      <c r="A483" s="60"/>
      <c r="G483" s="61"/>
    </row>
    <row r="485" spans="1:7" x14ac:dyDescent="0.2">
      <c r="A485" s="60"/>
      <c r="B485" s="60"/>
      <c r="C485" s="62"/>
      <c r="D485" s="60"/>
      <c r="E485" s="62"/>
      <c r="F485" s="60"/>
      <c r="G485" s="60"/>
    </row>
    <row r="486" spans="1:7" x14ac:dyDescent="0.2">
      <c r="D486" s="63"/>
      <c r="E486" s="64"/>
    </row>
    <row r="488" spans="1:7" x14ac:dyDescent="0.2">
      <c r="A488" s="60"/>
      <c r="B488" s="60"/>
      <c r="C488" s="62"/>
      <c r="D488" s="65"/>
      <c r="E488" s="62"/>
      <c r="F488" s="60"/>
      <c r="G488" s="60"/>
    </row>
    <row r="489" spans="1:7" x14ac:dyDescent="0.2">
      <c r="D489" s="63"/>
      <c r="E489" s="64"/>
    </row>
    <row r="490" spans="1:7" x14ac:dyDescent="0.2">
      <c r="D490" s="63"/>
      <c r="E490" s="64"/>
    </row>
    <row r="492" spans="1:7" x14ac:dyDescent="0.2">
      <c r="A492" s="60"/>
      <c r="B492" s="60"/>
      <c r="C492" s="62"/>
      <c r="D492" s="60"/>
      <c r="E492" s="62"/>
      <c r="F492" s="60"/>
      <c r="G492" s="60"/>
    </row>
    <row r="496" spans="1:7" x14ac:dyDescent="0.2">
      <c r="A496" s="60"/>
      <c r="B496" s="60"/>
      <c r="C496" s="62"/>
      <c r="D496" s="60"/>
      <c r="E496" s="62"/>
      <c r="F496" s="60"/>
      <c r="G496" s="60"/>
    </row>
    <row r="502" spans="1:7" x14ac:dyDescent="0.2">
      <c r="A502" s="58"/>
      <c r="B502" s="58"/>
      <c r="C502" s="59"/>
      <c r="D502" s="58"/>
      <c r="E502" s="59"/>
      <c r="F502" s="58"/>
      <c r="G502" s="58"/>
    </row>
    <row r="504" spans="1:7" x14ac:dyDescent="0.2">
      <c r="A504" s="58"/>
      <c r="B504" s="58"/>
      <c r="C504" s="59"/>
      <c r="D504" s="58"/>
      <c r="E504" s="59"/>
      <c r="F504" s="58"/>
      <c r="G504" s="58"/>
    </row>
    <row r="505" spans="1:7" x14ac:dyDescent="0.2">
      <c r="A505" s="60"/>
      <c r="G505" s="61"/>
    </row>
    <row r="507" spans="1:7" x14ac:dyDescent="0.2">
      <c r="A507" s="60"/>
      <c r="B507" s="60"/>
      <c r="C507" s="62"/>
      <c r="D507" s="60"/>
      <c r="E507" s="62"/>
      <c r="F507" s="60"/>
      <c r="G507" s="60"/>
    </row>
    <row r="508" spans="1:7" x14ac:dyDescent="0.2">
      <c r="D508" s="63"/>
      <c r="E508" s="64"/>
    </row>
    <row r="509" spans="1:7" x14ac:dyDescent="0.2">
      <c r="D509" s="63"/>
      <c r="E509" s="64"/>
    </row>
    <row r="510" spans="1:7" x14ac:dyDescent="0.2">
      <c r="D510" s="63"/>
      <c r="E510" s="64"/>
    </row>
    <row r="512" spans="1:7" x14ac:dyDescent="0.2">
      <c r="A512" s="60"/>
      <c r="B512" s="60"/>
      <c r="C512" s="62"/>
      <c r="D512" s="65"/>
      <c r="E512" s="62"/>
      <c r="F512" s="60"/>
      <c r="G512" s="60"/>
    </row>
    <row r="513" spans="1:7" x14ac:dyDescent="0.2">
      <c r="D513" s="63"/>
      <c r="E513" s="64"/>
    </row>
    <row r="515" spans="1:7" x14ac:dyDescent="0.2">
      <c r="A515" s="60"/>
      <c r="B515" s="60"/>
      <c r="C515" s="62"/>
      <c r="D515" s="60"/>
      <c r="E515" s="62"/>
      <c r="F515" s="60"/>
      <c r="G515" s="60"/>
    </row>
    <row r="519" spans="1:7" x14ac:dyDescent="0.2">
      <c r="A519" s="60"/>
      <c r="B519" s="60"/>
      <c r="C519" s="62"/>
      <c r="D519" s="60"/>
      <c r="E519" s="62"/>
      <c r="F519" s="60"/>
      <c r="G519" s="60"/>
    </row>
    <row r="525" spans="1:7" x14ac:dyDescent="0.2">
      <c r="A525" s="58"/>
      <c r="B525" s="58"/>
      <c r="C525" s="59"/>
      <c r="D525" s="58"/>
      <c r="E525" s="59"/>
      <c r="F525" s="58"/>
      <c r="G525" s="58"/>
    </row>
    <row r="527" spans="1:7" x14ac:dyDescent="0.2">
      <c r="A527" s="58"/>
      <c r="B527" s="58"/>
      <c r="C527" s="59"/>
      <c r="D527" s="58"/>
      <c r="E527" s="59"/>
      <c r="F527" s="58"/>
      <c r="G527" s="58"/>
    </row>
    <row r="528" spans="1:7" x14ac:dyDescent="0.2">
      <c r="A528" s="60"/>
      <c r="G528" s="61"/>
    </row>
    <row r="530" spans="1:7" x14ac:dyDescent="0.2">
      <c r="A530" s="60"/>
      <c r="B530" s="60"/>
      <c r="C530" s="62"/>
      <c r="D530" s="60"/>
      <c r="E530" s="62"/>
      <c r="F530" s="60"/>
      <c r="G530" s="60"/>
    </row>
    <row r="531" spans="1:7" x14ac:dyDescent="0.2">
      <c r="D531" s="63"/>
      <c r="E531" s="64"/>
    </row>
    <row r="532" spans="1:7" x14ac:dyDescent="0.2">
      <c r="D532" s="63"/>
      <c r="E532" s="64"/>
    </row>
    <row r="533" spans="1:7" x14ac:dyDescent="0.2">
      <c r="D533" s="63"/>
      <c r="E533" s="64"/>
    </row>
    <row r="535" spans="1:7" x14ac:dyDescent="0.2">
      <c r="A535" s="60"/>
      <c r="B535" s="60"/>
      <c r="C535" s="62"/>
      <c r="D535" s="65"/>
      <c r="E535" s="62"/>
      <c r="F535" s="60"/>
      <c r="G535" s="60"/>
    </row>
    <row r="536" spans="1:7" x14ac:dyDescent="0.2">
      <c r="D536" s="63"/>
      <c r="E536" s="64"/>
    </row>
    <row r="538" spans="1:7" x14ac:dyDescent="0.2">
      <c r="A538" s="60"/>
      <c r="B538" s="60"/>
      <c r="C538" s="62"/>
      <c r="D538" s="60"/>
      <c r="E538" s="62"/>
      <c r="F538" s="60"/>
      <c r="G538" s="60"/>
    </row>
    <row r="542" spans="1:7" x14ac:dyDescent="0.2">
      <c r="A542" s="60"/>
      <c r="B542" s="60"/>
      <c r="C542" s="62"/>
      <c r="D542" s="60"/>
      <c r="E542" s="62"/>
      <c r="F542" s="60"/>
      <c r="G542" s="60"/>
    </row>
    <row r="548" spans="1:7" x14ac:dyDescent="0.2">
      <c r="A548" s="58"/>
      <c r="B548" s="58"/>
      <c r="C548" s="59"/>
      <c r="D548" s="58"/>
      <c r="E548" s="59"/>
      <c r="F548" s="58"/>
      <c r="G548" s="58"/>
    </row>
    <row r="550" spans="1:7" x14ac:dyDescent="0.2">
      <c r="A550" s="58"/>
      <c r="B550" s="58"/>
      <c r="C550" s="59"/>
      <c r="D550" s="58"/>
      <c r="E550" s="59"/>
      <c r="F550" s="58"/>
      <c r="G550" s="58"/>
    </row>
    <row r="551" spans="1:7" x14ac:dyDescent="0.2">
      <c r="A551" s="60"/>
      <c r="G551" s="61"/>
    </row>
    <row r="553" spans="1:7" x14ac:dyDescent="0.2">
      <c r="A553" s="60"/>
      <c r="B553" s="60"/>
      <c r="C553" s="62"/>
      <c r="D553" s="60"/>
      <c r="E553" s="62"/>
      <c r="F553" s="60"/>
      <c r="G553" s="60"/>
    </row>
    <row r="554" spans="1:7" x14ac:dyDescent="0.2">
      <c r="D554" s="63"/>
      <c r="E554" s="64"/>
    </row>
    <row r="556" spans="1:7" x14ac:dyDescent="0.2">
      <c r="A556" s="60"/>
      <c r="B556" s="60"/>
      <c r="C556" s="62"/>
      <c r="D556" s="65"/>
      <c r="E556" s="62"/>
      <c r="F556" s="60"/>
      <c r="G556" s="60"/>
    </row>
    <row r="557" spans="1:7" x14ac:dyDescent="0.2">
      <c r="D557" s="63"/>
      <c r="E557" s="64"/>
    </row>
    <row r="559" spans="1:7" x14ac:dyDescent="0.2">
      <c r="A559" s="60"/>
      <c r="B559" s="60"/>
      <c r="C559" s="62"/>
      <c r="D559" s="60"/>
      <c r="E559" s="62"/>
      <c r="F559" s="60"/>
      <c r="G559" s="60"/>
    </row>
    <row r="563" spans="1:7" x14ac:dyDescent="0.2">
      <c r="A563" s="60"/>
      <c r="B563" s="60"/>
      <c r="C563" s="62"/>
      <c r="D563" s="60"/>
      <c r="E563" s="62"/>
      <c r="F563" s="60"/>
      <c r="G563" s="60"/>
    </row>
    <row r="569" spans="1:7" x14ac:dyDescent="0.2">
      <c r="A569" s="58"/>
      <c r="B569" s="58"/>
      <c r="C569" s="59"/>
      <c r="D569" s="58"/>
      <c r="E569" s="59"/>
      <c r="F569" s="58"/>
      <c r="G569" s="58"/>
    </row>
    <row r="571" spans="1:7" x14ac:dyDescent="0.2">
      <c r="A571" s="58"/>
      <c r="B571" s="58"/>
      <c r="C571" s="59"/>
      <c r="D571" s="58"/>
      <c r="E571" s="59"/>
      <c r="F571" s="58"/>
      <c r="G571" s="58"/>
    </row>
    <row r="572" spans="1:7" x14ac:dyDescent="0.2">
      <c r="A572" s="60"/>
      <c r="G572" s="61"/>
    </row>
    <row r="574" spans="1:7" x14ac:dyDescent="0.2">
      <c r="A574" s="60"/>
      <c r="B574" s="60"/>
      <c r="C574" s="62"/>
      <c r="D574" s="60"/>
      <c r="E574" s="62"/>
      <c r="F574" s="60"/>
      <c r="G574" s="60"/>
    </row>
    <row r="575" spans="1:7" x14ac:dyDescent="0.2">
      <c r="D575" s="63"/>
      <c r="E575" s="64"/>
    </row>
    <row r="577" spans="1:7" x14ac:dyDescent="0.2">
      <c r="A577" s="60"/>
      <c r="B577" s="60"/>
      <c r="C577" s="62"/>
      <c r="D577" s="65"/>
      <c r="E577" s="62"/>
      <c r="F577" s="60"/>
      <c r="G577" s="60"/>
    </row>
    <row r="578" spans="1:7" x14ac:dyDescent="0.2">
      <c r="D578" s="63"/>
      <c r="E578" s="64"/>
    </row>
    <row r="580" spans="1:7" x14ac:dyDescent="0.2">
      <c r="A580" s="60"/>
      <c r="B580" s="60"/>
      <c r="C580" s="62"/>
      <c r="D580" s="60"/>
      <c r="E580" s="62"/>
      <c r="F580" s="60"/>
      <c r="G580" s="60"/>
    </row>
    <row r="584" spans="1:7" x14ac:dyDescent="0.2">
      <c r="A584" s="60"/>
      <c r="B584" s="60"/>
      <c r="C584" s="62"/>
      <c r="D584" s="60"/>
      <c r="E584" s="62"/>
      <c r="F584" s="60"/>
      <c r="G584" s="60"/>
    </row>
    <row r="590" spans="1:7" x14ac:dyDescent="0.2">
      <c r="A590" s="58"/>
      <c r="B590" s="58"/>
      <c r="C590" s="59"/>
      <c r="D590" s="58"/>
      <c r="E590" s="59"/>
      <c r="F590" s="58"/>
      <c r="G590" s="58"/>
    </row>
    <row r="592" spans="1:7" x14ac:dyDescent="0.2">
      <c r="A592" s="58"/>
      <c r="B592" s="58"/>
      <c r="C592" s="59"/>
      <c r="D592" s="58"/>
      <c r="E592" s="59"/>
      <c r="F592" s="58"/>
      <c r="G592" s="58"/>
    </row>
    <row r="593" spans="1:7" x14ac:dyDescent="0.2">
      <c r="A593" s="60"/>
      <c r="G593" s="61"/>
    </row>
    <row r="595" spans="1:7" x14ac:dyDescent="0.2">
      <c r="A595" s="60"/>
      <c r="B595" s="60"/>
      <c r="C595" s="62"/>
      <c r="D595" s="60"/>
      <c r="E595" s="62"/>
      <c r="F595" s="60"/>
      <c r="G595" s="60"/>
    </row>
    <row r="596" spans="1:7" x14ac:dyDescent="0.2">
      <c r="D596" s="63"/>
      <c r="E596" s="64"/>
    </row>
    <row r="598" spans="1:7" x14ac:dyDescent="0.2">
      <c r="A598" s="60"/>
      <c r="B598" s="60"/>
      <c r="C598" s="62"/>
      <c r="D598" s="65"/>
      <c r="E598" s="62"/>
      <c r="F598" s="60"/>
      <c r="G598" s="60"/>
    </row>
    <row r="599" spans="1:7" x14ac:dyDescent="0.2">
      <c r="D599" s="63"/>
      <c r="E599" s="64"/>
    </row>
    <row r="600" spans="1:7" x14ac:dyDescent="0.2">
      <c r="D600" s="63"/>
      <c r="E600" s="64"/>
    </row>
    <row r="602" spans="1:7" x14ac:dyDescent="0.2">
      <c r="A602" s="60"/>
      <c r="B602" s="60"/>
      <c r="C602" s="62"/>
      <c r="D602" s="60"/>
      <c r="E602" s="62"/>
      <c r="F602" s="60"/>
      <c r="G602" s="60"/>
    </row>
    <row r="606" spans="1:7" x14ac:dyDescent="0.2">
      <c r="A606" s="60"/>
      <c r="B606" s="60"/>
      <c r="C606" s="62"/>
      <c r="D606" s="60"/>
      <c r="E606" s="62"/>
      <c r="F606" s="60"/>
      <c r="G606" s="60"/>
    </row>
    <row r="612" spans="1:7" x14ac:dyDescent="0.2">
      <c r="A612" s="58"/>
      <c r="B612" s="58"/>
      <c r="C612" s="59"/>
      <c r="D612" s="58"/>
      <c r="E612" s="59"/>
      <c r="F612" s="58"/>
      <c r="G612" s="58"/>
    </row>
    <row r="614" spans="1:7" x14ac:dyDescent="0.2">
      <c r="A614" s="58"/>
      <c r="B614" s="58"/>
      <c r="C614" s="59"/>
      <c r="D614" s="58"/>
      <c r="E614" s="59"/>
      <c r="F614" s="58"/>
      <c r="G614" s="58"/>
    </row>
    <row r="615" spans="1:7" x14ac:dyDescent="0.2">
      <c r="A615" s="60"/>
      <c r="G615" s="61"/>
    </row>
    <row r="617" spans="1:7" x14ac:dyDescent="0.2">
      <c r="A617" s="60"/>
      <c r="B617" s="60"/>
      <c r="C617" s="62"/>
      <c r="D617" s="60"/>
      <c r="E617" s="62"/>
      <c r="F617" s="60"/>
      <c r="G617" s="60"/>
    </row>
    <row r="618" spans="1:7" x14ac:dyDescent="0.2">
      <c r="D618" s="63"/>
      <c r="E618" s="64"/>
    </row>
    <row r="620" spans="1:7" x14ac:dyDescent="0.2">
      <c r="A620" s="60"/>
      <c r="B620" s="60"/>
      <c r="C620" s="62"/>
      <c r="D620" s="60"/>
      <c r="E620" s="62"/>
      <c r="F620" s="60"/>
      <c r="G620" s="60"/>
    </row>
    <row r="621" spans="1:7" x14ac:dyDescent="0.2">
      <c r="D621" s="63"/>
      <c r="E621" s="64"/>
    </row>
    <row r="622" spans="1:7" x14ac:dyDescent="0.2">
      <c r="D622" s="63"/>
      <c r="E622" s="64"/>
    </row>
    <row r="624" spans="1:7" x14ac:dyDescent="0.2">
      <c r="A624" s="60"/>
      <c r="B624" s="60"/>
      <c r="C624" s="62"/>
      <c r="D624" s="65"/>
      <c r="E624" s="62"/>
      <c r="F624" s="60"/>
      <c r="G624" s="60"/>
    </row>
    <row r="625" spans="1:7" x14ac:dyDescent="0.2">
      <c r="D625" s="63"/>
      <c r="E625" s="64"/>
    </row>
    <row r="627" spans="1:7" x14ac:dyDescent="0.2">
      <c r="A627" s="60"/>
      <c r="B627" s="60"/>
      <c r="C627" s="62"/>
      <c r="D627" s="60"/>
      <c r="E627" s="62"/>
      <c r="F627" s="60"/>
      <c r="G627" s="60"/>
    </row>
    <row r="632" spans="1:7" x14ac:dyDescent="0.2">
      <c r="A632" s="60"/>
      <c r="B632" s="60"/>
      <c r="C632" s="62"/>
      <c r="D632" s="60"/>
      <c r="E632" s="62"/>
      <c r="F632" s="60"/>
      <c r="G632" s="60"/>
    </row>
    <row r="638" spans="1:7" x14ac:dyDescent="0.2">
      <c r="A638" s="58"/>
      <c r="B638" s="58"/>
      <c r="C638" s="59"/>
      <c r="D638" s="58"/>
      <c r="E638" s="59"/>
      <c r="F638" s="58"/>
      <c r="G638" s="58"/>
    </row>
    <row r="640" spans="1:7" x14ac:dyDescent="0.2">
      <c r="A640" s="58"/>
      <c r="B640" s="58"/>
      <c r="C640" s="59"/>
      <c r="D640" s="58"/>
      <c r="E640" s="59"/>
      <c r="F640" s="58"/>
      <c r="G640" s="58"/>
    </row>
    <row r="641" spans="1:7" x14ac:dyDescent="0.2">
      <c r="A641" s="60"/>
      <c r="G641" s="61"/>
    </row>
    <row r="643" spans="1:7" x14ac:dyDescent="0.2">
      <c r="A643" s="60"/>
      <c r="B643" s="60"/>
      <c r="C643" s="62"/>
      <c r="D643" s="60"/>
      <c r="E643" s="62"/>
      <c r="F643" s="60"/>
      <c r="G643" s="60"/>
    </row>
    <row r="644" spans="1:7" x14ac:dyDescent="0.2">
      <c r="D644" s="63"/>
      <c r="E644" s="64"/>
    </row>
    <row r="646" spans="1:7" x14ac:dyDescent="0.2">
      <c r="A646" s="60"/>
      <c r="B646" s="60"/>
      <c r="C646" s="62"/>
      <c r="D646" s="65"/>
      <c r="E646" s="62"/>
      <c r="F646" s="60"/>
      <c r="G646" s="60"/>
    </row>
    <row r="647" spans="1:7" x14ac:dyDescent="0.2">
      <c r="D647" s="63"/>
      <c r="E647" s="64"/>
    </row>
    <row r="648" spans="1:7" x14ac:dyDescent="0.2">
      <c r="D648" s="63"/>
      <c r="E648" s="64"/>
    </row>
    <row r="650" spans="1:7" x14ac:dyDescent="0.2">
      <c r="A650" s="60"/>
      <c r="B650" s="60"/>
      <c r="C650" s="62"/>
      <c r="D650" s="60"/>
      <c r="E650" s="62"/>
      <c r="F650" s="60"/>
      <c r="G650" s="60"/>
    </row>
    <row r="654" spans="1:7" x14ac:dyDescent="0.2">
      <c r="A654" s="60"/>
      <c r="B654" s="60"/>
      <c r="C654" s="62"/>
      <c r="D654" s="60"/>
      <c r="E654" s="62"/>
      <c r="F654" s="60"/>
      <c r="G654" s="60"/>
    </row>
    <row r="660" spans="1:7" x14ac:dyDescent="0.2">
      <c r="A660" s="58"/>
      <c r="B660" s="58"/>
      <c r="C660" s="59"/>
      <c r="D660" s="58"/>
      <c r="E660" s="59"/>
      <c r="F660" s="58"/>
      <c r="G660" s="58"/>
    </row>
    <row r="662" spans="1:7" x14ac:dyDescent="0.2">
      <c r="A662" s="58"/>
      <c r="B662" s="58"/>
      <c r="C662" s="59"/>
      <c r="D662" s="58"/>
      <c r="E662" s="59"/>
      <c r="F662" s="58"/>
      <c r="G662" s="58"/>
    </row>
    <row r="663" spans="1:7" x14ac:dyDescent="0.2">
      <c r="A663" s="60"/>
      <c r="G663" s="61"/>
    </row>
    <row r="665" spans="1:7" x14ac:dyDescent="0.2">
      <c r="A665" s="60"/>
      <c r="B665" s="60"/>
      <c r="C665" s="62"/>
      <c r="D665" s="60"/>
      <c r="E665" s="62"/>
      <c r="F665" s="60"/>
      <c r="G665" s="60"/>
    </row>
    <row r="666" spans="1:7" x14ac:dyDescent="0.2">
      <c r="D666" s="63"/>
      <c r="E666" s="64"/>
    </row>
    <row r="668" spans="1:7" x14ac:dyDescent="0.2">
      <c r="A668" s="60"/>
      <c r="B668" s="60"/>
      <c r="C668" s="62"/>
      <c r="D668" s="60"/>
      <c r="E668" s="62"/>
      <c r="F668" s="60"/>
      <c r="G668" s="60"/>
    </row>
    <row r="669" spans="1:7" x14ac:dyDescent="0.2">
      <c r="D669" s="63"/>
      <c r="E669" s="64"/>
    </row>
    <row r="670" spans="1:7" x14ac:dyDescent="0.2">
      <c r="D670" s="63"/>
      <c r="E670" s="64"/>
    </row>
    <row r="672" spans="1:7" x14ac:dyDescent="0.2">
      <c r="A672" s="60"/>
      <c r="B672" s="60"/>
      <c r="C672" s="62"/>
      <c r="D672" s="65"/>
      <c r="E672" s="62"/>
      <c r="F672" s="60"/>
      <c r="G672" s="60"/>
    </row>
    <row r="673" spans="1:7" x14ac:dyDescent="0.2">
      <c r="D673" s="63"/>
      <c r="E673" s="64"/>
    </row>
    <row r="675" spans="1:7" x14ac:dyDescent="0.2">
      <c r="A675" s="60"/>
      <c r="B675" s="60"/>
      <c r="C675" s="62"/>
      <c r="D675" s="60"/>
      <c r="E675" s="62"/>
      <c r="F675" s="60"/>
      <c r="G675" s="60"/>
    </row>
    <row r="680" spans="1:7" x14ac:dyDescent="0.2">
      <c r="A680" s="60"/>
      <c r="B680" s="60"/>
      <c r="C680" s="62"/>
      <c r="D680" s="60"/>
      <c r="E680" s="62"/>
      <c r="F680" s="60"/>
      <c r="G680" s="60"/>
    </row>
    <row r="686" spans="1:7" x14ac:dyDescent="0.2">
      <c r="A686" s="58"/>
      <c r="B686" s="58"/>
      <c r="C686" s="59"/>
      <c r="D686" s="58"/>
      <c r="E686" s="59"/>
      <c r="F686" s="58"/>
      <c r="G686" s="58"/>
    </row>
    <row r="688" spans="1:7" x14ac:dyDescent="0.2">
      <c r="A688" s="58"/>
      <c r="B688" s="58"/>
      <c r="C688" s="59"/>
      <c r="D688" s="58"/>
      <c r="E688" s="59"/>
      <c r="F688" s="58"/>
      <c r="G688" s="58"/>
    </row>
    <row r="689" spans="1:7" x14ac:dyDescent="0.2">
      <c r="A689" s="60"/>
      <c r="G689" s="61"/>
    </row>
    <row r="691" spans="1:7" x14ac:dyDescent="0.2">
      <c r="A691" s="60"/>
      <c r="B691" s="60"/>
      <c r="C691" s="62"/>
      <c r="D691" s="60"/>
      <c r="E691" s="62"/>
      <c r="F691" s="60"/>
      <c r="G691" s="60"/>
    </row>
    <row r="692" spans="1:7" x14ac:dyDescent="0.2">
      <c r="D692" s="63"/>
      <c r="E692" s="64"/>
    </row>
    <row r="694" spans="1:7" x14ac:dyDescent="0.2">
      <c r="A694" s="60"/>
      <c r="B694" s="60"/>
      <c r="C694" s="62"/>
      <c r="D694" s="60"/>
      <c r="E694" s="62"/>
      <c r="F694" s="60"/>
      <c r="G694" s="60"/>
    </row>
    <row r="695" spans="1:7" x14ac:dyDescent="0.2">
      <c r="D695" s="63"/>
      <c r="E695" s="64"/>
    </row>
    <row r="696" spans="1:7" x14ac:dyDescent="0.2">
      <c r="D696" s="63"/>
      <c r="E696" s="64"/>
    </row>
    <row r="698" spans="1:7" x14ac:dyDescent="0.2">
      <c r="A698" s="60"/>
      <c r="B698" s="60"/>
      <c r="C698" s="62"/>
      <c r="D698" s="65"/>
      <c r="E698" s="62"/>
      <c r="F698" s="60"/>
      <c r="G698" s="60"/>
    </row>
    <row r="699" spans="1:7" x14ac:dyDescent="0.2">
      <c r="D699" s="63"/>
      <c r="E699" s="64"/>
    </row>
    <row r="701" spans="1:7" x14ac:dyDescent="0.2">
      <c r="A701" s="60"/>
      <c r="B701" s="60"/>
      <c r="C701" s="62"/>
      <c r="D701" s="60"/>
      <c r="E701" s="62"/>
      <c r="F701" s="60"/>
      <c r="G701" s="60"/>
    </row>
    <row r="706" spans="1:7" x14ac:dyDescent="0.2">
      <c r="A706" s="60"/>
      <c r="B706" s="60"/>
      <c r="C706" s="62"/>
      <c r="D706" s="60"/>
      <c r="E706" s="62"/>
      <c r="F706" s="60"/>
      <c r="G706" s="60"/>
    </row>
    <row r="712" spans="1:7" x14ac:dyDescent="0.2">
      <c r="A712" s="58"/>
      <c r="B712" s="58"/>
      <c r="C712" s="59"/>
      <c r="D712" s="58"/>
      <c r="E712" s="59"/>
      <c r="F712" s="58"/>
      <c r="G712" s="58"/>
    </row>
    <row r="714" spans="1:7" x14ac:dyDescent="0.2">
      <c r="A714" s="58"/>
      <c r="B714" s="58"/>
      <c r="C714" s="59"/>
      <c r="D714" s="58"/>
      <c r="E714" s="59"/>
      <c r="F714" s="58"/>
      <c r="G714" s="58"/>
    </row>
    <row r="715" spans="1:7" x14ac:dyDescent="0.2">
      <c r="A715" s="60"/>
      <c r="G715" s="61"/>
    </row>
    <row r="717" spans="1:7" x14ac:dyDescent="0.2">
      <c r="A717" s="60"/>
      <c r="B717" s="60"/>
      <c r="C717" s="62"/>
      <c r="D717" s="60"/>
      <c r="E717" s="62"/>
      <c r="F717" s="60"/>
      <c r="G717" s="60"/>
    </row>
    <row r="718" spans="1:7" x14ac:dyDescent="0.2">
      <c r="D718" s="63"/>
      <c r="E718" s="64"/>
    </row>
    <row r="720" spans="1:7" x14ac:dyDescent="0.2">
      <c r="A720" s="60"/>
      <c r="B720" s="60"/>
      <c r="C720" s="62"/>
      <c r="D720" s="65"/>
      <c r="E720" s="62"/>
      <c r="F720" s="60"/>
      <c r="G720" s="60"/>
    </row>
    <row r="721" spans="1:7" x14ac:dyDescent="0.2">
      <c r="D721" s="63"/>
      <c r="E721" s="64"/>
    </row>
    <row r="722" spans="1:7" x14ac:dyDescent="0.2">
      <c r="D722" s="63"/>
      <c r="E722" s="64"/>
    </row>
    <row r="724" spans="1:7" x14ac:dyDescent="0.2">
      <c r="A724" s="60"/>
      <c r="B724" s="60"/>
      <c r="C724" s="62"/>
      <c r="D724" s="60"/>
      <c r="E724" s="62"/>
      <c r="F724" s="60"/>
      <c r="G724" s="60"/>
    </row>
    <row r="728" spans="1:7" x14ac:dyDescent="0.2">
      <c r="A728" s="60"/>
      <c r="B728" s="60"/>
      <c r="C728" s="62"/>
      <c r="D728" s="60"/>
      <c r="E728" s="62"/>
      <c r="F728" s="60"/>
      <c r="G728" s="60"/>
    </row>
    <row r="734" spans="1:7" x14ac:dyDescent="0.2">
      <c r="A734" s="58"/>
      <c r="B734" s="58"/>
      <c r="C734" s="59"/>
      <c r="D734" s="58"/>
      <c r="E734" s="59"/>
      <c r="F734" s="58"/>
      <c r="G734" s="58"/>
    </row>
    <row r="736" spans="1:7" x14ac:dyDescent="0.2">
      <c r="A736" s="58"/>
      <c r="B736" s="58"/>
      <c r="C736" s="59"/>
      <c r="D736" s="58"/>
      <c r="E736" s="59"/>
      <c r="F736" s="58"/>
      <c r="G736" s="58"/>
    </row>
    <row r="737" spans="1:7" x14ac:dyDescent="0.2">
      <c r="A737" s="60"/>
      <c r="G737" s="61"/>
    </row>
    <row r="739" spans="1:7" x14ac:dyDescent="0.2">
      <c r="A739" s="60"/>
      <c r="B739" s="60"/>
      <c r="C739" s="62"/>
      <c r="D739" s="60"/>
      <c r="E739" s="62"/>
      <c r="F739" s="60"/>
      <c r="G739" s="60"/>
    </row>
    <row r="740" spans="1:7" x14ac:dyDescent="0.2">
      <c r="D740" s="63"/>
      <c r="E740" s="64"/>
    </row>
    <row r="742" spans="1:7" x14ac:dyDescent="0.2">
      <c r="A742" s="60"/>
      <c r="B742" s="60"/>
      <c r="C742" s="62"/>
      <c r="D742" s="60"/>
      <c r="E742" s="62"/>
      <c r="F742" s="60"/>
      <c r="G742" s="60"/>
    </row>
    <row r="743" spans="1:7" x14ac:dyDescent="0.2">
      <c r="D743" s="63"/>
      <c r="E743" s="64"/>
    </row>
    <row r="744" spans="1:7" x14ac:dyDescent="0.2">
      <c r="D744" s="63"/>
      <c r="E744" s="64"/>
    </row>
    <row r="746" spans="1:7" x14ac:dyDescent="0.2">
      <c r="A746" s="60"/>
      <c r="B746" s="60"/>
      <c r="C746" s="62"/>
      <c r="D746" s="65"/>
      <c r="E746" s="62"/>
      <c r="F746" s="60"/>
      <c r="G746" s="60"/>
    </row>
    <row r="747" spans="1:7" x14ac:dyDescent="0.2">
      <c r="D747" s="63"/>
      <c r="E747" s="64"/>
    </row>
    <row r="749" spans="1:7" x14ac:dyDescent="0.2">
      <c r="A749" s="60"/>
      <c r="B749" s="60"/>
      <c r="C749" s="62"/>
      <c r="D749" s="60"/>
      <c r="E749" s="62"/>
      <c r="F749" s="60"/>
      <c r="G749" s="60"/>
    </row>
    <row r="754" spans="1:7" x14ac:dyDescent="0.2">
      <c r="A754" s="60"/>
      <c r="B754" s="60"/>
      <c r="C754" s="62"/>
      <c r="D754" s="60"/>
      <c r="E754" s="62"/>
      <c r="F754" s="60"/>
      <c r="G754" s="60"/>
    </row>
    <row r="760" spans="1:7" x14ac:dyDescent="0.2">
      <c r="A760" s="58"/>
      <c r="B760" s="58"/>
      <c r="C760" s="59"/>
      <c r="D760" s="58"/>
      <c r="E760" s="59"/>
      <c r="F760" s="58"/>
      <c r="G760" s="58"/>
    </row>
    <row r="762" spans="1:7" x14ac:dyDescent="0.2">
      <c r="A762" s="58"/>
      <c r="B762" s="58"/>
      <c r="C762" s="59"/>
      <c r="D762" s="58"/>
      <c r="E762" s="59"/>
      <c r="F762" s="58"/>
      <c r="G762" s="58"/>
    </row>
    <row r="763" spans="1:7" x14ac:dyDescent="0.2">
      <c r="A763" s="60"/>
      <c r="G763" s="61"/>
    </row>
    <row r="765" spans="1:7" x14ac:dyDescent="0.2">
      <c r="A765" s="60"/>
      <c r="B765" s="60"/>
      <c r="C765" s="62"/>
      <c r="D765" s="60"/>
      <c r="E765" s="62"/>
      <c r="F765" s="60"/>
      <c r="G765" s="60"/>
    </row>
    <row r="766" spans="1:7" x14ac:dyDescent="0.2">
      <c r="D766" s="63"/>
      <c r="E766" s="64"/>
    </row>
    <row r="768" spans="1:7" x14ac:dyDescent="0.2">
      <c r="A768" s="60"/>
      <c r="B768" s="60"/>
      <c r="C768" s="62"/>
      <c r="D768" s="60"/>
      <c r="E768" s="62"/>
      <c r="F768" s="60"/>
      <c r="G768" s="60"/>
    </row>
    <row r="769" spans="1:7" x14ac:dyDescent="0.2">
      <c r="D769" s="63"/>
      <c r="E769" s="64"/>
    </row>
    <row r="770" spans="1:7" x14ac:dyDescent="0.2">
      <c r="D770" s="63"/>
      <c r="E770" s="64"/>
    </row>
    <row r="772" spans="1:7" x14ac:dyDescent="0.2">
      <c r="A772" s="60"/>
      <c r="B772" s="60"/>
      <c r="C772" s="62"/>
      <c r="D772" s="65"/>
      <c r="E772" s="62"/>
      <c r="F772" s="60"/>
      <c r="G772" s="60"/>
    </row>
    <row r="773" spans="1:7" x14ac:dyDescent="0.2">
      <c r="D773" s="63"/>
      <c r="E773" s="64"/>
    </row>
    <row r="775" spans="1:7" x14ac:dyDescent="0.2">
      <c r="A775" s="60"/>
      <c r="B775" s="60"/>
      <c r="C775" s="62"/>
      <c r="D775" s="60"/>
      <c r="E775" s="62"/>
      <c r="F775" s="60"/>
      <c r="G775" s="60"/>
    </row>
    <row r="780" spans="1:7" x14ac:dyDescent="0.2">
      <c r="A780" s="60"/>
      <c r="B780" s="60"/>
      <c r="C780" s="62"/>
      <c r="D780" s="60"/>
      <c r="E780" s="62"/>
      <c r="F780" s="60"/>
      <c r="G780" s="60"/>
    </row>
    <row r="786" spans="1:7" x14ac:dyDescent="0.2">
      <c r="A786" s="58"/>
      <c r="B786" s="58"/>
      <c r="C786" s="59"/>
      <c r="D786" s="58"/>
      <c r="E786" s="59"/>
      <c r="F786" s="58"/>
      <c r="G786" s="58"/>
    </row>
    <row r="788" spans="1:7" x14ac:dyDescent="0.2">
      <c r="A788" s="58"/>
      <c r="B788" s="58"/>
      <c r="C788" s="59"/>
      <c r="D788" s="58"/>
      <c r="E788" s="59"/>
      <c r="F788" s="58"/>
      <c r="G788" s="58"/>
    </row>
    <row r="789" spans="1:7" x14ac:dyDescent="0.2">
      <c r="A789" s="60"/>
      <c r="G789" s="61"/>
    </row>
    <row r="791" spans="1:7" x14ac:dyDescent="0.2">
      <c r="A791" s="60"/>
      <c r="B791" s="60"/>
      <c r="C791" s="62"/>
      <c r="D791" s="60"/>
      <c r="E791" s="62"/>
      <c r="F791" s="60"/>
      <c r="G791" s="60"/>
    </row>
    <row r="792" spans="1:7" x14ac:dyDescent="0.2">
      <c r="D792" s="63"/>
      <c r="E792" s="64"/>
    </row>
    <row r="794" spans="1:7" x14ac:dyDescent="0.2">
      <c r="A794" s="60"/>
      <c r="B794" s="60"/>
      <c r="C794" s="62"/>
      <c r="D794" s="65"/>
      <c r="E794" s="62"/>
      <c r="F794" s="60"/>
      <c r="G794" s="60"/>
    </row>
    <row r="795" spans="1:7" x14ac:dyDescent="0.2">
      <c r="D795" s="63"/>
      <c r="E795" s="64"/>
    </row>
    <row r="797" spans="1:7" x14ac:dyDescent="0.2">
      <c r="A797" s="60"/>
      <c r="B797" s="60"/>
      <c r="C797" s="62"/>
      <c r="D797" s="60"/>
      <c r="E797" s="62"/>
      <c r="F797" s="60"/>
      <c r="G797" s="60"/>
    </row>
    <row r="801" spans="1:7" x14ac:dyDescent="0.2">
      <c r="A801" s="60"/>
      <c r="B801" s="60"/>
      <c r="C801" s="62"/>
      <c r="D801" s="60"/>
      <c r="E801" s="62"/>
      <c r="F801" s="60"/>
      <c r="G801" s="60"/>
    </row>
    <row r="807" spans="1:7" x14ac:dyDescent="0.2">
      <c r="A807" s="58"/>
      <c r="B807" s="58"/>
      <c r="C807" s="59"/>
      <c r="D807" s="58"/>
      <c r="E807" s="59"/>
      <c r="F807" s="58"/>
      <c r="G807" s="58"/>
    </row>
    <row r="809" spans="1:7" x14ac:dyDescent="0.2">
      <c r="A809" s="58"/>
      <c r="B809" s="58"/>
      <c r="C809" s="59"/>
      <c r="D809" s="58"/>
      <c r="E809" s="59"/>
      <c r="F809" s="58"/>
      <c r="G809" s="58"/>
    </row>
    <row r="810" spans="1:7" x14ac:dyDescent="0.2">
      <c r="A810" s="60"/>
      <c r="G810" s="61"/>
    </row>
    <row r="812" spans="1:7" x14ac:dyDescent="0.2">
      <c r="A812" s="60"/>
      <c r="B812" s="60"/>
      <c r="C812" s="62"/>
      <c r="D812" s="60"/>
      <c r="E812" s="62"/>
      <c r="F812" s="60"/>
      <c r="G812" s="60"/>
    </row>
    <row r="813" spans="1:7" x14ac:dyDescent="0.2">
      <c r="D813" s="63"/>
      <c r="E813" s="64"/>
    </row>
    <row r="815" spans="1:7" x14ac:dyDescent="0.2">
      <c r="A815" s="60"/>
      <c r="B815" s="60"/>
      <c r="C815" s="62"/>
      <c r="D815" s="65"/>
      <c r="E815" s="62"/>
      <c r="F815" s="60"/>
      <c r="G815" s="60"/>
    </row>
    <row r="816" spans="1:7" x14ac:dyDescent="0.2">
      <c r="D816" s="63"/>
      <c r="E816" s="64"/>
    </row>
    <row r="818" spans="1:7" x14ac:dyDescent="0.2">
      <c r="A818" s="60"/>
      <c r="B818" s="60"/>
      <c r="C818" s="62"/>
      <c r="D818" s="60"/>
      <c r="E818" s="62"/>
      <c r="F818" s="60"/>
      <c r="G818" s="60"/>
    </row>
    <row r="822" spans="1:7" x14ac:dyDescent="0.2">
      <c r="A822" s="60"/>
      <c r="B822" s="60"/>
      <c r="C822" s="62"/>
      <c r="D822" s="60"/>
      <c r="E822" s="62"/>
      <c r="F822" s="60"/>
      <c r="G822" s="60"/>
    </row>
    <row r="828" spans="1:7" x14ac:dyDescent="0.2">
      <c r="A828" s="58"/>
      <c r="B828" s="58"/>
      <c r="C828" s="59"/>
      <c r="D828" s="58"/>
      <c r="E828" s="59"/>
      <c r="F828" s="58"/>
      <c r="G828" s="58"/>
    </row>
    <row r="830" spans="1:7" x14ac:dyDescent="0.2">
      <c r="A830" s="58"/>
      <c r="B830" s="58"/>
      <c r="C830" s="59"/>
      <c r="D830" s="58"/>
      <c r="E830" s="59"/>
      <c r="F830" s="58"/>
      <c r="G830" s="58"/>
    </row>
    <row r="831" spans="1:7" x14ac:dyDescent="0.2">
      <c r="A831" s="60"/>
      <c r="G831" s="61"/>
    </row>
    <row r="833" spans="1:7" x14ac:dyDescent="0.2">
      <c r="A833" s="60"/>
      <c r="B833" s="60"/>
      <c r="C833" s="62"/>
      <c r="D833" s="60"/>
      <c r="E833" s="62"/>
      <c r="F833" s="60"/>
      <c r="G833" s="60"/>
    </row>
    <row r="834" spans="1:7" x14ac:dyDescent="0.2">
      <c r="D834" s="63"/>
      <c r="E834" s="64"/>
    </row>
    <row r="835" spans="1:7" x14ac:dyDescent="0.2">
      <c r="D835" s="63"/>
      <c r="E835" s="64"/>
    </row>
    <row r="837" spans="1:7" x14ac:dyDescent="0.2">
      <c r="A837" s="60"/>
      <c r="B837" s="60"/>
      <c r="C837" s="62"/>
      <c r="D837" s="65"/>
      <c r="E837" s="62"/>
      <c r="F837" s="60"/>
      <c r="G837" s="60"/>
    </row>
    <row r="838" spans="1:7" x14ac:dyDescent="0.2">
      <c r="D838" s="63"/>
      <c r="E838" s="64"/>
    </row>
    <row r="840" spans="1:7" x14ac:dyDescent="0.2">
      <c r="A840" s="60"/>
      <c r="B840" s="60"/>
      <c r="C840" s="62"/>
      <c r="D840" s="60"/>
      <c r="E840" s="62"/>
      <c r="F840" s="60"/>
      <c r="G840" s="60"/>
    </row>
    <row r="844" spans="1:7" x14ac:dyDescent="0.2">
      <c r="A844" s="60"/>
      <c r="B844" s="60"/>
      <c r="C844" s="62"/>
      <c r="D844" s="60"/>
      <c r="E844" s="62"/>
      <c r="F844" s="60"/>
      <c r="G844" s="60"/>
    </row>
    <row r="850" spans="1:7" x14ac:dyDescent="0.2">
      <c r="A850" s="58"/>
      <c r="B850" s="58"/>
      <c r="C850" s="59"/>
      <c r="D850" s="58"/>
      <c r="E850" s="59"/>
      <c r="F850" s="58"/>
      <c r="G850" s="58"/>
    </row>
    <row r="852" spans="1:7" x14ac:dyDescent="0.2">
      <c r="A852" s="58"/>
      <c r="B852" s="58"/>
      <c r="C852" s="59"/>
      <c r="D852" s="58"/>
      <c r="E852" s="59"/>
      <c r="F852" s="58"/>
      <c r="G852" s="58"/>
    </row>
    <row r="853" spans="1:7" x14ac:dyDescent="0.2">
      <c r="A853" s="60"/>
      <c r="G853" s="61"/>
    </row>
    <row r="855" spans="1:7" x14ac:dyDescent="0.2">
      <c r="A855" s="60"/>
      <c r="B855" s="60"/>
      <c r="C855" s="62"/>
      <c r="D855" s="60"/>
      <c r="E855" s="62"/>
      <c r="F855" s="60"/>
      <c r="G855" s="60"/>
    </row>
    <row r="856" spans="1:7" x14ac:dyDescent="0.2">
      <c r="D856" s="63"/>
      <c r="E856" s="64"/>
    </row>
    <row r="857" spans="1:7" x14ac:dyDescent="0.2">
      <c r="D857" s="63"/>
      <c r="E857" s="64"/>
    </row>
    <row r="859" spans="1:7" x14ac:dyDescent="0.2">
      <c r="A859" s="60"/>
      <c r="B859" s="60"/>
      <c r="C859" s="62"/>
      <c r="D859" s="60"/>
      <c r="E859" s="62"/>
      <c r="F859" s="60"/>
      <c r="G859" s="60"/>
    </row>
    <row r="860" spans="1:7" x14ac:dyDescent="0.2">
      <c r="D860" s="63"/>
      <c r="E860" s="64"/>
    </row>
    <row r="862" spans="1:7" x14ac:dyDescent="0.2">
      <c r="A862" s="60"/>
      <c r="B862" s="60"/>
      <c r="C862" s="62"/>
      <c r="D862" s="65"/>
      <c r="E862" s="62"/>
      <c r="F862" s="60"/>
      <c r="G862" s="60"/>
    </row>
    <row r="863" spans="1:7" x14ac:dyDescent="0.2">
      <c r="D863" s="63"/>
      <c r="E863" s="64"/>
    </row>
    <row r="865" spans="1:7" x14ac:dyDescent="0.2">
      <c r="A865" s="60"/>
      <c r="B865" s="60"/>
      <c r="C865" s="62"/>
      <c r="D865" s="60"/>
      <c r="E865" s="62"/>
      <c r="F865" s="60"/>
      <c r="G865" s="60"/>
    </row>
    <row r="870" spans="1:7" x14ac:dyDescent="0.2">
      <c r="A870" s="60"/>
      <c r="B870" s="60"/>
      <c r="C870" s="62"/>
      <c r="D870" s="60"/>
      <c r="E870" s="62"/>
      <c r="F870" s="60"/>
      <c r="G870" s="60"/>
    </row>
    <row r="876" spans="1:7" x14ac:dyDescent="0.2">
      <c r="A876" s="58"/>
      <c r="B876" s="58"/>
      <c r="C876" s="59"/>
      <c r="D876" s="58"/>
      <c r="E876" s="59"/>
      <c r="F876" s="58"/>
      <c r="G876" s="58"/>
    </row>
    <row r="878" spans="1:7" x14ac:dyDescent="0.2">
      <c r="A878" s="58"/>
      <c r="B878" s="58"/>
      <c r="C878" s="59"/>
      <c r="D878" s="58"/>
      <c r="E878" s="59"/>
      <c r="F878" s="58"/>
      <c r="G878" s="58"/>
    </row>
    <row r="879" spans="1:7" x14ac:dyDescent="0.2">
      <c r="A879" s="60"/>
      <c r="G879" s="61"/>
    </row>
    <row r="881" spans="1:7" x14ac:dyDescent="0.2">
      <c r="A881" s="60"/>
      <c r="B881" s="60"/>
      <c r="C881" s="62"/>
      <c r="D881" s="60"/>
      <c r="E881" s="62"/>
      <c r="F881" s="60"/>
      <c r="G881" s="60"/>
    </row>
    <row r="882" spans="1:7" x14ac:dyDescent="0.2">
      <c r="D882" s="63"/>
      <c r="E882" s="64"/>
    </row>
    <row r="884" spans="1:7" x14ac:dyDescent="0.2">
      <c r="A884" s="60"/>
      <c r="B884" s="60"/>
      <c r="C884" s="62"/>
      <c r="D884" s="60"/>
      <c r="E884" s="62"/>
      <c r="F884" s="60"/>
      <c r="G884" s="60"/>
    </row>
    <row r="885" spans="1:7" x14ac:dyDescent="0.2">
      <c r="D885" s="63"/>
      <c r="E885" s="64"/>
    </row>
    <row r="886" spans="1:7" x14ac:dyDescent="0.2">
      <c r="D886" s="63"/>
      <c r="E886" s="64"/>
    </row>
    <row r="888" spans="1:7" x14ac:dyDescent="0.2">
      <c r="A888" s="60"/>
      <c r="B888" s="60"/>
      <c r="C888" s="62"/>
      <c r="D888" s="65"/>
      <c r="E888" s="62"/>
      <c r="F888" s="60"/>
      <c r="G888" s="60"/>
    </row>
    <row r="889" spans="1:7" x14ac:dyDescent="0.2">
      <c r="D889" s="63"/>
      <c r="E889" s="64"/>
    </row>
    <row r="891" spans="1:7" x14ac:dyDescent="0.2">
      <c r="A891" s="60"/>
      <c r="B891" s="60"/>
      <c r="C891" s="62"/>
      <c r="D891" s="60"/>
      <c r="E891" s="62"/>
      <c r="F891" s="60"/>
      <c r="G891" s="60"/>
    </row>
    <row r="896" spans="1:7" x14ac:dyDescent="0.2">
      <c r="A896" s="60"/>
      <c r="B896" s="60"/>
      <c r="C896" s="62"/>
      <c r="D896" s="60"/>
      <c r="E896" s="62"/>
      <c r="F896" s="60"/>
      <c r="G896" s="60"/>
    </row>
    <row r="902" spans="1:7" x14ac:dyDescent="0.2">
      <c r="A902" s="58"/>
      <c r="B902" s="58"/>
      <c r="C902" s="59"/>
      <c r="D902" s="58"/>
      <c r="E902" s="59"/>
      <c r="F902" s="58"/>
      <c r="G902" s="58"/>
    </row>
    <row r="904" spans="1:7" x14ac:dyDescent="0.2">
      <c r="A904" s="58"/>
      <c r="B904" s="58"/>
      <c r="C904" s="59"/>
      <c r="D904" s="58"/>
      <c r="E904" s="59"/>
      <c r="F904" s="58"/>
      <c r="G904" s="58"/>
    </row>
    <row r="905" spans="1:7" x14ac:dyDescent="0.2">
      <c r="A905" s="60"/>
      <c r="G905" s="61"/>
    </row>
    <row r="907" spans="1:7" x14ac:dyDescent="0.2">
      <c r="A907" s="60"/>
      <c r="B907" s="60"/>
      <c r="C907" s="62"/>
      <c r="D907" s="60"/>
      <c r="E907" s="62"/>
      <c r="F907" s="60"/>
      <c r="G907" s="60"/>
    </row>
    <row r="908" spans="1:7" x14ac:dyDescent="0.2">
      <c r="D908" s="63"/>
      <c r="E908" s="64"/>
    </row>
    <row r="910" spans="1:7" x14ac:dyDescent="0.2">
      <c r="A910" s="60"/>
      <c r="B910" s="60"/>
      <c r="C910" s="62"/>
      <c r="D910" s="60"/>
      <c r="E910" s="62"/>
      <c r="F910" s="60"/>
      <c r="G910" s="60"/>
    </row>
    <row r="911" spans="1:7" x14ac:dyDescent="0.2">
      <c r="D911" s="63"/>
      <c r="E911" s="64"/>
    </row>
    <row r="912" spans="1:7" x14ac:dyDescent="0.2">
      <c r="D912" s="63"/>
      <c r="E912" s="64"/>
    </row>
    <row r="914" spans="1:7" x14ac:dyDescent="0.2">
      <c r="A914" s="60"/>
      <c r="B914" s="60"/>
      <c r="C914" s="62"/>
      <c r="D914" s="65"/>
      <c r="E914" s="62"/>
      <c r="F914" s="60"/>
      <c r="G914" s="60"/>
    </row>
    <row r="915" spans="1:7" x14ac:dyDescent="0.2">
      <c r="D915" s="63"/>
      <c r="E915" s="64"/>
    </row>
    <row r="917" spans="1:7" x14ac:dyDescent="0.2">
      <c r="A917" s="60"/>
      <c r="B917" s="60"/>
      <c r="C917" s="62"/>
      <c r="D917" s="60"/>
      <c r="E917" s="62"/>
      <c r="F917" s="60"/>
      <c r="G917" s="60"/>
    </row>
    <row r="922" spans="1:7" x14ac:dyDescent="0.2">
      <c r="A922" s="60"/>
      <c r="B922" s="60"/>
      <c r="C922" s="62"/>
      <c r="D922" s="60"/>
      <c r="E922" s="62"/>
      <c r="F922" s="60"/>
      <c r="G922" s="60"/>
    </row>
    <row r="928" spans="1:7" x14ac:dyDescent="0.2">
      <c r="A928" s="58"/>
      <c r="B928" s="58"/>
      <c r="C928" s="59"/>
      <c r="D928" s="58"/>
      <c r="E928" s="59"/>
      <c r="F928" s="58"/>
      <c r="G928" s="58"/>
    </row>
    <row r="930" spans="1:7" x14ac:dyDescent="0.2">
      <c r="A930" s="58"/>
      <c r="B930" s="58"/>
      <c r="C930" s="59"/>
      <c r="D930" s="58"/>
      <c r="E930" s="59"/>
      <c r="F930" s="58"/>
      <c r="G930" s="58"/>
    </row>
    <row r="931" spans="1:7" x14ac:dyDescent="0.2">
      <c r="A931" s="60"/>
      <c r="G931" s="61"/>
    </row>
    <row r="933" spans="1:7" x14ac:dyDescent="0.2">
      <c r="A933" s="60"/>
      <c r="B933" s="60"/>
      <c r="C933" s="62"/>
      <c r="D933" s="60"/>
      <c r="E933" s="62"/>
      <c r="F933" s="60"/>
      <c r="G933" s="60"/>
    </row>
    <row r="934" spans="1:7" x14ac:dyDescent="0.2">
      <c r="D934" s="63"/>
      <c r="E934" s="64"/>
    </row>
    <row r="936" spans="1:7" x14ac:dyDescent="0.2">
      <c r="A936" s="60"/>
      <c r="B936" s="60"/>
      <c r="C936" s="62"/>
      <c r="D936" s="60"/>
      <c r="E936" s="62"/>
      <c r="F936" s="60"/>
      <c r="G936" s="60"/>
    </row>
    <row r="937" spans="1:7" x14ac:dyDescent="0.2">
      <c r="D937" s="63"/>
      <c r="E937" s="64"/>
    </row>
    <row r="938" spans="1:7" x14ac:dyDescent="0.2">
      <c r="D938" s="63"/>
      <c r="E938" s="64"/>
    </row>
    <row r="940" spans="1:7" x14ac:dyDescent="0.2">
      <c r="A940" s="60"/>
      <c r="B940" s="60"/>
      <c r="C940" s="62"/>
      <c r="D940" s="65"/>
      <c r="E940" s="62"/>
      <c r="F940" s="60"/>
      <c r="G940" s="60"/>
    </row>
    <row r="941" spans="1:7" x14ac:dyDescent="0.2">
      <c r="D941" s="63"/>
      <c r="E941" s="64"/>
    </row>
    <row r="943" spans="1:7" x14ac:dyDescent="0.2">
      <c r="A943" s="60"/>
      <c r="B943" s="60"/>
      <c r="C943" s="62"/>
      <c r="D943" s="60"/>
      <c r="E943" s="62"/>
      <c r="F943" s="60"/>
      <c r="G943" s="60"/>
    </row>
    <row r="948" spans="1:7" x14ac:dyDescent="0.2">
      <c r="A948" s="60"/>
      <c r="B948" s="60"/>
      <c r="C948" s="62"/>
      <c r="D948" s="60"/>
      <c r="E948" s="62"/>
      <c r="F948" s="60"/>
      <c r="G948" s="60"/>
    </row>
    <row r="954" spans="1:7" x14ac:dyDescent="0.2">
      <c r="A954" s="58"/>
      <c r="B954" s="58"/>
      <c r="C954" s="59"/>
      <c r="D954" s="58"/>
      <c r="E954" s="59"/>
      <c r="F954" s="58"/>
      <c r="G954" s="58"/>
    </row>
    <row r="956" spans="1:7" x14ac:dyDescent="0.2">
      <c r="A956" s="58"/>
      <c r="B956" s="58"/>
      <c r="C956" s="59"/>
      <c r="D956" s="58"/>
      <c r="E956" s="59"/>
      <c r="F956" s="58"/>
      <c r="G956" s="58"/>
    </row>
    <row r="957" spans="1:7" x14ac:dyDescent="0.2">
      <c r="A957" s="60"/>
      <c r="G957" s="61"/>
    </row>
    <row r="959" spans="1:7" x14ac:dyDescent="0.2">
      <c r="A959" s="60"/>
      <c r="B959" s="60"/>
      <c r="C959" s="62"/>
      <c r="D959" s="60"/>
      <c r="E959" s="62"/>
      <c r="F959" s="60"/>
      <c r="G959" s="60"/>
    </row>
    <row r="960" spans="1:7" x14ac:dyDescent="0.2">
      <c r="D960" s="63"/>
      <c r="E960" s="64"/>
    </row>
    <row r="962" spans="1:7" x14ac:dyDescent="0.2">
      <c r="A962" s="60"/>
      <c r="B962" s="60"/>
      <c r="C962" s="62"/>
      <c r="D962" s="60"/>
      <c r="E962" s="62"/>
      <c r="F962" s="60"/>
      <c r="G962" s="60"/>
    </row>
    <row r="963" spans="1:7" x14ac:dyDescent="0.2">
      <c r="D963" s="63"/>
      <c r="E963" s="64"/>
    </row>
    <row r="964" spans="1:7" x14ac:dyDescent="0.2">
      <c r="D964" s="63"/>
      <c r="E964" s="64"/>
    </row>
    <row r="966" spans="1:7" x14ac:dyDescent="0.2">
      <c r="A966" s="60"/>
      <c r="B966" s="60"/>
      <c r="C966" s="62"/>
      <c r="D966" s="65"/>
      <c r="E966" s="62"/>
      <c r="F966" s="60"/>
      <c r="G966" s="60"/>
    </row>
    <row r="967" spans="1:7" x14ac:dyDescent="0.2">
      <c r="D967" s="63"/>
      <c r="E967" s="64"/>
    </row>
    <row r="969" spans="1:7" x14ac:dyDescent="0.2">
      <c r="A969" s="60"/>
      <c r="B969" s="60"/>
      <c r="C969" s="62"/>
      <c r="D969" s="60"/>
      <c r="E969" s="62"/>
      <c r="F969" s="60"/>
      <c r="G969" s="60"/>
    </row>
    <row r="974" spans="1:7" x14ac:dyDescent="0.2">
      <c r="A974" s="60"/>
      <c r="B974" s="60"/>
      <c r="C974" s="62"/>
      <c r="D974" s="60"/>
      <c r="E974" s="62"/>
      <c r="F974" s="60"/>
      <c r="G974" s="60"/>
    </row>
    <row r="980" spans="1:7" x14ac:dyDescent="0.2">
      <c r="A980" s="58"/>
      <c r="B980" s="58"/>
      <c r="C980" s="59"/>
      <c r="D980" s="58"/>
      <c r="E980" s="59"/>
      <c r="F980" s="58"/>
      <c r="G980" s="58"/>
    </row>
    <row r="982" spans="1:7" x14ac:dyDescent="0.2">
      <c r="A982" s="58"/>
      <c r="B982" s="58"/>
      <c r="C982" s="59"/>
      <c r="D982" s="58"/>
      <c r="E982" s="59"/>
      <c r="F982" s="58"/>
      <c r="G982" s="58"/>
    </row>
    <row r="983" spans="1:7" x14ac:dyDescent="0.2">
      <c r="A983" s="60"/>
      <c r="G983" s="61"/>
    </row>
    <row r="985" spans="1:7" x14ac:dyDescent="0.2">
      <c r="A985" s="60"/>
      <c r="B985" s="60"/>
      <c r="C985" s="62"/>
      <c r="D985" s="60"/>
      <c r="E985" s="62"/>
      <c r="F985" s="60"/>
      <c r="G985" s="60"/>
    </row>
    <row r="986" spans="1:7" x14ac:dyDescent="0.2">
      <c r="D986" s="63"/>
      <c r="E986" s="64"/>
    </row>
    <row r="988" spans="1:7" x14ac:dyDescent="0.2">
      <c r="A988" s="60"/>
      <c r="B988" s="60"/>
      <c r="C988" s="62"/>
      <c r="D988" s="65"/>
      <c r="E988" s="62"/>
      <c r="F988" s="60"/>
      <c r="G988" s="60"/>
    </row>
    <row r="989" spans="1:7" x14ac:dyDescent="0.2">
      <c r="D989" s="63"/>
      <c r="E989" s="64"/>
    </row>
    <row r="991" spans="1:7" x14ac:dyDescent="0.2">
      <c r="A991" s="60"/>
      <c r="B991" s="60"/>
      <c r="C991" s="62"/>
      <c r="D991" s="60"/>
      <c r="E991" s="62"/>
      <c r="F991" s="60"/>
      <c r="G991" s="60"/>
    </row>
    <row r="995" spans="1:7" x14ac:dyDescent="0.2">
      <c r="A995" s="60"/>
      <c r="B995" s="60"/>
      <c r="C995" s="62"/>
      <c r="D995" s="60"/>
      <c r="E995" s="62"/>
      <c r="F995" s="60"/>
      <c r="G995" s="60"/>
    </row>
    <row r="1001" spans="1:7" x14ac:dyDescent="0.2">
      <c r="A1001" s="58"/>
      <c r="B1001" s="58"/>
      <c r="C1001" s="59"/>
      <c r="D1001" s="58"/>
      <c r="E1001" s="59"/>
      <c r="F1001" s="58"/>
      <c r="G1001" s="58"/>
    </row>
    <row r="1003" spans="1:7" x14ac:dyDescent="0.2">
      <c r="A1003" s="58"/>
      <c r="B1003" s="58"/>
      <c r="C1003" s="59"/>
      <c r="D1003" s="58"/>
      <c r="E1003" s="59"/>
      <c r="F1003" s="58"/>
      <c r="G1003" s="58"/>
    </row>
    <row r="1004" spans="1:7" x14ac:dyDescent="0.2">
      <c r="A1004" s="60"/>
      <c r="G1004" s="61"/>
    </row>
    <row r="1006" spans="1:7" x14ac:dyDescent="0.2">
      <c r="A1006" s="60"/>
      <c r="B1006" s="60"/>
      <c r="C1006" s="62"/>
      <c r="D1006" s="60"/>
      <c r="E1006" s="62"/>
      <c r="F1006" s="60"/>
      <c r="G1006" s="60"/>
    </row>
    <row r="1007" spans="1:7" x14ac:dyDescent="0.2">
      <c r="D1007" s="63"/>
      <c r="E1007" s="64"/>
    </row>
    <row r="1008" spans="1:7" x14ac:dyDescent="0.2">
      <c r="D1008" s="63"/>
      <c r="E1008" s="64"/>
    </row>
    <row r="1010" spans="1:7" x14ac:dyDescent="0.2">
      <c r="A1010" s="60"/>
      <c r="B1010" s="60"/>
      <c r="C1010" s="62"/>
      <c r="D1010" s="65"/>
      <c r="E1010" s="62"/>
      <c r="F1010" s="60"/>
      <c r="G1010" s="60"/>
    </row>
    <row r="1011" spans="1:7" x14ac:dyDescent="0.2">
      <c r="D1011" s="63"/>
      <c r="E1011" s="64"/>
    </row>
    <row r="1013" spans="1:7" x14ac:dyDescent="0.2">
      <c r="A1013" s="60"/>
      <c r="B1013" s="60"/>
      <c r="C1013" s="62"/>
      <c r="D1013" s="60"/>
      <c r="E1013" s="62"/>
      <c r="F1013" s="60"/>
      <c r="G1013" s="60"/>
    </row>
    <row r="1017" spans="1:7" x14ac:dyDescent="0.2">
      <c r="A1017" s="60"/>
      <c r="B1017" s="60"/>
      <c r="C1017" s="62"/>
      <c r="D1017" s="60"/>
      <c r="E1017" s="62"/>
      <c r="F1017" s="60"/>
      <c r="G1017" s="60"/>
    </row>
    <row r="1023" spans="1:7" x14ac:dyDescent="0.2">
      <c r="A1023" s="58"/>
      <c r="B1023" s="58"/>
      <c r="C1023" s="59"/>
      <c r="D1023" s="58"/>
      <c r="E1023" s="59"/>
      <c r="F1023" s="58"/>
      <c r="G1023" s="58"/>
    </row>
    <row r="1025" spans="1:7" x14ac:dyDescent="0.2">
      <c r="A1025" s="58"/>
      <c r="B1025" s="58"/>
      <c r="C1025" s="59"/>
      <c r="D1025" s="58"/>
      <c r="E1025" s="59"/>
      <c r="F1025" s="58"/>
      <c r="G1025" s="58"/>
    </row>
    <row r="1026" spans="1:7" x14ac:dyDescent="0.2">
      <c r="A1026" s="60"/>
      <c r="G1026" s="61"/>
    </row>
    <row r="1028" spans="1:7" x14ac:dyDescent="0.2">
      <c r="A1028" s="60"/>
      <c r="B1028" s="60"/>
      <c r="C1028" s="62"/>
      <c r="D1028" s="60"/>
      <c r="E1028" s="62"/>
      <c r="F1028" s="60"/>
      <c r="G1028" s="60"/>
    </row>
    <row r="1029" spans="1:7" x14ac:dyDescent="0.2">
      <c r="D1029" s="63"/>
      <c r="E1029" s="64"/>
    </row>
    <row r="1030" spans="1:7" x14ac:dyDescent="0.2">
      <c r="D1030" s="63"/>
      <c r="E1030" s="64"/>
    </row>
    <row r="1032" spans="1:7" x14ac:dyDescent="0.2">
      <c r="A1032" s="60"/>
      <c r="B1032" s="60"/>
      <c r="C1032" s="62"/>
      <c r="D1032" s="60"/>
      <c r="E1032" s="62"/>
      <c r="F1032" s="60"/>
      <c r="G1032" s="60"/>
    </row>
    <row r="1035" spans="1:7" x14ac:dyDescent="0.2">
      <c r="A1035" s="60"/>
      <c r="B1035" s="60"/>
      <c r="C1035" s="62"/>
      <c r="D1035" s="60"/>
      <c r="E1035" s="62"/>
      <c r="F1035" s="60"/>
      <c r="G1035" s="60"/>
    </row>
    <row r="1041" spans="1:7" x14ac:dyDescent="0.2">
      <c r="A1041" s="58"/>
      <c r="B1041" s="58"/>
      <c r="C1041" s="59"/>
      <c r="D1041" s="58"/>
      <c r="E1041" s="59"/>
      <c r="F1041" s="58"/>
      <c r="G1041" s="58"/>
    </row>
    <row r="1043" spans="1:7" x14ac:dyDescent="0.2">
      <c r="A1043" s="58"/>
      <c r="B1043" s="58"/>
      <c r="C1043" s="59"/>
      <c r="D1043" s="58"/>
      <c r="E1043" s="59"/>
      <c r="F1043" s="58"/>
      <c r="G1043" s="58"/>
    </row>
    <row r="1044" spans="1:7" x14ac:dyDescent="0.2">
      <c r="A1044" s="60"/>
      <c r="G1044" s="61"/>
    </row>
    <row r="1046" spans="1:7" x14ac:dyDescent="0.2">
      <c r="A1046" s="60"/>
      <c r="B1046" s="60"/>
      <c r="C1046" s="62"/>
      <c r="D1046" s="60"/>
      <c r="E1046" s="62"/>
      <c r="F1046" s="60"/>
      <c r="G1046" s="60"/>
    </row>
    <row r="1047" spans="1:7" x14ac:dyDescent="0.2">
      <c r="D1047" s="63"/>
      <c r="E1047" s="64"/>
    </row>
    <row r="1049" spans="1:7" x14ac:dyDescent="0.2">
      <c r="A1049" s="60"/>
      <c r="B1049" s="60"/>
      <c r="C1049" s="62"/>
      <c r="D1049" s="60"/>
      <c r="E1049" s="62"/>
      <c r="F1049" s="60"/>
      <c r="G1049" s="60"/>
    </row>
    <row r="1050" spans="1:7" x14ac:dyDescent="0.2">
      <c r="D1050" s="63"/>
      <c r="E1050" s="64"/>
    </row>
    <row r="1051" spans="1:7" x14ac:dyDescent="0.2">
      <c r="D1051" s="63"/>
      <c r="E1051" s="64"/>
    </row>
    <row r="1053" spans="1:7" x14ac:dyDescent="0.2">
      <c r="A1053" s="60"/>
      <c r="B1053" s="60"/>
      <c r="C1053" s="62"/>
      <c r="D1053" s="65"/>
      <c r="E1053" s="62"/>
      <c r="F1053" s="60"/>
      <c r="G1053" s="60"/>
    </row>
    <row r="1054" spans="1:7" x14ac:dyDescent="0.2">
      <c r="D1054" s="63"/>
      <c r="E1054" s="64"/>
    </row>
    <row r="1056" spans="1:7" x14ac:dyDescent="0.2">
      <c r="A1056" s="60"/>
      <c r="B1056" s="60"/>
      <c r="C1056" s="62"/>
      <c r="D1056" s="60"/>
      <c r="E1056" s="62"/>
      <c r="F1056" s="60"/>
      <c r="G1056" s="60"/>
    </row>
    <row r="1061" spans="1:7" x14ac:dyDescent="0.2">
      <c r="A1061" s="60"/>
      <c r="B1061" s="60"/>
      <c r="C1061" s="62"/>
      <c r="D1061" s="60"/>
      <c r="E1061" s="62"/>
      <c r="F1061" s="60"/>
      <c r="G1061" s="60"/>
    </row>
    <row r="1067" spans="1:7" x14ac:dyDescent="0.2">
      <c r="A1067" s="58"/>
      <c r="B1067" s="58"/>
      <c r="C1067" s="59"/>
      <c r="D1067" s="58"/>
      <c r="E1067" s="59"/>
      <c r="F1067" s="58"/>
      <c r="G1067" s="58"/>
    </row>
    <row r="1069" spans="1:7" x14ac:dyDescent="0.2">
      <c r="A1069" s="58"/>
      <c r="B1069" s="58"/>
      <c r="C1069" s="59"/>
      <c r="D1069" s="58"/>
      <c r="E1069" s="59"/>
      <c r="F1069" s="58"/>
      <c r="G1069" s="58"/>
    </row>
    <row r="1070" spans="1:7" x14ac:dyDescent="0.2">
      <c r="A1070" s="60"/>
      <c r="G1070" s="61"/>
    </row>
    <row r="1072" spans="1:7" x14ac:dyDescent="0.2">
      <c r="A1072" s="60"/>
      <c r="B1072" s="60"/>
      <c r="C1072" s="62"/>
      <c r="D1072" s="60"/>
      <c r="E1072" s="62"/>
      <c r="F1072" s="60"/>
      <c r="G1072" s="60"/>
    </row>
    <row r="1073" spans="1:7" x14ac:dyDescent="0.2">
      <c r="D1073" s="63"/>
      <c r="E1073" s="64"/>
    </row>
    <row r="1075" spans="1:7" x14ac:dyDescent="0.2">
      <c r="A1075" s="60"/>
      <c r="B1075" s="60"/>
      <c r="C1075" s="62"/>
      <c r="D1075" s="60"/>
      <c r="E1075" s="62"/>
      <c r="F1075" s="60"/>
      <c r="G1075" s="60"/>
    </row>
    <row r="1076" spans="1:7" x14ac:dyDescent="0.2">
      <c r="D1076" s="63"/>
      <c r="E1076" s="64"/>
    </row>
    <row r="1077" spans="1:7" x14ac:dyDescent="0.2">
      <c r="D1077" s="63"/>
      <c r="E1077" s="64"/>
    </row>
    <row r="1079" spans="1:7" x14ac:dyDescent="0.2">
      <c r="A1079" s="60"/>
      <c r="B1079" s="60"/>
      <c r="C1079" s="62"/>
      <c r="D1079" s="65"/>
      <c r="E1079" s="62"/>
      <c r="F1079" s="60"/>
      <c r="G1079" s="60"/>
    </row>
    <row r="1080" spans="1:7" x14ac:dyDescent="0.2">
      <c r="D1080" s="63"/>
      <c r="E1080" s="64"/>
    </row>
    <row r="1082" spans="1:7" x14ac:dyDescent="0.2">
      <c r="A1082" s="60"/>
      <c r="B1082" s="60"/>
      <c r="C1082" s="62"/>
      <c r="D1082" s="60"/>
      <c r="E1082" s="62"/>
      <c r="F1082" s="60"/>
      <c r="G1082" s="60"/>
    </row>
    <row r="1087" spans="1:7" x14ac:dyDescent="0.2">
      <c r="A1087" s="60"/>
      <c r="B1087" s="60"/>
      <c r="C1087" s="62"/>
      <c r="D1087" s="60"/>
      <c r="E1087" s="62"/>
      <c r="F1087" s="60"/>
      <c r="G1087" s="60"/>
    </row>
    <row r="1093" spans="1:7" x14ac:dyDescent="0.2">
      <c r="A1093" s="58"/>
      <c r="B1093" s="58"/>
      <c r="C1093" s="59"/>
      <c r="D1093" s="58"/>
      <c r="E1093" s="59"/>
      <c r="F1093" s="58"/>
      <c r="G1093" s="58"/>
    </row>
    <row r="1095" spans="1:7" x14ac:dyDescent="0.2">
      <c r="A1095" s="58"/>
      <c r="B1095" s="58"/>
      <c r="C1095" s="59"/>
      <c r="D1095" s="58"/>
      <c r="E1095" s="59"/>
      <c r="F1095" s="58"/>
      <c r="G1095" s="58"/>
    </row>
    <row r="1096" spans="1:7" x14ac:dyDescent="0.2">
      <c r="A1096" s="60"/>
      <c r="G1096" s="61"/>
    </row>
    <row r="1098" spans="1:7" x14ac:dyDescent="0.2">
      <c r="A1098" s="60"/>
      <c r="B1098" s="60"/>
      <c r="C1098" s="62"/>
      <c r="D1098" s="60"/>
      <c r="E1098" s="62"/>
      <c r="F1098" s="60"/>
      <c r="G1098" s="60"/>
    </row>
    <row r="1099" spans="1:7" x14ac:dyDescent="0.2">
      <c r="D1099" s="63"/>
      <c r="E1099" s="64"/>
    </row>
    <row r="1101" spans="1:7" x14ac:dyDescent="0.2">
      <c r="A1101" s="60"/>
      <c r="B1101" s="60"/>
      <c r="C1101" s="62"/>
      <c r="D1101" s="60"/>
      <c r="E1101" s="62"/>
      <c r="F1101" s="60"/>
      <c r="G1101" s="60"/>
    </row>
    <row r="1102" spans="1:7" x14ac:dyDescent="0.2">
      <c r="D1102" s="63"/>
      <c r="E1102" s="64"/>
    </row>
    <row r="1103" spans="1:7" x14ac:dyDescent="0.2">
      <c r="D1103" s="63"/>
      <c r="E1103" s="64"/>
    </row>
    <row r="1105" spans="1:7" x14ac:dyDescent="0.2">
      <c r="A1105" s="60"/>
      <c r="B1105" s="60"/>
      <c r="C1105" s="62"/>
      <c r="D1105" s="65"/>
      <c r="E1105" s="62"/>
      <c r="F1105" s="60"/>
      <c r="G1105" s="60"/>
    </row>
    <row r="1106" spans="1:7" x14ac:dyDescent="0.2">
      <c r="D1106" s="63"/>
      <c r="E1106" s="64"/>
    </row>
    <row r="1108" spans="1:7" x14ac:dyDescent="0.2">
      <c r="A1108" s="60"/>
      <c r="B1108" s="60"/>
      <c r="C1108" s="62"/>
      <c r="D1108" s="60"/>
      <c r="E1108" s="62"/>
      <c r="F1108" s="60"/>
      <c r="G1108" s="60"/>
    </row>
    <row r="1113" spans="1:7" x14ac:dyDescent="0.2">
      <c r="A1113" s="60"/>
      <c r="B1113" s="60"/>
      <c r="C1113" s="62"/>
      <c r="D1113" s="60"/>
      <c r="E1113" s="62"/>
      <c r="F1113" s="60"/>
      <c r="G1113" s="60"/>
    </row>
    <row r="1119" spans="1:7" x14ac:dyDescent="0.2">
      <c r="A1119" s="58"/>
      <c r="B1119" s="58"/>
      <c r="C1119" s="59"/>
      <c r="D1119" s="58"/>
      <c r="E1119" s="59"/>
      <c r="F1119" s="58"/>
      <c r="G1119" s="58"/>
    </row>
    <row r="1121" spans="1:7" x14ac:dyDescent="0.2">
      <c r="A1121" s="58"/>
      <c r="B1121" s="58"/>
      <c r="C1121" s="59"/>
      <c r="D1121" s="58"/>
      <c r="E1121" s="59"/>
      <c r="F1121" s="58"/>
      <c r="G1121" s="58"/>
    </row>
    <row r="1122" spans="1:7" x14ac:dyDescent="0.2">
      <c r="A1122" s="60"/>
      <c r="G1122" s="61"/>
    </row>
    <row r="1124" spans="1:7" x14ac:dyDescent="0.2">
      <c r="A1124" s="60"/>
      <c r="B1124" s="60"/>
      <c r="C1124" s="62"/>
      <c r="D1124" s="60"/>
      <c r="E1124" s="62"/>
      <c r="F1124" s="60"/>
      <c r="G1124" s="60"/>
    </row>
    <row r="1125" spans="1:7" x14ac:dyDescent="0.2">
      <c r="D1125" s="63"/>
      <c r="E1125" s="64"/>
    </row>
    <row r="1126" spans="1:7" x14ac:dyDescent="0.2">
      <c r="D1126" s="63"/>
      <c r="E1126" s="64"/>
    </row>
    <row r="1128" spans="1:7" x14ac:dyDescent="0.2">
      <c r="A1128" s="60"/>
      <c r="B1128" s="60"/>
      <c r="C1128" s="62"/>
      <c r="D1128" s="60"/>
      <c r="E1128" s="62"/>
      <c r="F1128" s="60"/>
      <c r="G1128" s="60"/>
    </row>
    <row r="1129" spans="1:7" x14ac:dyDescent="0.2">
      <c r="D1129" s="63"/>
      <c r="E1129" s="64"/>
    </row>
    <row r="1130" spans="1:7" x14ac:dyDescent="0.2">
      <c r="D1130" s="63"/>
      <c r="E1130" s="64"/>
    </row>
    <row r="1131" spans="1:7" x14ac:dyDescent="0.2">
      <c r="D1131" s="63"/>
      <c r="E1131" s="64"/>
    </row>
    <row r="1132" spans="1:7" x14ac:dyDescent="0.2">
      <c r="D1132" s="63"/>
      <c r="E1132" s="64"/>
    </row>
    <row r="1134" spans="1:7" x14ac:dyDescent="0.2">
      <c r="A1134" s="60"/>
      <c r="B1134" s="60"/>
      <c r="C1134" s="62"/>
      <c r="D1134" s="65"/>
      <c r="E1134" s="62"/>
      <c r="F1134" s="60"/>
      <c r="G1134" s="60"/>
    </row>
    <row r="1135" spans="1:7" x14ac:dyDescent="0.2">
      <c r="D1135" s="63"/>
      <c r="E1135" s="64"/>
    </row>
    <row r="1136" spans="1:7" x14ac:dyDescent="0.2">
      <c r="D1136" s="63"/>
      <c r="E1136" s="64"/>
    </row>
    <row r="1138" spans="1:7" x14ac:dyDescent="0.2">
      <c r="A1138" s="60"/>
      <c r="B1138" s="60"/>
      <c r="C1138" s="62"/>
      <c r="D1138" s="60"/>
      <c r="E1138" s="62"/>
      <c r="F1138" s="60"/>
      <c r="G1138" s="60"/>
    </row>
    <row r="1143" spans="1:7" x14ac:dyDescent="0.2">
      <c r="A1143" s="60"/>
      <c r="B1143" s="60"/>
      <c r="C1143" s="62"/>
      <c r="D1143" s="60"/>
      <c r="E1143" s="62"/>
      <c r="F1143" s="60"/>
      <c r="G1143" s="60"/>
    </row>
    <row r="1149" spans="1:7" x14ac:dyDescent="0.2">
      <c r="A1149" s="58"/>
      <c r="B1149" s="58"/>
      <c r="C1149" s="59"/>
      <c r="D1149" s="58"/>
      <c r="E1149" s="59"/>
      <c r="F1149" s="58"/>
      <c r="G1149" s="58"/>
    </row>
    <row r="1151" spans="1:7" x14ac:dyDescent="0.2">
      <c r="A1151" s="58"/>
      <c r="B1151" s="58"/>
      <c r="C1151" s="59"/>
      <c r="D1151" s="58"/>
      <c r="E1151" s="59"/>
      <c r="F1151" s="58"/>
      <c r="G1151" s="58"/>
    </row>
    <row r="1152" spans="1:7" x14ac:dyDescent="0.2">
      <c r="A1152" s="60"/>
      <c r="G1152" s="61"/>
    </row>
    <row r="1154" spans="1:7" x14ac:dyDescent="0.2">
      <c r="A1154" s="60"/>
      <c r="B1154" s="60"/>
      <c r="C1154" s="62"/>
      <c r="D1154" s="60"/>
      <c r="E1154" s="62"/>
      <c r="F1154" s="60"/>
      <c r="G1154" s="60"/>
    </row>
    <row r="1155" spans="1:7" x14ac:dyDescent="0.2">
      <c r="D1155" s="63"/>
      <c r="E1155" s="64"/>
    </row>
    <row r="1157" spans="1:7" x14ac:dyDescent="0.2">
      <c r="A1157" s="60"/>
      <c r="B1157" s="60"/>
      <c r="C1157" s="62"/>
      <c r="D1157" s="60"/>
      <c r="E1157" s="62"/>
      <c r="F1157" s="60"/>
      <c r="G1157" s="60"/>
    </row>
    <row r="1158" spans="1:7" x14ac:dyDescent="0.2">
      <c r="D1158" s="63"/>
      <c r="E1158" s="64"/>
    </row>
    <row r="1159" spans="1:7" x14ac:dyDescent="0.2">
      <c r="D1159" s="63"/>
      <c r="E1159" s="64"/>
    </row>
    <row r="1161" spans="1:7" x14ac:dyDescent="0.2">
      <c r="A1161" s="60"/>
      <c r="B1161" s="60"/>
      <c r="C1161" s="62"/>
      <c r="D1161" s="65"/>
      <c r="E1161" s="62"/>
      <c r="F1161" s="60"/>
      <c r="G1161" s="60"/>
    </row>
    <row r="1162" spans="1:7" x14ac:dyDescent="0.2">
      <c r="D1162" s="63"/>
      <c r="E1162" s="64"/>
    </row>
    <row r="1164" spans="1:7" x14ac:dyDescent="0.2">
      <c r="A1164" s="60"/>
      <c r="B1164" s="60"/>
      <c r="C1164" s="62"/>
      <c r="D1164" s="60"/>
      <c r="E1164" s="62"/>
      <c r="F1164" s="60"/>
      <c r="G1164" s="60"/>
    </row>
    <row r="1169" spans="1:7" x14ac:dyDescent="0.2">
      <c r="A1169" s="60"/>
      <c r="B1169" s="60"/>
      <c r="C1169" s="62"/>
      <c r="D1169" s="60"/>
      <c r="E1169" s="62"/>
      <c r="F1169" s="60"/>
      <c r="G1169" s="60"/>
    </row>
    <row r="1175" spans="1:7" x14ac:dyDescent="0.2">
      <c r="A1175" s="58"/>
      <c r="B1175" s="58"/>
      <c r="C1175" s="59"/>
      <c r="D1175" s="58"/>
      <c r="E1175" s="59"/>
      <c r="F1175" s="58"/>
      <c r="G1175" s="58"/>
    </row>
    <row r="1177" spans="1:7" x14ac:dyDescent="0.2">
      <c r="A1177" s="58"/>
      <c r="B1177" s="58"/>
      <c r="C1177" s="59"/>
      <c r="D1177" s="58"/>
      <c r="E1177" s="59"/>
      <c r="F1177" s="58"/>
      <c r="G1177" s="58"/>
    </row>
    <row r="1178" spans="1:7" x14ac:dyDescent="0.2">
      <c r="A1178" s="60"/>
      <c r="G1178" s="61"/>
    </row>
    <row r="1180" spans="1:7" x14ac:dyDescent="0.2">
      <c r="A1180" s="60"/>
      <c r="B1180" s="60"/>
      <c r="C1180" s="62"/>
      <c r="D1180" s="60"/>
      <c r="E1180" s="62"/>
      <c r="F1180" s="60"/>
      <c r="G1180" s="60"/>
    </row>
    <row r="1181" spans="1:7" x14ac:dyDescent="0.2">
      <c r="D1181" s="63"/>
      <c r="E1181" s="64"/>
    </row>
    <row r="1182" spans="1:7" x14ac:dyDescent="0.2">
      <c r="D1182" s="63"/>
      <c r="E1182" s="64"/>
    </row>
    <row r="1184" spans="1:7" x14ac:dyDescent="0.2">
      <c r="A1184" s="60"/>
      <c r="B1184" s="60"/>
      <c r="C1184" s="62"/>
      <c r="D1184" s="60"/>
      <c r="E1184" s="62"/>
      <c r="F1184" s="60"/>
      <c r="G1184" s="60"/>
    </row>
    <row r="1185" spans="1:7" x14ac:dyDescent="0.2">
      <c r="D1185" s="63"/>
      <c r="E1185" s="64"/>
    </row>
    <row r="1186" spans="1:7" x14ac:dyDescent="0.2">
      <c r="D1186" s="63"/>
      <c r="E1186" s="64"/>
    </row>
    <row r="1188" spans="1:7" x14ac:dyDescent="0.2">
      <c r="A1188" s="60"/>
      <c r="B1188" s="60"/>
      <c r="C1188" s="62"/>
      <c r="D1188" s="65"/>
      <c r="E1188" s="62"/>
      <c r="F1188" s="60"/>
      <c r="G1188" s="60"/>
    </row>
    <row r="1189" spans="1:7" x14ac:dyDescent="0.2">
      <c r="D1189" s="63"/>
      <c r="E1189" s="64"/>
    </row>
    <row r="1190" spans="1:7" x14ac:dyDescent="0.2">
      <c r="D1190" s="63"/>
      <c r="E1190" s="64"/>
    </row>
    <row r="1192" spans="1:7" x14ac:dyDescent="0.2">
      <c r="A1192" s="60"/>
      <c r="B1192" s="60"/>
      <c r="C1192" s="62"/>
      <c r="D1192" s="60"/>
      <c r="E1192" s="62"/>
      <c r="F1192" s="60"/>
      <c r="G1192" s="60"/>
    </row>
    <row r="1197" spans="1:7" x14ac:dyDescent="0.2">
      <c r="A1197" s="60"/>
      <c r="B1197" s="60"/>
      <c r="C1197" s="62"/>
      <c r="D1197" s="60"/>
      <c r="E1197" s="62"/>
      <c r="F1197" s="60"/>
      <c r="G1197" s="60"/>
    </row>
    <row r="1203" spans="1:7" x14ac:dyDescent="0.2">
      <c r="A1203" s="58"/>
      <c r="B1203" s="58"/>
      <c r="C1203" s="59"/>
      <c r="D1203" s="58"/>
      <c r="E1203" s="59"/>
      <c r="F1203" s="58"/>
      <c r="G1203" s="58"/>
    </row>
    <row r="1205" spans="1:7" x14ac:dyDescent="0.2">
      <c r="A1205" s="58"/>
      <c r="B1205" s="58"/>
      <c r="C1205" s="59"/>
      <c r="D1205" s="58"/>
      <c r="E1205" s="59"/>
      <c r="F1205" s="58"/>
      <c r="G1205" s="58"/>
    </row>
    <row r="1206" spans="1:7" x14ac:dyDescent="0.2">
      <c r="A1206" s="60"/>
      <c r="G1206" s="61"/>
    </row>
    <row r="1208" spans="1:7" x14ac:dyDescent="0.2">
      <c r="A1208" s="60"/>
      <c r="B1208" s="60"/>
      <c r="C1208" s="62"/>
      <c r="D1208" s="60"/>
      <c r="E1208" s="62"/>
      <c r="F1208" s="60"/>
      <c r="G1208" s="60"/>
    </row>
    <row r="1209" spans="1:7" x14ac:dyDescent="0.2">
      <c r="D1209" s="63"/>
      <c r="E1209" s="64"/>
    </row>
    <row r="1210" spans="1:7" x14ac:dyDescent="0.2">
      <c r="D1210" s="63"/>
      <c r="E1210" s="64"/>
    </row>
    <row r="1212" spans="1:7" x14ac:dyDescent="0.2">
      <c r="A1212" s="60"/>
      <c r="B1212" s="60"/>
      <c r="C1212" s="62"/>
      <c r="D1212" s="65"/>
      <c r="E1212" s="62"/>
      <c r="F1212" s="60"/>
      <c r="G1212" s="60"/>
    </row>
    <row r="1213" spans="1:7" x14ac:dyDescent="0.2">
      <c r="D1213" s="63"/>
      <c r="E1213" s="64"/>
    </row>
    <row r="1215" spans="1:7" x14ac:dyDescent="0.2">
      <c r="A1215" s="60"/>
      <c r="B1215" s="60"/>
      <c r="C1215" s="62"/>
      <c r="D1215" s="60"/>
      <c r="E1215" s="62"/>
      <c r="F1215" s="60"/>
      <c r="G1215" s="60"/>
    </row>
    <row r="1219" spans="1:7" x14ac:dyDescent="0.2">
      <c r="A1219" s="60"/>
      <c r="B1219" s="60"/>
      <c r="C1219" s="62"/>
      <c r="D1219" s="60"/>
      <c r="E1219" s="62"/>
      <c r="F1219" s="60"/>
      <c r="G1219" s="60"/>
    </row>
    <row r="1225" spans="1:7" x14ac:dyDescent="0.2">
      <c r="A1225" s="58"/>
      <c r="B1225" s="58"/>
      <c r="C1225" s="59"/>
      <c r="D1225" s="58"/>
      <c r="E1225" s="59"/>
      <c r="F1225" s="58"/>
      <c r="G1225" s="58"/>
    </row>
    <row r="1227" spans="1:7" x14ac:dyDescent="0.2">
      <c r="A1227" s="58"/>
      <c r="B1227" s="58"/>
      <c r="C1227" s="59"/>
      <c r="D1227" s="58"/>
      <c r="E1227" s="59"/>
      <c r="F1227" s="58"/>
      <c r="G1227" s="58"/>
    </row>
    <row r="1228" spans="1:7" x14ac:dyDescent="0.2">
      <c r="A1228" s="60"/>
      <c r="G1228" s="61"/>
    </row>
    <row r="1230" spans="1:7" x14ac:dyDescent="0.2">
      <c r="A1230" s="60"/>
      <c r="B1230" s="60"/>
      <c r="C1230" s="62"/>
      <c r="D1230" s="60"/>
      <c r="E1230" s="62"/>
      <c r="F1230" s="60"/>
      <c r="G1230" s="60"/>
    </row>
    <row r="1231" spans="1:7" x14ac:dyDescent="0.2">
      <c r="D1231" s="63"/>
      <c r="E1231" s="64"/>
    </row>
    <row r="1233" spans="1:7" x14ac:dyDescent="0.2">
      <c r="A1233" s="60"/>
      <c r="B1233" s="60"/>
      <c r="C1233" s="62"/>
      <c r="D1233" s="60"/>
      <c r="E1233" s="62"/>
      <c r="F1233" s="60"/>
      <c r="G1233" s="60"/>
    </row>
    <row r="1234" spans="1:7" x14ac:dyDescent="0.2">
      <c r="D1234" s="63"/>
      <c r="E1234" s="64"/>
    </row>
    <row r="1235" spans="1:7" x14ac:dyDescent="0.2">
      <c r="D1235" s="63"/>
      <c r="E1235" s="64"/>
    </row>
    <row r="1237" spans="1:7" x14ac:dyDescent="0.2">
      <c r="A1237" s="60"/>
      <c r="B1237" s="60"/>
      <c r="C1237" s="62"/>
      <c r="D1237" s="65"/>
      <c r="E1237" s="62"/>
      <c r="F1237" s="60"/>
      <c r="G1237" s="60"/>
    </row>
    <row r="1238" spans="1:7" x14ac:dyDescent="0.2">
      <c r="D1238" s="63"/>
      <c r="E1238" s="64"/>
    </row>
    <row r="1240" spans="1:7" x14ac:dyDescent="0.2">
      <c r="A1240" s="60"/>
      <c r="B1240" s="60"/>
      <c r="C1240" s="62"/>
      <c r="D1240" s="60"/>
      <c r="E1240" s="62"/>
      <c r="F1240" s="60"/>
      <c r="G1240" s="60"/>
    </row>
    <row r="1245" spans="1:7" x14ac:dyDescent="0.2">
      <c r="A1245" s="60"/>
      <c r="B1245" s="60"/>
      <c r="C1245" s="62"/>
      <c r="D1245" s="60"/>
      <c r="E1245" s="62"/>
      <c r="F1245" s="60"/>
      <c r="G1245" s="60"/>
    </row>
    <row r="1251" spans="1:7" x14ac:dyDescent="0.2">
      <c r="A1251" s="58"/>
      <c r="B1251" s="58"/>
      <c r="C1251" s="59"/>
      <c r="D1251" s="58"/>
      <c r="E1251" s="59"/>
      <c r="F1251" s="58"/>
      <c r="G1251" s="58"/>
    </row>
    <row r="1253" spans="1:7" x14ac:dyDescent="0.2">
      <c r="A1253" s="58"/>
      <c r="B1253" s="58"/>
      <c r="C1253" s="59"/>
      <c r="D1253" s="58"/>
      <c r="E1253" s="59"/>
      <c r="F1253" s="58"/>
      <c r="G1253" s="58"/>
    </row>
    <row r="1254" spans="1:7" x14ac:dyDescent="0.2">
      <c r="A1254" s="60"/>
      <c r="G1254" s="61"/>
    </row>
    <row r="1256" spans="1:7" x14ac:dyDescent="0.2">
      <c r="A1256" s="60"/>
      <c r="B1256" s="60"/>
      <c r="C1256" s="62"/>
      <c r="D1256" s="60"/>
      <c r="E1256" s="62"/>
      <c r="F1256" s="60"/>
      <c r="G1256" s="60"/>
    </row>
    <row r="1257" spans="1:7" x14ac:dyDescent="0.2">
      <c r="D1257" s="63"/>
      <c r="E1257" s="64"/>
    </row>
    <row r="1259" spans="1:7" x14ac:dyDescent="0.2">
      <c r="A1259" s="60"/>
      <c r="B1259" s="60"/>
      <c r="C1259" s="62"/>
      <c r="D1259" s="60"/>
      <c r="E1259" s="62"/>
      <c r="F1259" s="60"/>
      <c r="G1259" s="60"/>
    </row>
    <row r="1260" spans="1:7" x14ac:dyDescent="0.2">
      <c r="D1260" s="63"/>
      <c r="E1260" s="64"/>
    </row>
    <row r="1261" spans="1:7" x14ac:dyDescent="0.2">
      <c r="D1261" s="63"/>
      <c r="E1261" s="64"/>
    </row>
    <row r="1263" spans="1:7" x14ac:dyDescent="0.2">
      <c r="A1263" s="60"/>
      <c r="B1263" s="60"/>
      <c r="C1263" s="62"/>
      <c r="D1263" s="65"/>
      <c r="E1263" s="62"/>
      <c r="F1263" s="60"/>
      <c r="G1263" s="60"/>
    </row>
    <row r="1264" spans="1:7" x14ac:dyDescent="0.2">
      <c r="D1264" s="63"/>
      <c r="E1264" s="64"/>
    </row>
    <row r="1266" spans="1:7" x14ac:dyDescent="0.2">
      <c r="A1266" s="60"/>
      <c r="B1266" s="60"/>
      <c r="C1266" s="62"/>
      <c r="D1266" s="60"/>
      <c r="E1266" s="62"/>
      <c r="F1266" s="60"/>
      <c r="G1266" s="60"/>
    </row>
    <row r="1271" spans="1:7" x14ac:dyDescent="0.2">
      <c r="A1271" s="60"/>
      <c r="B1271" s="60"/>
      <c r="C1271" s="62"/>
      <c r="D1271" s="60"/>
      <c r="E1271" s="62"/>
      <c r="F1271" s="60"/>
      <c r="G1271" s="60"/>
    </row>
    <row r="1277" spans="1:7" x14ac:dyDescent="0.2">
      <c r="A1277" s="58"/>
      <c r="B1277" s="58"/>
      <c r="C1277" s="59"/>
      <c r="D1277" s="58"/>
      <c r="E1277" s="59"/>
      <c r="F1277" s="58"/>
      <c r="G1277" s="58"/>
    </row>
    <row r="1279" spans="1:7" x14ac:dyDescent="0.2">
      <c r="A1279" s="58"/>
      <c r="B1279" s="58"/>
      <c r="C1279" s="59"/>
      <c r="D1279" s="58"/>
      <c r="E1279" s="59"/>
      <c r="F1279" s="58"/>
      <c r="G1279" s="58"/>
    </row>
    <row r="1280" spans="1:7" x14ac:dyDescent="0.2">
      <c r="A1280" s="60"/>
      <c r="G1280" s="61"/>
    </row>
    <row r="1282" spans="1:7" x14ac:dyDescent="0.2">
      <c r="A1282" s="60"/>
      <c r="B1282" s="60"/>
      <c r="C1282" s="62"/>
      <c r="D1282" s="60"/>
      <c r="E1282" s="62"/>
      <c r="F1282" s="60"/>
      <c r="G1282" s="60"/>
    </row>
    <row r="1283" spans="1:7" x14ac:dyDescent="0.2">
      <c r="D1283" s="63"/>
      <c r="E1283" s="64"/>
    </row>
    <row r="1285" spans="1:7" x14ac:dyDescent="0.2">
      <c r="A1285" s="60"/>
      <c r="B1285" s="60"/>
      <c r="C1285" s="62"/>
      <c r="D1285" s="60"/>
      <c r="E1285" s="62"/>
      <c r="F1285" s="60"/>
      <c r="G1285" s="60"/>
    </row>
    <row r="1286" spans="1:7" x14ac:dyDescent="0.2">
      <c r="D1286" s="63"/>
      <c r="E1286" s="64"/>
    </row>
    <row r="1287" spans="1:7" x14ac:dyDescent="0.2">
      <c r="D1287" s="63"/>
      <c r="E1287" s="64"/>
    </row>
    <row r="1289" spans="1:7" x14ac:dyDescent="0.2">
      <c r="A1289" s="60"/>
      <c r="B1289" s="60"/>
      <c r="C1289" s="62"/>
      <c r="D1289" s="65"/>
      <c r="E1289" s="62"/>
      <c r="F1289" s="60"/>
      <c r="G1289" s="60"/>
    </row>
    <row r="1290" spans="1:7" x14ac:dyDescent="0.2">
      <c r="D1290" s="63"/>
      <c r="E1290" s="64"/>
    </row>
    <row r="1292" spans="1:7" x14ac:dyDescent="0.2">
      <c r="A1292" s="60"/>
      <c r="B1292" s="60"/>
      <c r="C1292" s="62"/>
      <c r="D1292" s="60"/>
      <c r="E1292" s="62"/>
      <c r="F1292" s="60"/>
      <c r="G1292" s="60"/>
    </row>
    <row r="1297" spans="1:7" x14ac:dyDescent="0.2">
      <c r="A1297" s="60"/>
      <c r="B1297" s="60"/>
      <c r="C1297" s="62"/>
      <c r="D1297" s="60"/>
      <c r="E1297" s="62"/>
      <c r="F1297" s="60"/>
      <c r="G1297" s="60"/>
    </row>
    <row r="1303" spans="1:7" x14ac:dyDescent="0.2">
      <c r="A1303" s="58"/>
      <c r="B1303" s="58"/>
      <c r="C1303" s="59"/>
      <c r="D1303" s="58"/>
      <c r="E1303" s="59"/>
      <c r="F1303" s="58"/>
      <c r="G1303" s="58"/>
    </row>
    <row r="1305" spans="1:7" x14ac:dyDescent="0.2">
      <c r="A1305" s="58"/>
      <c r="B1305" s="58"/>
      <c r="C1305" s="59"/>
      <c r="D1305" s="58"/>
      <c r="E1305" s="59"/>
      <c r="F1305" s="58"/>
      <c r="G1305" s="58"/>
    </row>
    <row r="1306" spans="1:7" x14ac:dyDescent="0.2">
      <c r="A1306" s="60"/>
      <c r="G1306" s="61"/>
    </row>
    <row r="1308" spans="1:7" x14ac:dyDescent="0.2">
      <c r="A1308" s="60"/>
      <c r="B1308" s="60"/>
      <c r="C1308" s="62"/>
      <c r="D1308" s="60"/>
      <c r="E1308" s="62"/>
      <c r="F1308" s="60"/>
      <c r="G1308" s="60"/>
    </row>
    <row r="1309" spans="1:7" x14ac:dyDescent="0.2">
      <c r="D1309" s="63"/>
      <c r="E1309" s="64"/>
    </row>
    <row r="1311" spans="1:7" x14ac:dyDescent="0.2">
      <c r="A1311" s="60"/>
      <c r="B1311" s="60"/>
      <c r="C1311" s="62"/>
      <c r="D1311" s="60"/>
      <c r="E1311" s="62"/>
      <c r="F1311" s="60"/>
      <c r="G1311" s="60"/>
    </row>
    <row r="1312" spans="1:7" x14ac:dyDescent="0.2">
      <c r="D1312" s="63"/>
      <c r="E1312" s="64"/>
    </row>
    <row r="1313" spans="1:7" x14ac:dyDescent="0.2">
      <c r="D1313" s="63"/>
      <c r="E1313" s="64"/>
    </row>
    <row r="1315" spans="1:7" x14ac:dyDescent="0.2">
      <c r="A1315" s="60"/>
      <c r="B1315" s="60"/>
      <c r="C1315" s="62"/>
      <c r="D1315" s="65"/>
      <c r="E1315" s="62"/>
      <c r="F1315" s="60"/>
      <c r="G1315" s="60"/>
    </row>
    <row r="1316" spans="1:7" x14ac:dyDescent="0.2">
      <c r="D1316" s="63"/>
      <c r="E1316" s="64"/>
    </row>
    <row r="1318" spans="1:7" x14ac:dyDescent="0.2">
      <c r="A1318" s="60"/>
      <c r="B1318" s="60"/>
      <c r="C1318" s="62"/>
      <c r="D1318" s="60"/>
      <c r="E1318" s="62"/>
      <c r="F1318" s="60"/>
      <c r="G1318" s="60"/>
    </row>
    <row r="1323" spans="1:7" x14ac:dyDescent="0.2">
      <c r="A1323" s="60"/>
      <c r="B1323" s="60"/>
      <c r="C1323" s="62"/>
      <c r="D1323" s="60"/>
      <c r="E1323" s="62"/>
      <c r="F1323" s="60"/>
      <c r="G1323" s="60"/>
    </row>
    <row r="1329" spans="1:7" x14ac:dyDescent="0.2">
      <c r="A1329" s="58"/>
      <c r="B1329" s="58"/>
      <c r="C1329" s="59"/>
      <c r="D1329" s="58"/>
      <c r="E1329" s="59"/>
      <c r="F1329" s="58"/>
      <c r="G1329" s="58"/>
    </row>
    <row r="1331" spans="1:7" x14ac:dyDescent="0.2">
      <c r="A1331" s="58"/>
      <c r="B1331" s="58"/>
      <c r="C1331" s="59"/>
      <c r="D1331" s="58"/>
      <c r="E1331" s="59"/>
      <c r="F1331" s="58"/>
      <c r="G1331" s="58"/>
    </row>
    <row r="1332" spans="1:7" x14ac:dyDescent="0.2">
      <c r="A1332" s="60"/>
      <c r="G1332" s="61"/>
    </row>
    <row r="1334" spans="1:7" x14ac:dyDescent="0.2">
      <c r="A1334" s="60"/>
      <c r="B1334" s="60"/>
      <c r="C1334" s="62"/>
      <c r="D1334" s="60"/>
      <c r="E1334" s="62"/>
      <c r="F1334" s="60"/>
      <c r="G1334" s="60"/>
    </row>
    <row r="1335" spans="1:7" x14ac:dyDescent="0.2">
      <c r="D1335" s="63"/>
      <c r="E1335" s="64"/>
    </row>
    <row r="1336" spans="1:7" x14ac:dyDescent="0.2">
      <c r="D1336" s="63"/>
      <c r="E1336" s="64"/>
    </row>
    <row r="1338" spans="1:7" x14ac:dyDescent="0.2">
      <c r="A1338" s="60"/>
      <c r="B1338" s="60"/>
      <c r="C1338" s="62"/>
      <c r="D1338" s="65"/>
      <c r="E1338" s="62"/>
      <c r="F1338" s="60"/>
      <c r="G1338" s="60"/>
    </row>
    <row r="1339" spans="1:7" x14ac:dyDescent="0.2">
      <c r="D1339" s="63"/>
      <c r="E1339" s="64"/>
    </row>
    <row r="1341" spans="1:7" x14ac:dyDescent="0.2">
      <c r="A1341" s="60"/>
      <c r="B1341" s="60"/>
      <c r="C1341" s="62"/>
      <c r="D1341" s="60"/>
      <c r="E1341" s="62"/>
      <c r="F1341" s="60"/>
      <c r="G1341" s="60"/>
    </row>
    <row r="1345" spans="1:7" x14ac:dyDescent="0.2">
      <c r="A1345" s="60"/>
      <c r="B1345" s="60"/>
      <c r="C1345" s="62"/>
      <c r="D1345" s="60"/>
      <c r="E1345" s="62"/>
      <c r="F1345" s="60"/>
      <c r="G1345" s="60"/>
    </row>
    <row r="1351" spans="1:7" x14ac:dyDescent="0.2">
      <c r="A1351" s="58"/>
      <c r="B1351" s="58"/>
      <c r="C1351" s="59"/>
      <c r="D1351" s="58"/>
      <c r="E1351" s="59"/>
      <c r="F1351" s="58"/>
      <c r="G1351" s="58"/>
    </row>
    <row r="1353" spans="1:7" x14ac:dyDescent="0.2">
      <c r="A1353" s="58"/>
      <c r="B1353" s="58"/>
      <c r="C1353" s="59"/>
      <c r="D1353" s="58"/>
      <c r="E1353" s="59"/>
      <c r="F1353" s="58"/>
      <c r="G1353" s="58"/>
    </row>
    <row r="1354" spans="1:7" x14ac:dyDescent="0.2">
      <c r="A1354" s="60"/>
      <c r="G1354" s="61"/>
    </row>
    <row r="1356" spans="1:7" x14ac:dyDescent="0.2">
      <c r="A1356" s="60"/>
      <c r="B1356" s="60"/>
      <c r="C1356" s="62"/>
      <c r="D1356" s="60"/>
      <c r="E1356" s="62"/>
      <c r="F1356" s="60"/>
      <c r="G1356" s="60"/>
    </row>
    <row r="1357" spans="1:7" x14ac:dyDescent="0.2">
      <c r="D1357" s="63"/>
      <c r="E1357" s="64"/>
    </row>
    <row r="1359" spans="1:7" x14ac:dyDescent="0.2">
      <c r="A1359" s="60"/>
      <c r="B1359" s="60"/>
      <c r="C1359" s="62"/>
      <c r="D1359" s="60"/>
      <c r="E1359" s="62"/>
      <c r="F1359" s="60"/>
      <c r="G1359" s="60"/>
    </row>
    <row r="1360" spans="1:7" x14ac:dyDescent="0.2">
      <c r="D1360" s="63"/>
      <c r="E1360" s="64"/>
    </row>
    <row r="1361" spans="1:7" x14ac:dyDescent="0.2">
      <c r="D1361" s="63"/>
      <c r="E1361" s="64"/>
    </row>
    <row r="1363" spans="1:7" x14ac:dyDescent="0.2">
      <c r="A1363" s="60"/>
      <c r="B1363" s="60"/>
      <c r="C1363" s="62"/>
      <c r="D1363" s="65"/>
      <c r="E1363" s="62"/>
      <c r="F1363" s="60"/>
      <c r="G1363" s="60"/>
    </row>
    <row r="1364" spans="1:7" x14ac:dyDescent="0.2">
      <c r="D1364" s="63"/>
      <c r="E1364" s="64"/>
    </row>
    <row r="1366" spans="1:7" x14ac:dyDescent="0.2">
      <c r="A1366" s="60"/>
      <c r="B1366" s="60"/>
      <c r="C1366" s="62"/>
      <c r="D1366" s="60"/>
      <c r="E1366" s="62"/>
      <c r="F1366" s="60"/>
      <c r="G1366" s="60"/>
    </row>
    <row r="1371" spans="1:7" x14ac:dyDescent="0.2">
      <c r="A1371" s="60"/>
      <c r="B1371" s="60"/>
      <c r="C1371" s="62"/>
      <c r="D1371" s="60"/>
      <c r="E1371" s="62"/>
      <c r="F1371" s="60"/>
      <c r="G1371" s="60"/>
    </row>
    <row r="1377" spans="1:7" x14ac:dyDescent="0.2">
      <c r="A1377" s="58"/>
      <c r="B1377" s="58"/>
      <c r="C1377" s="59"/>
      <c r="D1377" s="58"/>
      <c r="E1377" s="59"/>
      <c r="F1377" s="58"/>
      <c r="G1377" s="58"/>
    </row>
    <row r="1379" spans="1:7" x14ac:dyDescent="0.2">
      <c r="A1379" s="58"/>
      <c r="B1379" s="58"/>
      <c r="C1379" s="59"/>
      <c r="D1379" s="58"/>
      <c r="E1379" s="59"/>
      <c r="F1379" s="58"/>
      <c r="G1379" s="58"/>
    </row>
    <row r="1380" spans="1:7" x14ac:dyDescent="0.2">
      <c r="A1380" s="60"/>
      <c r="G1380" s="61"/>
    </row>
    <row r="1382" spans="1:7" x14ac:dyDescent="0.2">
      <c r="A1382" s="60"/>
      <c r="B1382" s="60"/>
      <c r="C1382" s="62"/>
      <c r="D1382" s="60"/>
      <c r="E1382" s="62"/>
      <c r="F1382" s="60"/>
      <c r="G1382" s="60"/>
    </row>
    <row r="1383" spans="1:7" x14ac:dyDescent="0.2">
      <c r="D1383" s="63"/>
      <c r="E1383" s="64"/>
    </row>
    <row r="1385" spans="1:7" x14ac:dyDescent="0.2">
      <c r="A1385" s="60"/>
      <c r="B1385" s="60"/>
      <c r="C1385" s="62"/>
      <c r="D1385" s="60"/>
      <c r="E1385" s="62"/>
      <c r="F1385" s="60"/>
      <c r="G1385" s="60"/>
    </row>
    <row r="1386" spans="1:7" x14ac:dyDescent="0.2">
      <c r="D1386" s="63"/>
      <c r="E1386" s="64"/>
    </row>
    <row r="1387" spans="1:7" x14ac:dyDescent="0.2">
      <c r="D1387" s="63"/>
      <c r="E1387" s="64"/>
    </row>
    <row r="1389" spans="1:7" x14ac:dyDescent="0.2">
      <c r="A1389" s="60"/>
      <c r="B1389" s="60"/>
      <c r="C1389" s="62"/>
      <c r="D1389" s="65"/>
      <c r="E1389" s="62"/>
      <c r="F1389" s="60"/>
      <c r="G1389" s="60"/>
    </row>
    <row r="1390" spans="1:7" x14ac:dyDescent="0.2">
      <c r="D1390" s="63"/>
      <c r="E1390" s="64"/>
    </row>
    <row r="1392" spans="1:7" x14ac:dyDescent="0.2">
      <c r="A1392" s="60"/>
      <c r="B1392" s="60"/>
      <c r="C1392" s="62"/>
      <c r="D1392" s="60"/>
      <c r="E1392" s="62"/>
      <c r="F1392" s="60"/>
      <c r="G1392" s="60"/>
    </row>
    <row r="1397" spans="1:7" x14ac:dyDescent="0.2">
      <c r="A1397" s="60"/>
      <c r="B1397" s="60"/>
      <c r="C1397" s="62"/>
      <c r="D1397" s="60"/>
      <c r="E1397" s="62"/>
      <c r="F1397" s="60"/>
      <c r="G1397" s="60"/>
    </row>
    <row r="1403" spans="1:7" x14ac:dyDescent="0.2">
      <c r="A1403" s="58"/>
      <c r="B1403" s="58"/>
      <c r="C1403" s="59"/>
      <c r="D1403" s="58"/>
      <c r="E1403" s="59"/>
      <c r="F1403" s="58"/>
      <c r="G1403" s="58"/>
    </row>
    <row r="1405" spans="1:7" x14ac:dyDescent="0.2">
      <c r="A1405" s="58"/>
      <c r="B1405" s="58"/>
      <c r="C1405" s="59"/>
      <c r="D1405" s="58"/>
      <c r="E1405" s="59"/>
      <c r="F1405" s="58"/>
      <c r="G1405" s="58"/>
    </row>
    <row r="1406" spans="1:7" x14ac:dyDescent="0.2">
      <c r="A1406" s="60"/>
      <c r="G1406" s="61"/>
    </row>
    <row r="1408" spans="1:7" x14ac:dyDescent="0.2">
      <c r="A1408" s="60"/>
      <c r="B1408" s="60"/>
      <c r="C1408" s="62"/>
      <c r="D1408" s="60"/>
      <c r="E1408" s="62"/>
      <c r="F1408" s="60"/>
      <c r="G1408" s="60"/>
    </row>
    <row r="1409" spans="1:7" x14ac:dyDescent="0.2">
      <c r="D1409" s="63"/>
      <c r="E1409" s="64"/>
    </row>
    <row r="1411" spans="1:7" x14ac:dyDescent="0.2">
      <c r="A1411" s="60"/>
      <c r="B1411" s="60"/>
      <c r="C1411" s="62"/>
      <c r="D1411" s="60"/>
      <c r="E1411" s="62"/>
      <c r="F1411" s="60"/>
      <c r="G1411" s="60"/>
    </row>
    <row r="1412" spans="1:7" x14ac:dyDescent="0.2">
      <c r="D1412" s="63"/>
      <c r="E1412" s="64"/>
    </row>
    <row r="1413" spans="1:7" x14ac:dyDescent="0.2">
      <c r="D1413" s="63"/>
      <c r="E1413" s="64"/>
    </row>
    <row r="1415" spans="1:7" x14ac:dyDescent="0.2">
      <c r="A1415" s="60"/>
      <c r="B1415" s="60"/>
      <c r="C1415" s="62"/>
      <c r="D1415" s="65"/>
      <c r="E1415" s="62"/>
      <c r="F1415" s="60"/>
      <c r="G1415" s="60"/>
    </row>
    <row r="1416" spans="1:7" x14ac:dyDescent="0.2">
      <c r="D1416" s="63"/>
      <c r="E1416" s="64"/>
    </row>
    <row r="1418" spans="1:7" x14ac:dyDescent="0.2">
      <c r="A1418" s="60"/>
      <c r="B1418" s="60"/>
      <c r="C1418" s="62"/>
      <c r="D1418" s="60"/>
      <c r="E1418" s="62"/>
      <c r="F1418" s="60"/>
      <c r="G1418" s="60"/>
    </row>
    <row r="1423" spans="1:7" x14ac:dyDescent="0.2">
      <c r="A1423" s="60"/>
      <c r="B1423" s="60"/>
      <c r="C1423" s="62"/>
      <c r="D1423" s="60"/>
      <c r="E1423" s="62"/>
      <c r="F1423" s="60"/>
      <c r="G1423" s="60"/>
    </row>
    <row r="1429" spans="1:7" x14ac:dyDescent="0.2">
      <c r="A1429" s="58"/>
      <c r="B1429" s="58"/>
      <c r="C1429" s="59"/>
      <c r="D1429" s="58"/>
      <c r="E1429" s="59"/>
      <c r="F1429" s="58"/>
      <c r="G1429" s="58"/>
    </row>
    <row r="1431" spans="1:7" x14ac:dyDescent="0.2">
      <c r="A1431" s="58"/>
      <c r="B1431" s="58"/>
      <c r="C1431" s="59"/>
      <c r="D1431" s="58"/>
      <c r="E1431" s="59"/>
      <c r="F1431" s="58"/>
      <c r="G1431" s="58"/>
    </row>
    <row r="1432" spans="1:7" x14ac:dyDescent="0.2">
      <c r="A1432" s="60"/>
      <c r="G1432" s="61"/>
    </row>
    <row r="1434" spans="1:7" x14ac:dyDescent="0.2">
      <c r="A1434" s="60"/>
      <c r="B1434" s="60"/>
      <c r="C1434" s="62"/>
      <c r="D1434" s="60"/>
      <c r="E1434" s="62"/>
      <c r="F1434" s="60"/>
      <c r="G1434" s="60"/>
    </row>
    <row r="1435" spans="1:7" x14ac:dyDescent="0.2">
      <c r="D1435" s="63"/>
      <c r="E1435" s="64"/>
    </row>
    <row r="1437" spans="1:7" x14ac:dyDescent="0.2">
      <c r="A1437" s="60"/>
      <c r="B1437" s="60"/>
      <c r="C1437" s="62"/>
      <c r="D1437" s="60"/>
      <c r="E1437" s="62"/>
      <c r="F1437" s="60"/>
      <c r="G1437" s="60"/>
    </row>
    <row r="1438" spans="1:7" x14ac:dyDescent="0.2">
      <c r="D1438" s="63"/>
      <c r="E1438" s="64"/>
    </row>
    <row r="1439" spans="1:7" x14ac:dyDescent="0.2">
      <c r="D1439" s="63"/>
      <c r="E1439" s="64"/>
    </row>
    <row r="1441" spans="1:7" x14ac:dyDescent="0.2">
      <c r="A1441" s="60"/>
      <c r="B1441" s="60"/>
      <c r="C1441" s="62"/>
      <c r="D1441" s="65"/>
      <c r="E1441" s="62"/>
      <c r="F1441" s="60"/>
      <c r="G1441" s="60"/>
    </row>
    <row r="1442" spans="1:7" x14ac:dyDescent="0.2">
      <c r="D1442" s="63"/>
      <c r="E1442" s="64"/>
    </row>
    <row r="1444" spans="1:7" x14ac:dyDescent="0.2">
      <c r="A1444" s="60"/>
      <c r="B1444" s="60"/>
      <c r="C1444" s="62"/>
      <c r="D1444" s="60"/>
      <c r="E1444" s="62"/>
      <c r="F1444" s="60"/>
      <c r="G1444" s="60"/>
    </row>
    <row r="1449" spans="1:7" x14ac:dyDescent="0.2">
      <c r="A1449" s="60"/>
      <c r="B1449" s="60"/>
      <c r="C1449" s="62"/>
      <c r="D1449" s="60"/>
      <c r="E1449" s="62"/>
      <c r="F1449" s="60"/>
      <c r="G1449" s="60"/>
    </row>
    <row r="1455" spans="1:7" x14ac:dyDescent="0.2">
      <c r="A1455" s="58"/>
      <c r="B1455" s="58"/>
      <c r="C1455" s="59"/>
      <c r="D1455" s="58"/>
      <c r="E1455" s="59"/>
      <c r="F1455" s="58"/>
      <c r="G1455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КСС_ОП1</vt:lpstr>
      <vt:lpstr>Ед. Цени</vt:lpstr>
      <vt:lpstr>Анализи</vt:lpstr>
      <vt:lpstr>КСС_ОП1!_Hlk165973344</vt:lpstr>
      <vt:lpstr>КСС_ОП1!Print_Area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2024-07-08T07:30:42Z</cp:lastPrinted>
  <dcterms:created xsi:type="dcterms:W3CDTF">2024-05-08T18:36:50Z</dcterms:created>
  <dcterms:modified xsi:type="dcterms:W3CDTF">2026-04-08T09:02:30Z</dcterms:modified>
</cp:coreProperties>
</file>